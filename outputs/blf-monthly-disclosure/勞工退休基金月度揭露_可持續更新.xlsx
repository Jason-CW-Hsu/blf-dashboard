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6247d0f57e40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8a3bf4082e174351"/>
    <x:sheet xmlns:r="http://schemas.openxmlformats.org/officeDocument/2006/relationships" name="儀表板(美元)" sheetId="2" r:id="R59d5dce839364a86"/>
    <x:sheet xmlns:r="http://schemas.openxmlformats.org/officeDocument/2006/relationships" name="月度資產配置" sheetId="3" r:id="R4f8a68598d094536"/>
    <x:sheet xmlns:r="http://schemas.openxmlformats.org/officeDocument/2006/relationships" name="國內委外明細" sheetId="4" r:id="R0f1efe0ae0e048a8"/>
    <x:sheet xmlns:r="http://schemas.openxmlformats.org/officeDocument/2006/relationships" name="國外委外明細" sheetId="5" r:id="R6494403083844362"/>
    <x:sheet xmlns:r="http://schemas.openxmlformats.org/officeDocument/2006/relationships" name="批次彙總" sheetId="6" r:id="R9cfb42b4cac74470"/>
    <x:sheet xmlns:r="http://schemas.openxmlformats.org/officeDocument/2006/relationships" name="業者彙總" sheetId="7" r:id="R18667a5a83704f61"/>
    <x:sheet xmlns:r="http://schemas.openxmlformats.org/officeDocument/2006/relationships" name="更新說明" sheetId="8" r:id="R8046cfe2223c4784"/>
    <x:sheet xmlns:r="http://schemas.openxmlformats.org/officeDocument/2006/relationships" name="資料品質檢核" sheetId="9" r:id="R2c5da1ebc49f43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dbb700bbb140f9" /><Relationship Type="http://schemas.openxmlformats.org/officeDocument/2006/relationships/theme" Target="/xl/theme/theme1.xml" Id="R0545b57311e3421d" /><Relationship Type="http://schemas.openxmlformats.org/officeDocument/2006/relationships/sharedStrings" Target="/xl/sharedStrings.xml" Id="R08fb6b274952416e" /><Relationship Type="http://schemas.openxmlformats.org/officeDocument/2006/relationships/worksheet" Target="/xl/worksheets/sheet1.xml" Id="R8a3bf4082e174351" /><Relationship Type="http://schemas.openxmlformats.org/officeDocument/2006/relationships/worksheet" Target="/xl/worksheets/sheet2.xml" Id="R59d5dce839364a86" /><Relationship Type="http://schemas.openxmlformats.org/officeDocument/2006/relationships/worksheet" Target="/xl/worksheets/sheet3.xml" Id="R4f8a68598d094536" /><Relationship Type="http://schemas.openxmlformats.org/officeDocument/2006/relationships/worksheet" Target="/xl/worksheets/sheet4.xml" Id="R0f1efe0ae0e048a8" /><Relationship Type="http://schemas.openxmlformats.org/officeDocument/2006/relationships/worksheet" Target="/xl/worksheets/sheet5.xml" Id="R6494403083844362" /><Relationship Type="http://schemas.openxmlformats.org/officeDocument/2006/relationships/worksheet" Target="/xl/worksheets/sheet6.xml" Id="R9cfb42b4cac74470" /><Relationship Type="http://schemas.openxmlformats.org/officeDocument/2006/relationships/worksheet" Target="/xl/worksheets/sheet7.xml" Id="R18667a5a83704f61" /><Relationship Type="http://schemas.openxmlformats.org/officeDocument/2006/relationships/worksheet" Target="/xl/worksheets/sheet8.xml" Id="R8046cfe2223c4784" /><Relationship Type="http://schemas.openxmlformats.org/officeDocument/2006/relationships/worksheet" Target="/xl/worksheets/sheet9.xml" Id="R2c5da1ebc49f43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331e649ded64c98" /><Relationship Type="http://schemas.openxmlformats.org/officeDocument/2006/relationships/chart" Target="/xl/drawings/charts/chart2.xml" Id="Re9824246a1ef4772" /><Relationship Type="http://schemas.openxmlformats.org/officeDocument/2006/relationships/chart" Target="/xl/drawings/charts/chart3.xml" Id="Rfe229d8294644690" /><Relationship Type="http://schemas.openxmlformats.org/officeDocument/2006/relationships/chart" Target="/xl/drawings/charts/chart4.xml" Id="R1480dd8b711b41fd" /><Relationship Type="http://schemas.openxmlformats.org/officeDocument/2006/relationships/chart" Target="/xl/drawings/charts/chart5.xml" Id="Rdf5639b9b01d4f7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a302a8396ff4fea" /><Relationship Type="http://schemas.openxmlformats.org/officeDocument/2006/relationships/chart" Target="/xl/drawings/charts/chart7.xml" Id="R562e7195339448f8" /><Relationship Type="http://schemas.openxmlformats.org/officeDocument/2006/relationships/chart" Target="/xl/drawings/charts/chart8.xml" Id="R6a415e7a9c6f4b87" /><Relationship Type="http://schemas.openxmlformats.org/officeDocument/2006/relationships/chart" Target="/xl/drawings/charts/chart9.xml" Id="R2e180d1e39364e58" /><Relationship Type="http://schemas.openxmlformats.org/officeDocument/2006/relationships/chart" Target="/xl/drawings/charts/chart10.xml" Id="R984a82e82480445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ad80ef66a6a44ae4" /><Relationship Type="http://schemas.openxmlformats.org/officeDocument/2006/relationships/chart" Target="/xl/drawings/charts/chart12.xml" Id="Rf2346a04c5684dd9" /><Relationship Type="http://schemas.openxmlformats.org/officeDocument/2006/relationships/chart" Target="/xl/drawings/charts/chart13.xml" Id="R3bbb92b07041434f" /><Relationship Type="http://schemas.openxmlformats.org/officeDocument/2006/relationships/chart" Target="/xl/drawings/charts/chart14.xml" Id="R69c6af376337421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'儀表板'!$V$12:$V$17</c:f>
              <c:strCache>
                <c:ptCount val="0"/>
              </c:strCache>
            </c:strRef>
          </c:cat>
          <c:val>
            <c:numRef>
              <c:f>'儀表板'!$W$12:$W$17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'儀表板'!$X$12:$X$17</c:f>
              <c:strCache>
                <c:ptCount val="0"/>
              </c:strCache>
            </c:strRef>
          </c:cat>
          <c:val>
            <c:numRef>
              <c:f>'儀表板'!$Y$12:$Y$17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'儀表板'!$Z$12:$Z$17</c:f>
              <c:strCache>
                <c:ptCount val="0"/>
              </c:strCache>
            </c:strRef>
          </c:cat>
          <c:val>
            <c:numRef>
              <c:f>'儀表板'!$AA$12:$AA$17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'儀表板'!$AB$12:$AB$17</c:f>
              <c:strCache>
                <c:ptCount val="0"/>
              </c:strCache>
            </c:strRef>
          </c:cat>
          <c:val>
            <c:numRef>
              <c:f>'儀表板'!$AC$12:$AC$17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'儀表板'!$AD$12:$AD$17</c:f>
              <c:strCache>
                <c:ptCount val="0"/>
              </c:strCache>
            </c:strRef>
          </c:cat>
          <c:val>
            <c:numRef>
              <c:f>'儀表板'!$AE$12:$AE$17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'儀表板(美元)'!$V$12:$V$17</c:f>
              <c:strCache>
                <c:ptCount val="0"/>
              </c:strCache>
            </c:strRef>
          </c:cat>
          <c:val>
            <c:numRef>
              <c:f>'儀表板(美元)'!$W$12:$W$17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'儀表板(美元)'!$X$12:$X$17</c:f>
              <c:strCache>
                <c:ptCount val="0"/>
              </c:strCache>
            </c:strRef>
          </c:cat>
          <c:val>
            <c:numRef>
              <c:f>'儀表板(美元)'!$Y$12:$Y$17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'儀表板(美元)'!$Z$12:$Z$17</c:f>
              <c:strCache>
                <c:ptCount val="0"/>
              </c:strCache>
            </c:strRef>
          </c:cat>
          <c:val>
            <c:numRef>
              <c:f>'儀表板(美元)'!$AA$12:$AA$17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'儀表板(美元)'!$AB$12:$AB$17</c:f>
              <c:strCache>
                <c:ptCount val="0"/>
              </c:strCache>
            </c:strRef>
          </c:cat>
          <c:val>
            <c:numRef>
              <c:f>'儀表板(美元)'!$AC$12:$AC$17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'儀表板(美元)'!$AD$12:$AD$17</c:f>
              <c:strCache>
                <c:ptCount val="0"/>
              </c:strCache>
            </c:strRef>
          </c:cat>
          <c:val>
            <c:numRef>
              <c:f>'儀表板(美元)'!$AE$12:$AE$17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31e649ded64c98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824246a1ef4772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229d8294644690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80dd8b711b41fd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5639b9b01d4f7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302a8396ff4fea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2e7195339448f8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415e7a9c6f4b87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180d1e39364e58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4a82e82480445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80ef66a6a44ae4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346a04c5684dd9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bb92b07041434f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c6af376337421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8082f1483c4c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92d294c71b245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ae52c94d9864ba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382675c3ba541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472e871b63a47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affc87d4806458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c4dd059d121a43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51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0.15094783444843035</x:v>
      </x:c>
      <x:c r="X12" t="str">
        <x:f>A12</x:f>
        <x:v>自行運用-固定收益</x:v>
      </x:c>
      <x:c r="Y12" s="50" t="n">
        <x:f>C12/SUM($C$12:$C$17)</x:f>
        <x:v>0.04196663800086938</x:v>
      </x:c>
      <x:c r="Z12" t="str">
        <x:f>A12</x:f>
        <x:v>自行運用-固定收益</x:v>
      </x:c>
      <x:c r="AA12" s="50" t="n">
        <x:f>D12/SUM($D$12:$D$17)</x:f>
        <x:v>0.2302442410279715</x:v>
      </x:c>
      <x:c r="AB12" t="str">
        <x:f>A12</x:f>
        <x:v>自行運用-固定收益</x:v>
      </x:c>
      <x:c r="AC12" s="50" t="n">
        <x:f>E12/SUM($E$12:$E$17)</x:f>
        <x:v>0.20286466191262167</x:v>
      </x:c>
      <x:c r="AD12" t="str">
        <x:f>A12</x:f>
        <x:v>自行運用-固定收益</x:v>
      </x:c>
      <x:c r="AE12" s="50" t="n">
        <x:f>F12/SUM($F$12:$F$17)</x:f>
        <x:v>0.153287378016558</x:v>
      </x:c>
    </x:row>
    <x:row r="13">
      <x:c r="A13" s="30" t="str">
        <x:v>自行運用-權益證券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f>A13</x:f>
        <x:v>自行運用-權益證券</x:v>
      </x:c>
      <x:c r="W13" s="50" t="n">
        <x:f>B13/SUM($B$12:$B$17)</x:f>
        <x:v>0.01758822818174585</x:v>
      </x:c>
      <x:c r="X13" t="str">
        <x:f>A13</x:f>
        <x:v>自行運用-權益證券</x:v>
      </x:c>
      <x:c r="Y13" s="50" t="n">
        <x:f>C13/SUM($C$12:$C$17)</x:f>
        <x:v>0.0310233266028289</x:v>
      </x:c>
      <x:c r="Z13" t="str">
        <x:f>A13</x:f>
        <x:v>自行運用-權益證券</x:v>
      </x:c>
      <x:c r="AA13" s="50" t="n">
        <x:f>D13/SUM($D$12:$D$17)</x:f>
        <x:v>0.12087622530884248</x:v>
      </x:c>
      <x:c r="AB13" t="str">
        <x:f>A13</x:f>
        <x:v>自行運用-權益證券</x:v>
      </x:c>
      <x:c r="AC13" s="50" t="n">
        <x:f>E13/SUM($E$12:$E$17)</x:f>
        <x:v>0.11071798709436984</x:v>
      </x:c>
      <x:c r="AD13" t="str">
        <x:f>A13</x:f>
        <x:v>自行運用-權益證券</x:v>
      </x:c>
      <x:c r="AE13" s="50" t="n">
        <x:f>F13/SUM($F$12:$F$17)</x:f>
        <x:v>0.038739979856977955</x:v>
      </x:c>
    </x:row>
    <x:row r="14">
      <x:c r="A14" s="30" t="str">
        <x:v>自行運用-另類投資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f>A14</x:f>
        <x:v>自行運用-另類投資</x:v>
      </x:c>
      <x:c r="W14" s="50" t="n">
        <x:f>B14/SUM($B$12:$B$17)</x:f>
        <x:v>0.009661657390232378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0.013398942140475737</x:v>
      </x:c>
      <x:c r="AB14" t="str">
        <x:f>A14</x:f>
        <x:v>自行運用-另類投資</x:v>
      </x:c>
      <x:c r="AC14" s="50" t="n">
        <x:f>E14/SUM($E$12:$E$17)</x:f>
        <x:v>0.043077022827178034</x:v>
      </x:c>
      <x:c r="AD14" t="str">
        <x:f>A14</x:f>
        <x:v>自行運用-另類投資</x:v>
      </x:c>
      <x:c r="AE14" s="50" t="n">
        <x:f>F14/SUM($F$12:$F$17)</x:f>
        <x:v>0.011720389704150853</x:v>
      </x:c>
    </x:row>
    <x:row r="15">
      <x:c r="A15" s="30" t="str">
        <x:v>委託經營-固定收益</x:v>
      </x:c>
      <x:c r="B15" s="65" t="n">
        <x:f>SUMIFS('月度資產配置'!$E$4:$E$263,'月度資產配置'!$A$4:$A$263,$A$6,'月度資產配置'!$C$4:$C$263,"新制",'月度資產配置'!$D$4:$D$263,$A15)/(100000000)</x:f>
        <x:v>5962.66506088</x:v>
      </x:c>
      <x:c r="C15" s="65" t="n">
        <x:f>SUMIFS('月度資產配置'!$E$4:$E$263,'月度資產配置'!$A$4:$A$263,$A$6,'月度資產配置'!$C$4:$C$263,"舊制",'月度資產配置'!$D$4:$D$263,$A15)/(100000000)</x:f>
        <x:v>1101.43623315</x:v>
      </x:c>
      <x:c r="D15" s="65" t="n">
        <x:f>SUMIFS('月度資產配置'!$E$4:$E$263,'月度資產配置'!$A$4:$A$263,$A$6,'月度資產配置'!$C$4:$C$263,"勞工保險",'月度資產配置'!$D$4:$D$263,$A15)/(100000000)</x:f>
        <x:v>948.09693597</x:v>
      </x:c>
      <x:c r="E15" s="65" t="n">
        <x:f>SUMIFS('月度資產配置'!$E$4:$E$263,'月度資產配置'!$A$4:$A$263,$A$6,'月度資產配置'!$C$4:$C$263,"國民年金",'月度資產配置'!$D$4:$D$263,$A15)/(100000000)</x:f>
        <x:v>431.71984301</x:v>
      </x:c>
      <x:c r="F15" s="66" t="n">
        <x:f>SUM(B15:E15)</x:f>
        <x:v>8443.91807301</x:v>
      </x:c>
      <x:c r="V15" t="str">
        <x:f>A15</x:f>
        <x:v>委託經營-固定收益</x:v>
      </x:c>
      <x:c r="W15" s="50" t="n">
        <x:f>B15/SUM($B$12:$B$17)</x:f>
        <x:v>0.12480707057684888</x:v>
      </x:c>
      <x:c r="X15" t="str">
        <x:f>A15</x:f>
        <x:v>委託經營-固定收益</x:v>
      </x:c>
      <x:c r="Y15" s="50" t="n">
        <x:f>C15/SUM($C$12:$C$17)</x:f>
        <x:v>0.15503743923957614</x:v>
      </x:c>
      <x:c r="Z15" t="str">
        <x:f>A15</x:f>
        <x:v>委託經營-固定收益</x:v>
      </x:c>
      <x:c r="AA15" s="50" t="n">
        <x:f>D15/SUM($D$12:$D$17)</x:f>
        <x:v>0.11445900331933233</x:v>
      </x:c>
      <x:c r="AB15" t="str">
        <x:f>A15</x:f>
        <x:v>委託經營-固定收益</x:v>
      </x:c>
      <x:c r="AC15" s="50" t="n">
        <x:f>E15/SUM($E$12:$E$17)</x:f>
        <x:v>0.08071474376963361</x:v>
      </x:c>
      <x:c r="AD15" t="str">
        <x:f>A15</x:f>
        <x:v>委託經營-固定收益</x:v>
      </x:c>
      <x:c r="AE15" s="50" t="n">
        <x:f>F15/SUM($F$12:$F$17)</x:f>
        <x:v>0.1232483981504667</x:v>
      </x:c>
    </x:row>
    <x:row r="16">
      <x:c r="A16" s="30" t="str">
        <x:v>委託經營-權益證券</x:v>
      </x:c>
      <x:c r="B16" s="65" t="n">
        <x:f>SUMIFS('月度資產配置'!$E$4:$E$263,'月度資產配置'!$A$4:$A$263,$A$6,'月度資產配置'!$C$4:$C$263,"新制",'月度資產配置'!$D$4:$D$263,$A16)/(100000000)</x:f>
        <x:v>27460.23486635</x:v>
      </x:c>
      <x:c r="C16" s="65" t="n">
        <x:f>SUMIFS('月度資產配置'!$E$4:$E$263,'月度資產配置'!$A$4:$A$263,$A$6,'月度資產配置'!$C$4:$C$263,"舊制",'月度資產配置'!$D$4:$D$263,$A16)/(100000000)</x:f>
        <x:v>4277.2351502</x:v>
      </x:c>
      <x:c r="D16" s="65" t="n">
        <x:f>SUMIFS('月度資產配置'!$E$4:$E$263,'月度資產配置'!$A$4:$A$263,$A$6,'月度資產配置'!$C$4:$C$263,"勞工保險",'月度資產配置'!$D$4:$D$263,$A16)/(100000000)</x:f>
        <x:v>2934.47235142</x:v>
      </x:c>
      <x:c r="E16" s="65" t="n">
        <x:f>SUMIFS('月度資產配置'!$E$4:$E$263,'月度資產配置'!$A$4:$A$263,$A$6,'月度資產配置'!$C$4:$C$263,"國民年金",'月度資產配置'!$D$4:$D$263,$A16)/(100000000)</x:f>
        <x:v>2706.52131922</x:v>
      </x:c>
      <x:c r="F16" s="66" t="n">
        <x:f>SUM(B16:E16)</x:f>
        <x:v>37378.46368719001</x:v>
      </x:c>
      <x:c r="V16" t="str">
        <x:f>A16</x:f>
        <x:v>委託經營-權益證券</x:v>
      </x:c>
      <x:c r="W16" s="50" t="n">
        <x:f>B16/SUM($B$12:$B$17)</x:f>
        <x:v>0.5747818192081349</x:v>
      </x:c>
      <x:c r="X16" t="str">
        <x:f>A16</x:f>
        <x:v>委託經營-權益證券</x:v>
      </x:c>
      <x:c r="Y16" s="50" t="n">
        <x:f>C16/SUM($C$12:$C$17)</x:f>
        <x:v>0.602060804569703</x:v>
      </x:c>
      <x:c r="Z16" t="str">
        <x:f>A16</x:f>
        <x:v>委託經營-權益證券</x:v>
      </x:c>
      <x:c r="AA16" s="50" t="n">
        <x:f>D16/SUM($D$12:$D$17)</x:f>
        <x:v>0.3542641768671412</x:v>
      </x:c>
      <x:c r="AB16" t="str">
        <x:f>A16</x:f>
        <x:v>委託經營-權益證券</x:v>
      </x:c>
      <x:c r="AC16" s="50" t="n">
        <x:f>E16/SUM($E$12:$E$17)</x:f>
        <x:v>0.5060137455457031</x:v>
      </x:c>
      <x:c r="AD16" t="str">
        <x:f>A16</x:f>
        <x:v>委託經營-權益證券</x:v>
      </x:c>
      <x:c r="AE16" s="50" t="n">
        <x:f>F16/SUM($F$12:$F$17)</x:f>
        <x:v>0.5455803496598065</x:v>
      </x:c>
    </x:row>
    <x:row r="17">
      <x:c r="A17" s="30" t="str">
        <x:v>委託經營-另類投資</x:v>
      </x:c>
      <x:c r="B17" s="65" t="n">
        <x:f>SUMIFS('月度資產配置'!$E$4:$E$263,'月度資產配置'!$A$4:$A$263,$A$6,'月度資產配置'!$C$4:$C$263,"新制",'月度資產配置'!$D$4:$D$263,$A17)/(100000000)</x:f>
        <x:v>5838.75182966</x:v>
      </x:c>
      <x:c r="C17" s="65" t="n">
        <x:f>SUMIFS('月度資產配置'!$E$4:$E$263,'月度資產配置'!$A$4:$A$263,$A$6,'月度資產配置'!$C$4:$C$263,"舊制",'月度資產配置'!$D$4:$D$263,$A17)/(100000000)</x:f>
        <x:v>1207.10845465</x:v>
      </x:c>
      <x:c r="D17" s="65" t="n">
        <x:f>SUMIFS('月度資產配置'!$E$4:$E$263,'月度資產配置'!$A$4:$A$263,$A$6,'月度資產配置'!$C$4:$C$263,"勞工保險",'月度資產配置'!$D$4:$D$263,$A17)/(100000000)</x:f>
        <x:v>1381.29973312</x:v>
      </x:c>
      <x:c r="E17" s="65" t="n">
        <x:f>SUMIFS('月度資產配置'!$E$4:$E$263,'月度資產配置'!$A$4:$A$263,$A$6,'月度資產配置'!$C$4:$C$263,"國民年金",'月度資產配置'!$D$4:$D$263,$A17)/(100000000)</x:f>
        <x:v>302.8003688</x:v>
      </x:c>
      <x:c r="F17" s="66" t="n">
        <x:f>SUM(B17:E17)</x:f>
        <x:v>8729.960386230001</x:v>
      </x:c>
      <x:c r="V17" t="str">
        <x:f>A17</x:f>
        <x:v>委託經營-另類投資</x:v>
      </x:c>
      <x:c r="W17" s="50" t="n">
        <x:f>B17/SUM($B$12:$B$17)</x:f>
        <x:v>0.1222133901946076</x:v>
      </x:c>
      <x:c r="X17" t="str">
        <x:f>A17</x:f>
        <x:v>委託經營-另類投資</x:v>
      </x:c>
      <x:c r="Y17" s="50" t="n">
        <x:f>C17/SUM($C$12:$C$17)</x:f>
        <x:v>0.16991179158702263</x:v>
      </x:c>
      <x:c r="Z17" t="str">
        <x:f>A17</x:f>
        <x:v>委託經營-另類投資</x:v>
      </x:c>
      <x:c r="AA17" s="50" t="n">
        <x:f>D17/SUM($D$12:$D$17)</x:f>
        <x:v>0.16675741133623667</x:v>
      </x:c>
      <x:c r="AB17" t="str">
        <x:f>A17</x:f>
        <x:v>委託經營-另類投資</x:v>
      </x:c>
      <x:c r="AC17" s="50" t="n">
        <x:f>E17/SUM($E$12:$E$17)</x:f>
        <x:v>0.05661183885049371</x:v>
      </x:c>
      <x:c r="AD17" t="str">
        <x:f>A17</x:f>
        <x:v>委託經營-另類投資</x:v>
      </x:c>
      <x:c r="AE17" s="50" t="n">
        <x:f>F17/SUM($F$12:$F$17)</x:f>
        <x:v>0.12742350461203994</x:v>
      </x:c>
    </x:row>
    <x:row r="18">
      <x:c r="A18" s="30" t="str">
        <x:v>轉存金融機構</x:v>
      </x:c>
      <x:c r="B18" s="65" t="n">
        <x:f>SUMIFS('月度資產配置'!$E$4:$E$263,'月度資產配置'!$A$4:$A$263,$A$6,'月度資產配置'!$C$4:$C$263,"新制",'月度資產配置'!$D$4:$D$263,$A18)/(100000000)</x:f>
        <x:v>4782.91754572</x:v>
      </x:c>
      <x:c r="C18" s="65" t="n">
        <x:f>SUMIFS('月度資產配置'!$E$4:$E$263,'月度資產配置'!$A$4:$A$263,$A$6,'月度資產配置'!$C$4:$C$263,"舊制",'月度資產配置'!$D$4:$D$263,$A18)/(100000000)</x:f>
        <x:v>2438.18801079</x:v>
      </x:c>
      <x:c r="D18" s="65" t="n">
        <x:f>SUMIFS('月度資產配置'!$E$4:$E$263,'月度資產配置'!$A$4:$A$263,$A$6,'月度資產配置'!$C$4:$C$263,"勞工保險",'月度資產配置'!$D$4:$D$263,$A18)/(100000000)</x:f>
        <x:v>1628.5862642</x:v>
      </x:c>
      <x:c r="E18" s="65" t="n">
        <x:f>SUMIFS('月度資產配置'!$E$4:$E$263,'月度資產配置'!$A$4:$A$263,$A$6,'月度資產配置'!$C$4:$C$263,"國民年金",'月度資產配置'!$D$4:$D$263,$A18)/(100000000)</x:f>
        <x:v>424.96498692</x:v>
      </x:c>
      <x:c r="F18" s="66" t="n">
        <x:f>SUM(B18:E18)</x:f>
        <x:v>9274.65680763</x:v>
      </x:c>
    </x:row>
    <x:row r="19">
      <x:c r="A19" s="30" t="str">
        <x:v>政策性貸款</x:v>
      </x:c>
      <x:c r="B19" s="65" t="n">
        <x:f>SUMIFS('月度資產配置'!$E$4:$E$263,'月度資產配置'!$A$4:$A$263,$A$6,'月度資產配置'!$C$4:$C$263,"新制",'月度資產配置'!$D$4:$D$263,$A19)/(100000000)</x:f>
        <x:v>0</x:v>
      </x:c>
      <x:c r="C19" s="65" t="n">
        <x:f>SUMIFS('月度資產配置'!$E$4:$E$263,'月度資產配置'!$A$4:$A$263,$A$6,'月度資產配置'!$C$4:$C$263,"舊制",'月度資產配置'!$D$4:$D$263,$A19)/(100000000)</x:f>
        <x:v>0</x:v>
      </x:c>
      <x:c r="D19" s="65" t="n">
        <x:f>SUMIFS('月度資產配置'!$E$4:$E$263,'月度資產配置'!$A$4:$A$263,$A$6,'月度資產配置'!$C$4:$C$263,"勞工保險",'月度資產配置'!$D$4:$D$263,$A19)/(100000000)</x:f>
        <x:v>0</x:v>
      </x:c>
      <x:c r="E19" s="65" t="n">
        <x:f>SUMIFS('月度資產配置'!$E$4:$E$263,'月度資產配置'!$A$4:$A$263,$A$6,'月度資產配置'!$C$4:$C$263,"國民年金",'月度資產配置'!$D$4:$D$263,$A19)/(100000000)</x:f>
        <x:v>0</x:v>
      </x:c>
      <x:c r="F19" s="66" t="n">
        <x:f>SUM(B19:E19)</x:f>
        <x:v>0</x:v>
      </x:c>
    </x:row>
    <x:row r="20">
      <x:c r="A20" s="30" t="str">
        <x:v>短期票券</x:v>
      </x:c>
      <x:c r="B20" s="65" t="n">
        <x:f>SUMIFS('月度資產配置'!$E$4:$E$263,'月度資產配置'!$A$4:$A$263,$A$6,'月度資產配置'!$C$4:$C$263,"新制",'月度資產配置'!$D$4:$D$263,$A20)/(100000000)</x:f>
        <x:v>1528.03509826</x:v>
      </x:c>
      <x:c r="C20" s="65" t="n">
        <x:f>SUMIFS('月度資產配置'!$E$4:$E$263,'月度資產配置'!$A$4:$A$263,$A$6,'月度資產配置'!$C$4:$C$263,"舊制",'月度資產配置'!$D$4:$D$263,$A20)/(100000000)</x:f>
        <x:v>735.24579727</x:v>
      </x:c>
      <x:c r="D20" s="65" t="n">
        <x:f>SUMIFS('月度資產配置'!$E$4:$E$263,'月度資產配置'!$A$4:$A$263,$A$6,'月度資產配置'!$C$4:$C$263,"勞工保險",'月度資產配置'!$D$4:$D$263,$A20)/(100000000)</x:f>
        <x:v>431.60086648</x:v>
      </x:c>
      <x:c r="E20" s="65" t="n">
        <x:f>SUMIFS('月度資產配置'!$E$4:$E$263,'月度資產配置'!$A$4:$A$263,$A$6,'月度資產配置'!$C$4:$C$263,"國民年金",'月度資產配置'!$D$4:$D$263,$A20)/(100000000)</x:f>
        <x:v>154.70496937</x:v>
      </x:c>
      <x:c r="F20" s="66" t="n">
        <x:f>SUM(B20:E20)</x:f>
        <x:v>2849.5867313800004</x:v>
      </x:c>
    </x:row>
    <x:row r="21">
      <x:c r="A21" s="30" t="str">
        <x:v>公債、公司債、金融債券及特別股</x:v>
      </x:c>
      <x:c r="B21" s="65" t="n">
        <x:f>SUMIFS('月度資產配置'!$E$4:$E$263,'月度資產配置'!$A$4:$A$263,$A$6,'月度資產配置'!$C$4:$C$263,"新制",'月度資產配置'!$D$4:$D$263,$A21)/(100000000)</x:f>
        <x:v>2517.34539206</x:v>
      </x:c>
      <x:c r="C21" s="65" t="n">
        <x:f>SUMIFS('月度資產配置'!$E$4:$E$263,'月度資產配置'!$A$4:$A$263,$A$6,'月度資產配置'!$C$4:$C$263,"舊制",'月度資產配置'!$D$4:$D$263,$A21)/(100000000)</x:f>
        <x:v>0</x:v>
      </x:c>
      <x:c r="D21" s="65" t="n">
        <x:f>SUMIFS('月度資產配置'!$E$4:$E$263,'月度資產配置'!$A$4:$A$263,$A$6,'月度資產配置'!$C$4:$C$263,"勞工保險",'月度資產配置'!$D$4:$D$263,$A21)/(100000000)</x:f>
        <x:v>727.26377661</x:v>
      </x:c>
      <x:c r="E21" s="65" t="n">
        <x:f>SUMIFS('月度資產配置'!$E$4:$E$263,'月度資產配置'!$A$4:$A$263,$A$6,'月度資產配置'!$C$4:$C$263,"國民年金",'月度資產配置'!$D$4:$D$263,$A21)/(100000000)</x:f>
        <x:v>612.12952203</x:v>
      </x:c>
      <x:c r="F21" s="66" t="n">
        <x:f>SUM(B21:E21)</x:f>
        <x:v>3856.7386907</x:v>
      </x:c>
    </x:row>
    <x:row r="22">
      <x:c r="A22" s="30" t="str">
        <x:v>公債、金融債券、公司債及證券化商品</x:v>
      </x:c>
      <x:c r="B22" s="65" t="n">
        <x:f>SUMIFS('月度資產配置'!$E$4:$E$263,'月度資產配置'!$A$4:$A$263,$A$6,'月度資產配置'!$C$4:$C$263,"新制",'月度資產配置'!$D$4:$D$263,$A22)/(100000000)</x:f>
        <x:v>0</x:v>
      </x:c>
      <x:c r="C22" s="65" t="n">
        <x:f>SUMIFS('月度資產配置'!$E$4:$E$263,'月度資產配置'!$A$4:$A$263,$A$6,'月度資產配置'!$C$4:$C$263,"舊制",'月度資產配置'!$D$4:$D$263,$A22)/(100000000)</x:f>
        <x:v>869.36556465</x:v>
      </x:c>
      <x:c r="D22" s="65" t="n">
        <x:f>SUMIFS('月度資產配置'!$E$4:$E$263,'月度資產配置'!$A$4:$A$263,$A$6,'月度資產配置'!$C$4:$C$263,"勞工保險",'月度資產配置'!$D$4:$D$263,$A22)/(100000000)</x:f>
        <x:v>0</x:v>
      </x:c>
      <x:c r="E22" s="65" t="n">
        <x:f>SUMIFS('月度資產配置'!$E$4:$E$263,'月度資產配置'!$A$4:$A$263,$A$6,'月度資產配置'!$C$4:$C$263,"國民年金",'月度資產配置'!$D$4:$D$263,$A22)/(100000000)</x:f>
        <x:v>0</x:v>
      </x:c>
      <x:c r="F22" s="66" t="n">
        <x:f>SUM(B22:E22)</x:f>
        <x:v>869.36556465</x:v>
      </x:c>
    </x:row>
    <x:row r="23">
      <x:c r="A23" s="30" t="str">
        <x:v>房屋及土地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0</x:v>
      </x:c>
      <x:c r="D23" s="65" t="n">
        <x:f>SUMIFS('月度資產配置'!$E$4:$E$263,'月度資產配置'!$A$4:$A$263,$A$6,'月度資產配置'!$C$4:$C$263,"勞工保險",'月度資產配置'!$D$4:$D$263,$A23)/(100000000)</x:f>
        <x:v>15.69739937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15.69739937</x:v>
      </x:c>
    </x:row>
    <x:row r="24">
      <x:c r="A24" s="30" t="str">
        <x:v>政府或公營事業貸款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7.5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7.5</x:v>
      </x:c>
    </x:row>
    <x:row r="25">
      <x:c r="A25" s="30" t="str">
        <x:v>被保險人貸款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339.59565172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339.59565172</x:v>
      </x:c>
    </x:row>
    <x:row r="26">
      <x:c r="A26" s="30" t="str">
        <x:v>股票及受益憑證投資（含期貨）</x:v>
      </x:c>
      <x:c r="B26" s="65" t="n">
        <x:f>SUMIFS('月度資產配置'!$E$4:$E$263,'月度資產配置'!$A$4:$A$263,$A$6,'月度資產配置'!$C$4:$C$263,"新制",'月度資產配置'!$D$4:$D$263,$A26)/(100000000)</x:f>
        <x:v>3115.55741999</x:v>
      </x:c>
      <x:c r="C26" s="65" t="n">
        <x:f>SUMIFS('月度資產配置'!$E$4:$E$263,'月度資產配置'!$A$4:$A$263,$A$6,'月度資產配置'!$C$4:$C$263,"舊制",'月度資產配置'!$D$4:$D$263,$A26)/(100000000)</x:f>
        <x:v>866.7977463</x:v>
      </x:c>
      <x:c r="D26" s="65" t="n">
        <x:f>SUMIFS('月度資產配置'!$E$4:$E$263,'月度資產配置'!$A$4:$A$263,$A$6,'月度資產配置'!$C$4:$C$263,"勞工保險",'月度資產配置'!$D$4:$D$263,$A26)/(100000000)</x:f>
        <x:v>5132.67409855</x:v>
      </x:c>
      <x:c r="E26" s="65" t="n">
        <x:f>SUMIFS('月度資產配置'!$E$4:$E$263,'月度資產配置'!$A$4:$A$263,$A$6,'月度資產配置'!$C$4:$C$263,"國民年金",'月度資產配置'!$D$4:$D$263,$A26)/(100000000)</x:f>
        <x:v>2321.96292425</x:v>
      </x:c>
      <x:c r="F26" s="66" t="n">
        <x:f>SUM(B26:E26)</x:f>
        <x:v>11436.992189089999</x:v>
      </x:c>
    </x:row>
    <x:row r="27">
      <x:c r="A27" s="33" t="str">
        <x:v>國外投資</x:v>
      </x:c>
      <x:c r="B27" s="67" t="n">
        <x:f>SUMIFS('月度資產配置'!$E$4:$E$263,'月度資產配置'!$A$4:$A$263,$A$6,'月度資產配置'!$C$4:$C$263,"新制",'月度資產配置'!$D$4:$D$263,$A27)/(100000000)</x:f>
        <x:v>8513.40644551</x:v>
      </x:c>
      <x:c r="C27" s="67" t="n">
        <x:f>SUMIFS('月度資產配置'!$E$4:$E$263,'月度資產配置'!$A$4:$A$263,$A$6,'月度資產配置'!$C$4:$C$263,"舊制",'月度資產配置'!$D$4:$D$263,$A27)/(100000000)</x:f>
        <x:v>518.54437267</x:v>
      </x:c>
      <x:c r="D27" s="67" t="n">
        <x:f>SUMIFS('月度資產配置'!$E$4:$E$263,'月度資產配置'!$A$4:$A$263,$A$6,'月度資產配置'!$C$4:$C$263,"勞工保險",'月度資產配置'!$D$4:$D$263,$A27)/(100000000)</x:f>
        <x:v>3019.41939259</x:v>
      </x:c>
      <x:c r="E27" s="67" t="n">
        <x:f>SUMIFS('月度資產配置'!$E$4:$E$263,'月度資產配置'!$A$4:$A$263,$A$6,'月度資產配置'!$C$4:$C$263,"國民年金",'月度資產配置'!$D$4:$D$263,$A27)/(100000000)</x:f>
        <x:v>1907.66953274</x:v>
      </x:c>
      <x:c r="F27" s="68" t="n">
        <x:f>SUM(B27:E27)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c88082f1483c4c9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51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0.15094783444843038</x:v>
      </x:c>
      <x:c r="X12" t="str">
        <x:f>A12</x:f>
        <x:v>自行運用-固定收益</x:v>
      </x:c>
      <x:c r="Y12" s="50" t="n">
        <x:f>C12/SUM($C$12:$C$17)</x:f>
        <x:v>0.04196663800086938</x:v>
      </x:c>
      <x:c r="Z12" t="str">
        <x:f>A12</x:f>
        <x:v>自行運用-固定收益</x:v>
      </x:c>
      <x:c r="AA12" s="50" t="n">
        <x:f>D12/SUM($D$12:$D$17)</x:f>
        <x:v>0.2302442410279715</x:v>
      </x:c>
      <x:c r="AB12" t="str">
        <x:f>A12</x:f>
        <x:v>自行運用-固定收益</x:v>
      </x:c>
      <x:c r="AC12" s="50" t="n">
        <x:f>E12/SUM($E$12:$E$17)</x:f>
        <x:v>0.20286466191262167</x:v>
      </x:c>
      <x:c r="AD12" t="str">
        <x:f>A12</x:f>
        <x:v>自行運用-固定收益</x:v>
      </x:c>
      <x:c r="AE12" s="50" t="n">
        <x:f>F12/SUM($F$12:$F$17)</x:f>
        <x:v>0.15328737801655803</x:v>
      </x:c>
    </x:row>
    <x:row r="13">
      <x:c r="A13" s="30" t="str">
        <x:v>自行運用-權益證券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f>A13</x:f>
        <x:v>自行運用-權益證券</x:v>
      </x:c>
      <x:c r="W13" s="50" t="n">
        <x:f>B13/SUM($B$12:$B$17)</x:f>
        <x:v>0.017588228181745852</x:v>
      </x:c>
      <x:c r="X13" t="str">
        <x:f>A13</x:f>
        <x:v>自行運用-權益證券</x:v>
      </x:c>
      <x:c r="Y13" s="50" t="n">
        <x:f>C13/SUM($C$12:$C$17)</x:f>
        <x:v>0.031023326602828895</x:v>
      </x:c>
      <x:c r="Z13" t="str">
        <x:f>A13</x:f>
        <x:v>自行運用-權益證券</x:v>
      </x:c>
      <x:c r="AA13" s="50" t="n">
        <x:f>D13/SUM($D$12:$D$17)</x:f>
        <x:v>0.1208762253088425</x:v>
      </x:c>
      <x:c r="AB13" t="str">
        <x:f>A13</x:f>
        <x:v>自行運用-權益證券</x:v>
      </x:c>
      <x:c r="AC13" s="50" t="n">
        <x:f>E13/SUM($E$12:$E$17)</x:f>
        <x:v>0.11071798709436984</x:v>
      </x:c>
      <x:c r="AD13" t="str">
        <x:f>A13</x:f>
        <x:v>自行運用-權益證券</x:v>
      </x:c>
      <x:c r="AE13" s="50" t="n">
        <x:f>F13/SUM($F$12:$F$17)</x:f>
        <x:v>0.038739979856977955</x:v>
      </x:c>
    </x:row>
    <x:row r="14">
      <x:c r="A14" s="30" t="str">
        <x:v>自行運用-另類投資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f>A14</x:f>
        <x:v>自行運用-另類投資</x:v>
      </x:c>
      <x:c r="W14" s="50" t="n">
        <x:f>B14/SUM($B$12:$B$17)</x:f>
        <x:v>0.00966165739023238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0.013398942140475737</x:v>
      </x:c>
      <x:c r="AB14" t="str">
        <x:f>A14</x:f>
        <x:v>自行運用-另類投資</x:v>
      </x:c>
      <x:c r="AC14" s="50" t="n">
        <x:f>E14/SUM($E$12:$E$17)</x:f>
        <x:v>0.04307702282717804</x:v>
      </x:c>
      <x:c r="AD14" t="str">
        <x:f>A14</x:f>
        <x:v>自行運用-另類投資</x:v>
      </x:c>
      <x:c r="AE14" s="50" t="n">
        <x:f>F14/SUM($F$12:$F$17)</x:f>
        <x:v>0.011720389704150853</x:v>
      </x:c>
    </x:row>
    <x:row r="15">
      <x:c r="A15" s="30" t="str">
        <x:v>委託經營-固定收益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18.665409487807167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3.447914331350759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2.9679040099233056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1.3514473094694006</x:v>
      </x:c>
      <x:c r="F15" s="75" t="n">
        <x:f>SUM(B15:E15)</x:f>
        <x:v>26.432675138550632</x:v>
      </x:c>
      <x:c r="V15" t="str">
        <x:f>A15</x:f>
        <x:v>委託經營-固定收益</x:v>
      </x:c>
      <x:c r="W15" s="50" t="n">
        <x:f>B15/SUM($B$12:$B$17)</x:f>
        <x:v>0.1248070705768489</x:v>
      </x:c>
      <x:c r="X15" t="str">
        <x:f>A15</x:f>
        <x:v>委託經營-固定收益</x:v>
      </x:c>
      <x:c r="Y15" s="50" t="n">
        <x:f>C15/SUM($C$12:$C$17)</x:f>
        <x:v>0.15503743923957616</x:v>
      </x:c>
      <x:c r="Z15" t="str">
        <x:f>A15</x:f>
        <x:v>委託經營-固定收益</x:v>
      </x:c>
      <x:c r="AA15" s="50" t="n">
        <x:f>D15/SUM($D$12:$D$17)</x:f>
        <x:v>0.11445900331933233</x:v>
      </x:c>
      <x:c r="AB15" t="str">
        <x:f>A15</x:f>
        <x:v>委託經營-固定收益</x:v>
      </x:c>
      <x:c r="AC15" s="50" t="n">
        <x:f>E15/SUM($E$12:$E$17)</x:f>
        <x:v>0.08071474376963363</x:v>
      </x:c>
      <x:c r="AD15" t="str">
        <x:f>A15</x:f>
        <x:v>委託經營-固定收益</x:v>
      </x:c>
      <x:c r="AE15" s="50" t="n">
        <x:f>F15/SUM($F$12:$F$17)</x:f>
        <x:v>0.12324839815046672</x:v>
      </x:c>
    </x:row>
    <x:row r="16">
      <x:c r="A16" s="30" t="str">
        <x:v>委託經營-權益證券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85.96097939067147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13.389372828924714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9.186014560713726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8.472441130755987</x:v>
      </x:c>
      <x:c r="F16" s="75" t="n">
        <x:f>SUM(B16:E16)</x:f>
        <x:v>117.00880791106589</x:v>
      </x:c>
      <x:c r="V16" t="str">
        <x:f>A16</x:f>
        <x:v>委託經營-權益證券</x:v>
      </x:c>
      <x:c r="W16" s="50" t="n">
        <x:f>B16/SUM($B$12:$B$17)</x:f>
        <x:v>0.574781819208135</x:v>
      </x:c>
      <x:c r="X16" t="str">
        <x:f>A16</x:f>
        <x:v>委託經營-權益證券</x:v>
      </x:c>
      <x:c r="Y16" s="50" t="n">
        <x:f>C16/SUM($C$12:$C$17)</x:f>
        <x:v>0.6020608045697029</x:v>
      </x:c>
      <x:c r="Z16" t="str">
        <x:f>A16</x:f>
        <x:v>委託經營-權益證券</x:v>
      </x:c>
      <x:c r="AA16" s="50" t="n">
        <x:f>D16/SUM($D$12:$D$17)</x:f>
        <x:v>0.3542641768671412</x:v>
      </x:c>
      <x:c r="AB16" t="str">
        <x:f>A16</x:f>
        <x:v>委託經營-權益證券</x:v>
      </x:c>
      <x:c r="AC16" s="50" t="n">
        <x:f>E16/SUM($E$12:$E$17)</x:f>
        <x:v>0.5060137455457032</x:v>
      </x:c>
      <x:c r="AD16" t="str">
        <x:f>A16</x:f>
        <x:v>委託經營-權益證券</x:v>
      </x:c>
      <x:c r="AE16" s="50" t="n">
        <x:f>F16/SUM($F$12:$F$17)</x:f>
        <x:v>0.5455803496598065</x:v>
      </x:c>
    </x:row>
    <x:row r="17">
      <x:c r="A17" s="30" t="str">
        <x:v>委託經營-另類投資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18.27751394478009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3.778708576146502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4.3239935298794805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0.9478803218030991</x:v>
      </x:c>
      <x:c r="F17" s="75" t="n">
        <x:f>SUM(B17:E17)</x:f>
        <x:v>27.32809637260917</x:v>
      </x:c>
      <x:c r="V17" t="str">
        <x:f>A17</x:f>
        <x:v>委託經營-另類投資</x:v>
      </x:c>
      <x:c r="W17" s="50" t="n">
        <x:f>B17/SUM($B$12:$B$17)</x:f>
        <x:v>0.12221339019460761</x:v>
      </x:c>
      <x:c r="X17" t="str">
        <x:f>A17</x:f>
        <x:v>委託經營-另類投資</x:v>
      </x:c>
      <x:c r="Y17" s="50" t="n">
        <x:f>C17/SUM($C$12:$C$17)</x:f>
        <x:v>0.16991179158702263</x:v>
      </x:c>
      <x:c r="Z17" t="str">
        <x:f>A17</x:f>
        <x:v>委託經營-另類投資</x:v>
      </x:c>
      <x:c r="AA17" s="50" t="n">
        <x:f>D17/SUM($D$12:$D$17)</x:f>
        <x:v>0.1667574113362367</x:v>
      </x:c>
      <x:c r="AB17" t="str">
        <x:f>A17</x:f>
        <x:v>委託經營-另類投資</x:v>
      </x:c>
      <x:c r="AC17" s="50" t="n">
        <x:f>E17/SUM($E$12:$E$17)</x:f>
        <x:v>0.05661183885049371</x:v>
      </x:c>
      <x:c r="AD17" t="str">
        <x:f>A17</x:f>
        <x:v>委託經營-另類投資</x:v>
      </x:c>
      <x:c r="AE17" s="50" t="n">
        <x:f>F17/SUM($F$12:$F$17)</x:f>
        <x:v>0.12742350461203997</x:v>
      </x:c>
    </x:row>
    <x:row r="18">
      <x:c r="A18" s="30" t="str">
        <x:v>轉存金融機構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14.972351058757239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7.632455817154484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5.098094425418688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1.330302040757552</x:v>
      </x:c>
      <x:c r="F18" s="75" t="n">
        <x:f>SUM(B18:E18)</x:f>
        <x:v>29.033203342087965</x:v>
      </x:c>
    </x:row>
    <x:row r="19">
      <x:c r="A19" s="30" t="str">
        <x:v>政策性貸款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0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0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0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0</x:v>
      </x:c>
      <x:c r="F19" s="75" t="n">
        <x:f>SUM(B19:E19)</x:f>
        <x:v>0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房屋及土地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0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0.049138830395993115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0.049138830395993115</x:v>
      </x:c>
    </x:row>
    <x:row r="24">
      <x:c r="A24" s="30" t="str">
        <x:v>政府或公營事業貸款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0.023477852559085927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0.023477852559085927</x:v>
      </x:c>
    </x:row>
    <x:row r="25">
      <x:c r="A25" s="30" t="str">
        <x:v>被保險人貸款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1.0630635521051808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1.0630635521051808</x:v>
      </x:c>
    </x:row>
    <x:row r="26">
      <x:c r="A26" s="30" t="str">
        <x:v>股票及受益憑證投資（含期貨）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9.752879699452183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2.713406624823916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16.067222095946157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7.268627091094068</x:v>
      </x:c>
      <x:c r="F26" s="75" t="n">
        <x:f>SUM(B26:E26)</x:f>
        <x:v>35.80213551131632</x:v>
      </x:c>
    </x:row>
    <x:row r="27">
      <x:c r="A27" s="33" t="str">
        <x:v>國外投資</x:v>
      </x:c>
      <x:c r="B27" s="76" t="n">
        <x:f>SUMIFS('月度資產配置'!$E$4:$E$263,'月度資產配置'!$A$4:$A$263,$A$6,'月度資產配置'!$C$4:$C$263,"新制",'月度資產配置'!$D$4:$D$263,$A27)/(1000000000*'儀表板(美元)'!$C$21)</x:f>
        <x:v>26.650200173767413</x:v>
      </x:c>
      <x:c r="C27" s="76" t="n">
        <x:f>SUMIFS('月度資產配置'!$E$4:$E$263,'月度資產配置'!$A$4:$A$263,$A$6,'月度資產配置'!$C$4:$C$263,"舊制",'月度資產配置'!$D$4:$D$263,$A27)/(1000000000*'儀表板(美元)'!$C$21)</x:f>
        <x:v>1.6232411102519957</x:v>
      </x:c>
      <x:c r="D27" s="76" t="n">
        <x:f>SUMIFS('月度資產配置'!$E$4:$E$263,'月度資產配置'!$A$4:$A$263,$A$6,'月度資產配置'!$C$4:$C$263,"勞工保險",'月度資產配置'!$D$4:$D$263,$A27)/(1000000000*'儀表板(美元)'!$C$21)</x:f>
        <x:v>9.451931108436375</x:v>
      </x:c>
      <x:c r="E27" s="76" t="n">
        <x:f>SUMIFS('月度資產配置'!$E$4:$E$263,'月度資產配置'!$A$4:$A$263,$A$6,'月度資產配置'!$C$4:$C$263,"國民年金",'月度資產配置'!$D$4:$D$263,$A27)/(1000000000*'儀表板(美元)'!$C$21)</x:f>
        <x:v>5.971731202817343</x:v>
      </x:c>
      <x:c r="F27" s="77" t="n">
        <x:f>SUM(B27:E27)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492d294c71b2451c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88999938964844" hidden="0" customWidth="1"/>
    <x:col min="2" max="2" width="7.440000057220459" hidden="0" customWidth="1"/>
    <x:col min="3" max="3" width="7.110000133514404" hidden="0" customWidth="1"/>
    <x:col min="4" max="4" width="28" hidden="0" customWidth="1"/>
    <x:col min="5" max="5" width="14.109999656677246" hidden="0" customWidth="1"/>
    <x:col min="6" max="6" width="14.329999923706055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bae52c94d9864ba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1.779999732971191" hidden="0" customWidth="1"/>
    <x:col min="8" max="8" width="12.77999973297119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3382675c3ba5416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0.890000343322754" hidden="0" customWidth="1"/>
    <x:col min="8" max="8" width="1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瑞銀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信安環球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瑞銀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安聯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野村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8472e871b63a473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.439998626708984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.329999923706055" hidden="0" customWidth="1"/>
    <x:col min="9" max="9" width="22.670000076293945" hidden="0" customWidth="1"/>
    <x:col min="10" max="10" width="7.110000133514404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0affc87d4806458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780000686645508" hidden="0" customWidth="1"/>
    <x:col min="4" max="4" width="17.110000610351562" hidden="0" customWidth="1"/>
    <x:col min="5" max="5" width="3.7799999713897705" hidden="0" customWidth="1"/>
    <x:col min="6" max="6" width="5.440000057220459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7.110000610351562" hidden="0" customWidth="1"/>
    <x:col min="11" max="11" width="3.7799999713897705" hidden="0" customWidth="1"/>
    <x:col min="12" max="12" width="5.440000057220459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IFERROR(I9/SUM($I$9:$I$59),0)</x:f>
        <x:v>0.1425863938130672</x:v>
      </x:c>
      <x:c r="K9" s="28" t="n">
        <x:f>RANK(I9,$I$9:$I$59,0)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IFERROR(I10/SUM($I$9:$I$59),0)</x:f>
        <x:v>0.09813994841568788</x:v>
      </x:c>
      <x:c r="K10" s="31" t="n">
        <x:f>RANK(I10,$I$9:$I$59,0)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IFERROR(I11/SUM($I$9:$I$59),0)</x:f>
        <x:v>0.0658173479525746</x:v>
      </x:c>
      <x:c r="K11" s="31" t="n">
        <x:f>RANK(I11,$I$9:$I$59,0)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IFERROR(I12/SUM($I$9:$I$59),0)</x:f>
        <x:v>0.05198129730148962</x:v>
      </x:c>
      <x:c r="K12" s="31" t="n">
        <x:f>RANK(I12,$I$9:$I$59,0)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IFERROR(I13/SUM($I$9:$I$59),0)</x:f>
        <x:v>0.04985510490232206</x:v>
      </x:c>
      <x:c r="K13" s="31" t="n">
        <x:f>RANK(I13,$I$9:$I$59,0)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IFERROR(I14/SUM($I$9:$I$59),0)</x:f>
        <x:v>0.04728217040768952</x:v>
      </x:c>
      <x:c r="K14" s="31" t="n">
        <x:f>RANK(I14,$I$9:$I$59,0)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SUM(I19:I59)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IFERROR(I15/SUM($I$9:$I$59),0)</x:f>
        <x:v>0.041707268576776396</x:v>
      </x:c>
      <x:c r="K15" s="31" t="n">
        <x:f>RANK(I15,$I$9:$I$59,0)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IFERROR(I16/SUM($I$9:$I$59),0)</x:f>
        <x:v>0.0390633442383119</x:v>
      </x:c>
      <x:c r="K16" s="31" t="n">
        <x:f>RANK(I16,$I$9:$I$59,0)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IFERROR(I17/SUM($I$9:$I$59),0)</x:f>
        <x:v>0.03877277801889003</x:v>
      </x:c>
      <x:c r="K17" s="31" t="n">
        <x:f>RANK(I17,$I$9:$I$59,0)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IFERROR(I18/SUM($I$9:$I$59),0)</x:f>
        <x:v>0.03265450709707709</x:v>
      </x:c>
      <x:c r="K18" s="31" t="n">
        <x:f>RANK(I18,$I$9:$I$59,0)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IFERROR(I19/SUM($I$9:$I$59),0)</x:f>
        <x:v>0.028196924357274576</x:v>
      </x:c>
      <x:c r="K19" s="31" t="n">
        <x:f>RANK(I19,$I$9:$I$59,0)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IFERROR(I20/SUM($I$9:$I$59),0)</x:f>
        <x:v>0.02773664317707005</x:v>
      </x:c>
      <x:c r="K20" s="31" t="n">
        <x:f>RANK(I20,$I$9:$I$59,0)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IFERROR(I21/SUM($I$9:$I$59),0)</x:f>
        <x:v>0.024308666913996812</x:v>
      </x:c>
      <x:c r="K21" s="31" t="n">
        <x:f>RANK(I21,$I$9:$I$59,0)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IFERROR(I22/SUM($I$9:$I$59),0)</x:f>
        <x:v>0.024260201503502884</x:v>
      </x:c>
      <x:c r="K22" s="31" t="n">
        <x:f>RANK(I22,$I$9:$I$59,0)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IFERROR(I23/SUM($I$9:$I$59),0)</x:f>
        <x:v>0.023529260688206054</x:v>
      </x:c>
      <x:c r="K23" s="31" t="n">
        <x:f>RANK(I23,$I$9:$I$59,0)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IFERROR(I24/SUM($I$9:$I$59),0)</x:f>
        <x:v>0.02066872267919953</x:v>
      </x:c>
      <x:c r="K24" s="31" t="n">
        <x:f>RANK(I24,$I$9:$I$59,0)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IFERROR(I25/SUM($I$9:$I$59),0)</x:f>
        <x:v>0.019666098114268265</x:v>
      </x:c>
      <x:c r="K25" s="31" t="n">
        <x:f>RANK(I25,$I$9:$I$59,0)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IFERROR(I26/SUM($I$9:$I$59),0)</x:f>
        <x:v>0.019110879114965472</x:v>
      </x:c>
      <x:c r="K26" s="31" t="n">
        <x:f>RANK(I26,$I$9:$I$59,0)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IFERROR(I27/SUM($I$9:$I$59),0)</x:f>
        <x:v>0.014446878972447797</x:v>
      </x:c>
      <x:c r="K27" s="31" t="n">
        <x:f>RANK(I27,$I$9:$I$59,0)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IFERROR(I28/SUM($I$9:$I$59),0)</x:f>
        <x:v>0.013750672143502425</x:v>
      </x:c>
      <x:c r="K28" s="31" t="n">
        <x:f>RANK(I28,$I$9:$I$59,0)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IFERROR(I29/SUM($I$9:$I$59),0)</x:f>
        <x:v>0.013670178215349427</x:v>
      </x:c>
      <x:c r="K29" s="31" t="n">
        <x:f>RANK(I29,$I$9:$I$59,0)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IFERROR(I30/SUM($I$9:$I$59),0)</x:f>
        <x:v>0.013436471420130734</x:v>
      </x:c>
      <x:c r="K30" s="31" t="n">
        <x:f>RANK(I30,$I$9:$I$59,0)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IFERROR(I31/SUM($I$9:$I$59),0)</x:f>
        <x:v>0.011105586058408076</x:v>
      </x:c>
      <x:c r="K31" s="31" t="n">
        <x:f>RANK(I31,$I$9:$I$59,0)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IFERROR(I32/SUM($I$9:$I$59),0)</x:f>
        <x:v>0.01081426468608088</x:v>
      </x:c>
      <x:c r="K32" s="31" t="n">
        <x:f>RANK(I32,$I$9:$I$59,0)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IFERROR(I33/SUM($I$9:$I$59),0)</x:f>
        <x:v>0.01069599957979951</x:v>
      </x:c>
      <x:c r="K33" s="31" t="n">
        <x:f>RANK(I33,$I$9:$I$59,0)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Insight</x:v>
      </x:c>
      <x:c r="H34" s="40" t="n">
        <x:f>SUMIFS('國外委外明細'!$G$4:$G$188,'國外委外明細'!$F$4:$F$188,G34,'國外委外明細'!$A$4:$A$188,$B$4)</x:f>
        <x:v>1229834121</x:v>
      </x:c>
      <x:c r="I34" s="40" t="n">
        <x:f>SUMIFS('國外委外明細'!$H$4:$H$188,'國外委外明細'!$F$4:$F$188,G34,'國外委外明細'!$A$4:$A$188,$B$4)</x:f>
        <x:v>1218224544</x:v>
      </x:c>
      <x:c r="J34" s="43" t="n">
        <x:f>IFERROR(I34/SUM($I$9:$I$59),0)</x:f>
        <x:v>0.009743537151948088</x:v>
      </x:c>
      <x:c r="K34" s="31" t="n">
        <x:f>RANK(I34,$I$9:$I$59,0)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American Century</x:v>
      </x:c>
      <x:c r="H35" s="40" t="n">
        <x:f>SUMIFS('國外委外明細'!$G$4:$G$188,'國外委外明細'!$F$4:$F$188,G35,'國外委外明細'!$A$4:$A$188,$B$4)</x:f>
        <x:v>959838014</x:v>
      </x:c>
      <x:c r="I35" s="40" t="n">
        <x:f>SUMIFS('國外委外明細'!$H$4:$H$188,'國外委外明細'!$F$4:$F$188,G35,'國外委外明細'!$A$4:$A$188,$B$4)</x:f>
        <x:v>1175399124</x:v>
      </x:c>
      <x:c r="J35" s="43" t="n">
        <x:f>IFERROR(I35/SUM($I$9:$I$59),0)</x:f>
        <x:v>0.00940101321178211</x:v>
      </x:c>
      <x:c r="K35" s="31" t="n">
        <x:f>RANK(I35,$I$9:$I$59,0)</x:f>
        <x:v>27</x:v>
      </x:c>
      <x:c r="L35" s="32" t="n">
        <x:f>COUNTIFS('國外委外明細'!$F$4:$F$188,G35,'國外委外明細'!$A$4:$A$188,$B$4,'國外委外明細'!$J$4:$J$188,"&lt;&gt;解約")</x:f>
        <x:v>4</x:v>
      </x:c>
    </x:row>
    <x:row r="36">
      <x:c r="G36" s="30" t="str">
        <x:v>T. Rowe Price</x:v>
      </x:c>
      <x:c r="H36" s="40" t="n">
        <x:f>SUMIFS('國外委外明細'!$G$4:$G$188,'國外委外明細'!$F$4:$F$188,G36,'國外委外明細'!$A$4:$A$188,$B$4)</x:f>
        <x:v>960000000</x:v>
      </x:c>
      <x:c r="I36" s="40" t="n">
        <x:f>SUMIFS('國外委外明細'!$H$4:$H$188,'國外委外明細'!$F$4:$F$188,G36,'國外委外明細'!$A$4:$A$188,$B$4)</x:f>
        <x:v>1142513053</x:v>
      </x:c>
      <x:c r="J36" s="43" t="n">
        <x:f>IFERROR(I36/SUM($I$9:$I$59),0)</x:f>
        <x:v>0.009137985631071913</x:v>
      </x:c>
      <x:c r="K36" s="31" t="n">
        <x:f>RANK(I36,$I$9:$I$59,0)</x:f>
        <x:v>28</x:v>
      </x:c>
      <x:c r="L36" s="32" t="n">
        <x:f>COUNTIFS('國外委外明細'!$F$4:$F$188,G36,'國外委外明細'!$A$4:$A$188,$B$4,'國外委外明細'!$J$4:$J$188,"&lt;&gt;解約")</x:f>
        <x:v>3</x:v>
      </x:c>
    </x:row>
    <x:row r="37">
      <x:c r="G37" s="30" t="str">
        <x:v>Ninety One</x:v>
      </x:c>
      <x:c r="H37" s="40" t="n">
        <x:f>SUMIFS('國外委外明細'!$G$4:$G$188,'國外委外明細'!$F$4:$F$188,G37,'國外委外明細'!$A$4:$A$188,$B$4)</x:f>
        <x:v>900000000</x:v>
      </x:c>
      <x:c r="I37" s="40" t="n">
        <x:f>SUMIFS('國外委外明細'!$H$4:$H$188,'國外委外明細'!$F$4:$F$188,G37,'國外委外明細'!$A$4:$A$188,$B$4)</x:f>
        <x:v>1077267573</x:v>
      </x:c>
      <x:c r="J37" s="43" t="n">
        <x:f>IFERROR(I37/SUM($I$9:$I$59),0)</x:f>
        <x:v>0.008616142788955701</x:v>
      </x:c>
      <x:c r="K37" s="31" t="n">
        <x:f>RANK(I37,$I$9:$I$59,0)</x:f>
        <x:v>29</x:v>
      </x:c>
      <x:c r="L37" s="32" t="n">
        <x:f>COUNTIFS('國外委外明細'!$F$4:$F$188,G37,'國外委外明細'!$A$4:$A$188,$B$4,'國外委外明細'!$J$4:$J$188,"&lt;&gt;解約")</x:f>
        <x:v>2</x:v>
      </x:c>
    </x:row>
    <x:row r="38">
      <x:c r="G38" s="30" t="str">
        <x:v>Clearbridge</x:v>
      </x:c>
      <x:c r="H38" s="40" t="n">
        <x:f>SUMIFS('國外委外明細'!$G$4:$G$188,'國外委外明細'!$F$4:$F$188,G38,'國外委外明細'!$A$4:$A$188,$B$4)</x:f>
        <x:v>700000000</x:v>
      </x:c>
      <x:c r="I38" s="40" t="n">
        <x:f>SUMIFS('國外委外明細'!$H$4:$H$188,'國外委外明細'!$F$4:$F$188,G38,'國外委外明細'!$A$4:$A$188,$B$4)</x:f>
        <x:v>957679882</x:v>
      </x:c>
      <x:c r="J38" s="43" t="n">
        <x:f>IFERROR(I38/SUM($I$9:$I$59),0)</x:f>
        <x:v>0.007659663036587334</x:v>
      </x:c>
      <x:c r="K38" s="31" t="n">
        <x:f>RANK(I38,$I$9:$I$59,0)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聯博</x:v>
      </x:c>
      <x:c r="H39" s="40" t="n">
        <x:f>SUMIFS('國外委外明細'!$G$4:$G$188,'國外委外明細'!$F$4:$F$188,G39,'國外委外明細'!$A$4:$A$188,$B$4)</x:f>
        <x:v>900495639</x:v>
      </x:c>
      <x:c r="I39" s="40" t="n">
        <x:f>SUMIFS('國外委外明細'!$H$4:$H$188,'國外委外明細'!$F$4:$F$188,G39,'國外委外明細'!$A$4:$A$188,$B$4)</x:f>
        <x:v>897752897</x:v>
      </x:c>
      <x:c r="J39" s="43" t="n">
        <x:f>IFERROR(I39/SUM($I$9:$I$59),0)</x:f>
        <x:v>0.007180358291310641</x:v>
      </x:c>
      <x:c r="K39" s="31" t="n">
        <x:f>RANK(I39,$I$9:$I$59,0)</x:f>
        <x:v>31</x:v>
      </x:c>
      <x:c r="L39" s="32" t="n">
        <x:f>COUNTIFS('國外委外明細'!$F$4:$F$188,G39,'國外委外明細'!$A$4:$A$188,$B$4,'國外委外明細'!$J$4:$J$188,"&lt;&gt;解約")</x:f>
        <x:v>1</x:v>
      </x:c>
    </x:row>
    <x:row r="40">
      <x:c r="G40" s="30" t="str">
        <x:v>信安</x:v>
      </x:c>
      <x:c r="H40" s="40" t="n">
        <x:f>SUMIFS('國外委外明細'!$G$4:$G$188,'國外委外明細'!$F$4:$F$188,G40,'國外委外明細'!$A$4:$A$188,$B$4)</x:f>
        <x:v>708888643</x:v>
      </x:c>
      <x:c r="I40" s="40" t="n">
        <x:f>SUMIFS('國外委外明細'!$H$4:$H$188,'國外委外明細'!$F$4:$F$188,G40,'國外委外明細'!$A$4:$A$188,$B$4)</x:f>
        <x:v>801020312</x:v>
      </x:c>
      <x:c r="J40" s="43" t="n">
        <x:f>IFERROR(I40/SUM($I$9:$I$59),0)</x:f>
        <x:v>0.006406677002098759</x:v>
      </x:c>
      <x:c r="K40" s="31" t="n">
        <x:f>RANK(I40,$I$9:$I$59,0)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Pictet</x:v>
      </x:c>
      <x:c r="H41" s="40" t="n">
        <x:f>SUMIFS('國外委外明細'!$G$4:$G$188,'國外委外明細'!$F$4:$F$188,G41,'國外委外明細'!$A$4:$A$188,$B$4)</x:f>
        <x:v>618843493</x:v>
      </x:c>
      <x:c r="I41" s="40" t="n">
        <x:f>SUMIFS('國外委外明細'!$H$4:$H$188,'國外委外明細'!$F$4:$F$188,G41,'國外委外明細'!$A$4:$A$188,$B$4)</x:f>
        <x:v>769778438</x:v>
      </x:c>
      <x:c r="J41" s="43" t="n">
        <x:f>IFERROR(I41/SUM($I$9:$I$59),0)</x:f>
        <x:v>0.00615679994822167</x:v>
      </x:c>
      <x:c r="K41" s="31" t="n">
        <x:f>RANK(I41,$I$9:$I$59,0)</x:f>
        <x:v>33</x:v>
      </x:c>
      <x:c r="L41" s="32" t="n">
        <x:f>COUNTIFS('國外委外明細'!$F$4:$F$188,G41,'國外委外明細'!$A$4:$A$188,$B$4,'國外委外明細'!$J$4:$J$188,"&lt;&gt;解約")</x:f>
        <x:v>1</x:v>
      </x:c>
    </x:row>
    <x:row r="42">
      <x:c r="G42" s="30" t="str">
        <x:v>滙豐</x:v>
      </x:c>
      <x:c r="H42" s="40" t="n">
        <x:f>SUMIFS('國外委外明細'!$G$4:$G$188,'國外委外明細'!$F$4:$F$188,G42,'國外委外明細'!$A$4:$A$188,$B$4)</x:f>
        <x:v>460000000</x:v>
      </x:c>
      <x:c r="I42" s="40" t="n">
        <x:f>SUMIFS('國外委外明細'!$H$4:$H$188,'國外委外明細'!$F$4:$F$188,G42,'國外委外明細'!$A$4:$A$188,$B$4)</x:f>
        <x:v>706462588</x:v>
      </x:c>
      <x:c r="J42" s="43" t="n">
        <x:f>IFERROR(I42/SUM($I$9:$I$59),0)</x:f>
        <x:v>0.005650390567602449</x:v>
      </x:c>
      <x:c r="K42" s="31" t="n">
        <x:f>RANK(I42,$I$9:$I$59,0)</x:f>
        <x:v>34</x:v>
      </x:c>
      <x:c r="L42" s="32" t="n">
        <x:f>COUNTIFS('國外委外明細'!$F$4:$F$188,G42,'國外委外明細'!$A$4:$A$188,$B$4,'國外委外明細'!$J$4:$J$188,"&lt;&gt;解約")</x:f>
        <x:v>2</x:v>
      </x:c>
    </x:row>
    <x:row r="43">
      <x:c r="G43" s="30" t="str">
        <x:v>荷寶</x:v>
      </x:c>
      <x:c r="H43" s="40" t="n">
        <x:f>SUMIFS('國外委外明細'!$G$4:$G$188,'國外委外明細'!$F$4:$F$188,G43,'國外委外明細'!$A$4:$A$188,$B$4)</x:f>
        <x:v>506416368</x:v>
      </x:c>
      <x:c r="I43" s="40" t="n">
        <x:f>SUMIFS('國外委外明細'!$H$4:$H$188,'國外委外明細'!$F$4:$F$188,G43,'國外委外明細'!$A$4:$A$188,$B$4)</x:f>
        <x:v>697308846</x:v>
      </x:c>
      <x:c r="J43" s="43" t="n">
        <x:f>IFERROR(I43/SUM($I$9:$I$59),0)</x:f>
        <x:v>0.005577177607236788</x:v>
      </x:c>
      <x:c r="K43" s="31" t="n">
        <x:f>RANK(I43,$I$9:$I$59,0)</x:f>
        <x:v>35</x:v>
      </x:c>
      <x:c r="L43" s="32" t="n">
        <x:f>COUNTIFS('國外委外明細'!$F$4:$F$188,G43,'國外委外明細'!$A$4:$A$188,$B$4,'國外委外明細'!$J$4:$J$188,"&lt;&gt;解約")</x:f>
        <x:v>1</x:v>
      </x:c>
    </x:row>
    <x:row r="44">
      <x:c r="G44" s="30" t="str">
        <x:v>摩根士丹利</x:v>
      </x:c>
      <x:c r="H44" s="40" t="n">
        <x:f>SUMIFS('國外委外明細'!$G$4:$G$188,'國外委外明細'!$F$4:$F$188,G44,'國外委外明細'!$A$4:$A$188,$B$4)</x:f>
        <x:v>460000000</x:v>
      </x:c>
      <x:c r="I44" s="40" t="n">
        <x:f>SUMIFS('國外委外明細'!$H$4:$H$188,'國外委外明細'!$F$4:$F$188,G44,'國外委外明細'!$A$4:$A$188,$B$4)</x:f>
        <x:v>690570828</x:v>
      </x:c>
      <x:c r="J44" s="43" t="n">
        <x:f>IFERROR(I44/SUM($I$9:$I$59),0)</x:f>
        <x:v>0.005523285958905744</x:v>
      </x:c>
      <x:c r="K44" s="31" t="n">
        <x:f>RANK(I44,$I$9:$I$59,0)</x:f>
        <x:v>36</x:v>
      </x:c>
      <x:c r="L44" s="32" t="n">
        <x:f>COUNTIFS('國外委外明細'!$F$4:$F$188,G44,'國外委外明細'!$A$4:$A$188,$B$4,'國外委外明細'!$J$4:$J$188,"&lt;&gt;解約")</x:f>
        <x:v>2</x:v>
      </x:c>
    </x:row>
    <x:row r="45">
      <x:c r="G45" s="30" t="str">
        <x:v>PGIM</x:v>
      </x:c>
      <x:c r="H45" s="40" t="n">
        <x:f>SUMIFS('國外委外明細'!$G$4:$G$188,'國外委外明細'!$F$4:$F$188,G45,'國外委外明細'!$A$4:$A$188,$B$4)</x:f>
        <x:v>600000000</x:v>
      </x:c>
      <x:c r="I45" s="40" t="n">
        <x:f>SUMIFS('國外委外明細'!$H$4:$H$188,'國外委外明細'!$F$4:$F$188,G45,'國外委外明細'!$A$4:$A$188,$B$4)</x:f>
        <x:v>688857784</x:v>
      </x:c>
      <x:c r="J45" s="43" t="n">
        <x:f>IFERROR(I45/SUM($I$9:$I$59),0)</x:f>
        <x:v>0.005509584783749547</x:v>
      </x:c>
      <x:c r="K45" s="31" t="n">
        <x:f>RANK(I45,$I$9:$I$59,0)</x:f>
        <x:v>37</x:v>
      </x:c>
      <x:c r="L45" s="32" t="n">
        <x:f>COUNTIFS('國外委外明細'!$F$4:$F$188,G45,'國外委外明細'!$A$4:$A$188,$B$4,'國外委外明細'!$J$4:$J$188,"&lt;&gt;解約")</x:f>
        <x:v>1</x:v>
      </x:c>
    </x:row>
    <x:row r="46">
      <x:c r="G46" s="30" t="str">
        <x:v>Amundi</x:v>
      </x:c>
      <x:c r="H46" s="40" t="n">
        <x:f>SUMIFS('國外委外明細'!$G$4:$G$188,'國外委外明細'!$F$4:$F$188,G46,'國外委外明細'!$A$4:$A$188,$B$4)</x:f>
        <x:v>500000000</x:v>
      </x:c>
      <x:c r="I46" s="40" t="n">
        <x:f>SUMIFS('國外委外明細'!$H$4:$H$188,'國外委外明細'!$F$4:$F$188,G46,'國外委外明細'!$A$4:$A$188,$B$4)</x:f>
        <x:v>666575819</x:v>
      </x:c>
      <x:c r="J46" s="43" t="n">
        <x:f>IFERROR(I46/SUM($I$9:$I$59),0)</x:f>
        <x:v>0.005331370385701836</x:v>
      </x:c>
      <x:c r="K46" s="31" t="n">
        <x:f>RANK(I46,$I$9:$I$59,0)</x:f>
        <x:v>38</x:v>
      </x:c>
      <x:c r="L46" s="32" t="n">
        <x:f>COUNTIFS('國外委外明細'!$F$4:$F$188,G46,'國外委外明細'!$A$4:$A$188,$B$4,'國外委外明細'!$J$4:$J$188,"&lt;&gt;解約")</x:f>
        <x:v>2</x:v>
      </x:c>
    </x:row>
    <x:row r="47">
      <x:c r="G47" s="30" t="str">
        <x:v>LGIM</x:v>
      </x:c>
      <x:c r="H47" s="40" t="n">
        <x:f>SUMIFS('國外委外明細'!$G$4:$G$188,'國外委外明細'!$F$4:$F$188,G47,'國外委外明細'!$A$4:$A$188,$B$4)</x:f>
        <x:v>400000000</x:v>
      </x:c>
      <x:c r="I47" s="40" t="n">
        <x:f>SUMIFS('國外委外明細'!$H$4:$H$188,'國外委外明細'!$F$4:$F$188,G47,'國外委外明細'!$A$4:$A$188,$B$4)</x:f>
        <x:v>593041556</x:v>
      </x:c>
      <x:c r="J47" s="43" t="n">
        <x:f>IFERROR(I47/SUM($I$9:$I$59),0)</x:f>
        <x:v>0.004743232651151627</x:v>
      </x:c>
      <x:c r="K47" s="31" t="n">
        <x:f>RANK(I47,$I$9:$I$59,0)</x:f>
        <x:v>39</x:v>
      </x:c>
      <x:c r="L47" s="32" t="n">
        <x:f>COUNTIFS('國外委外明細'!$F$4:$F$188,G47,'國外委外明細'!$A$4:$A$188,$B$4,'國外委外明細'!$J$4:$J$188,"&lt;&gt;解約")</x:f>
        <x:v>1</x:v>
      </x:c>
    </x:row>
    <x:row r="48">
      <x:c r="G48" s="30" t="str">
        <x:v>信安環球</x:v>
      </x:c>
      <x:c r="H48" s="40" t="n">
        <x:f>SUMIFS('國外委外明細'!$G$4:$G$188,'國外委外明細'!$F$4:$F$188,G48,'國外委外明細'!$A$4:$A$188,$B$4)</x:f>
        <x:v>425091462</x:v>
      </x:c>
      <x:c r="I48" s="40" t="n">
        <x:f>SUMIFS('國外委外明細'!$H$4:$H$188,'國外委外明細'!$F$4:$F$188,G48,'國外委外明細'!$A$4:$A$188,$B$4)</x:f>
        <x:v>478192278</x:v>
      </x:c>
      <x:c r="J48" s="43" t="n">
        <x:f>IFERROR(I48/SUM($I$9:$I$59),0)</x:f>
        <x:v>0.0038246514153861015</x:v>
      </x:c>
      <x:c r="K48" s="31" t="n">
        <x:f>RANK(I48,$I$9:$I$59,0)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IFERROR(I49/SUM($I$9:$I$59),0)</x:f>
        <x:v>0.0036664290298600195</x:v>
      </x:c>
      <x:c r="K49" s="31" t="n">
        <x:f>RANK(I49,$I$9:$I$59,0)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UBS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422040147</x:v>
      </x:c>
      <x:c r="J50" s="43" t="n">
        <x:f>IFERROR(I50/SUM($I$9:$I$59),0)</x:f>
        <x:v>0.0033755385016345</x:v>
      </x:c>
      <x:c r="K50" s="31" t="n">
        <x:f>RANK(I50,$I$9:$I$59,0)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HSBC</x:v>
      </x:c>
      <x:c r="H51" s="40" t="n">
        <x:f>SUMIFS('國外委外明細'!$G$4:$G$188,'國外委外明細'!$F$4:$F$188,G51,'國外委外明細'!$A$4:$A$188,$B$4)</x:f>
        <x:v>400000000</x:v>
      </x:c>
      <x:c r="I51" s="40" t="n">
        <x:f>SUMIFS('國外委外明細'!$H$4:$H$188,'國外委外明細'!$F$4:$F$188,G51,'國外委外明細'!$A$4:$A$188,$B$4)</x:f>
        <x:v>421747465</x:v>
      </x:c>
      <x:c r="J51" s="43" t="n">
        <x:f>IFERROR(I51/SUM($I$9:$I$59),0)</x:f>
        <x:v>0.003373197588413902</x:v>
      </x:c>
      <x:c r="K51" s="31" t="n">
        <x:f>RANK(I51,$I$9:$I$59,0)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瑞銀</x:v>
      </x:c>
      <x:c r="H52" s="40" t="n">
        <x:f>SUMIFS('國外委外明細'!$G$4:$G$188,'國外委外明細'!$F$4:$F$188,G52,'國外委外明細'!$A$4:$A$188,$B$4)</x:f>
        <x:v>361201485</x:v>
      </x:c>
      <x:c r="I52" s="40" t="n">
        <x:f>SUMIFS('國外委外明細'!$H$4:$H$188,'國外委外明細'!$F$4:$F$188,G52,'國外委外明細'!$A$4:$A$188,$B$4)</x:f>
        <x:v>367521178</x:v>
      </x:c>
      <x:c r="J52" s="43" t="n">
        <x:f>IFERROR(I52/SUM($I$9:$I$59),0)</x:f>
        <x:v>0.002939487855180437</x:v>
      </x:c>
      <x:c r="K52" s="31" t="n">
        <x:f>RANK(I52,$I$9:$I$59,0)</x:f>
        <x:v>44</x:v>
      </x:c>
      <x:c r="L52" s="32" t="n">
        <x:f>COUNTIFS('國外委外明細'!$F$4:$F$188,G52,'國外委外明細'!$A$4:$A$188,$B$4,'國外委外明細'!$J$4:$J$188,"&lt;&gt;解約")</x:f>
        <x:v>1</x:v>
      </x:c>
    </x:row>
    <x:row r="53">
      <x:c r="G53" s="30" t="str">
        <x:v>Allianz</x:v>
      </x:c>
      <x:c r="H53" s="40" t="n">
        <x:f>SUMIFS('國外委外明細'!$G$4:$G$188,'國外委外明細'!$F$4:$F$188,G53,'國外委外明細'!$A$4:$A$188,$B$4)</x:f>
        <x:v>275923278</x:v>
      </x:c>
      <x:c r="I53" s="40" t="n">
        <x:f>SUMIFS('國外委外明細'!$H$4:$H$188,'國外委外明細'!$F$4:$F$188,G53,'國外委外明細'!$A$4:$A$188,$B$4)</x:f>
        <x:v>275639320</x:v>
      </x:c>
      <x:c r="J53" s="43" t="n">
        <x:f>IFERROR(I53/SUM($I$9:$I$59),0)</x:f>
        <x:v>0.002204603386284842</x:v>
      </x:c>
      <x:c r="K53" s="31" t="n">
        <x:f>RANK(I53,$I$9:$I$59,0)</x:f>
        <x:v>45</x:v>
      </x:c>
      <x:c r="L53" s="32" t="n">
        <x:f>COUNTIFS('國外委外明細'!$F$4:$F$188,G53,'國外委外明細'!$A$4:$A$188,$B$4,'國外委外明細'!$J$4:$J$188,"&lt;&gt;解約")</x:f>
        <x:v>1</x:v>
      </x:c>
    </x:row>
    <x:row r="54">
      <x:c r="G54" s="30" t="str">
        <x:v>ClearBridge</x:v>
      </x:c>
      <x:c r="H54" s="40" t="n">
        <x:f>SUMIFS('國外委外明細'!$G$4:$G$188,'國外委外明細'!$F$4:$F$188,G54,'國外委外明細'!$A$4:$A$188,$B$4)</x:f>
        <x:v>60000000</x:v>
      </x:c>
      <x:c r="I54" s="40" t="n">
        <x:f>SUMIFS('國外委外明細'!$H$4:$H$188,'國外委外明細'!$F$4:$F$188,G54,'國外委外明細'!$A$4:$A$188,$B$4)</x:f>
        <x:v>90179012</x:v>
      </x:c>
      <x:c r="J54" s="43" t="n">
        <x:f>IFERROR(I54/SUM($I$9:$I$59),0)</x:f>
        <x:v>0.0007212648588271855</x:v>
      </x:c>
      <x:c r="K54" s="31" t="n">
        <x:f>RANK(I54,$I$9:$I$59,0)</x:f>
        <x:v>46</x:v>
      </x:c>
      <x:c r="L54" s="32" t="n">
        <x:f>COUNTIFS('國外委外明細'!$F$4:$F$188,G54,'國外委外明細'!$A$4:$A$188,$B$4,'國外委外明細'!$J$4:$J$188,"&lt;&gt;解約")</x:f>
        <x:v>2</x:v>
      </x:c>
    </x:row>
    <x:row r="55">
      <x:c r="G55" s="30" t="str">
        <x:v>柏瑞</x:v>
      </x:c>
      <x:c r="H55" s="40" t="n">
        <x:f>SUMIFS('國外委外明細'!$G$4:$G$188,'國外委外明細'!$F$4:$F$188,G55,'國外委外明細'!$A$4:$A$188,$B$4)</x:f>
        <x:v>0</x:v>
      </x:c>
      <x:c r="I55" s="40" t="n">
        <x:f>SUMIFS('國外委外明細'!$H$4:$H$188,'國外委外明細'!$F$4:$F$188,G55,'國外委外明細'!$A$4:$A$188,$B$4)</x:f>
        <x:v>0</x:v>
      </x:c>
      <x:c r="J55" s="43" t="n">
        <x:f>IFERROR(I55/SUM($I$9:$I$59),0)</x:f>
        <x:v>0</x:v>
      </x:c>
      <x:c r="K55" s="31" t="n">
        <x:f>RANK(I55,$I$9:$I$59,0)</x:f>
        <x:v>47</x:v>
      </x:c>
      <x:c r="L55" s="32" t="n">
        <x:f>COUNTIFS('國外委外明細'!$F$4:$F$188,G55,'國外委外明細'!$A$4:$A$188,$B$4,'國外委外明細'!$J$4:$J$188,"&lt;&gt;解約")</x:f>
        <x:v>0</x:v>
      </x:c>
    </x:row>
    <x:row r="56">
      <x:c r="G56" s="30" t="str">
        <x:v>安聯</x:v>
      </x:c>
      <x:c r="H56" s="40" t="n">
        <x:f>SUMIFS('國外委外明細'!$G$4:$G$188,'國外委外明細'!$F$4:$F$188,G56,'國外委外明細'!$A$4:$A$188,$B$4)</x:f>
        <x:v>0</x:v>
      </x:c>
      <x:c r="I56" s="40" t="n">
        <x:f>SUMIFS('國外委外明細'!$H$4:$H$188,'國外委外明細'!$F$4:$F$188,G56,'國外委外明細'!$A$4:$A$188,$B$4)</x:f>
        <x:v>0</x:v>
      </x:c>
      <x:c r="J56" s="43" t="n">
        <x:f>IFERROR(I56/SUM($I$9:$I$59),0)</x:f>
        <x:v>0</x:v>
      </x:c>
      <x:c r="K56" s="31" t="n">
        <x:f>RANK(I56,$I$9:$I$59,0)</x:f>
        <x:v>47</x:v>
      </x:c>
      <x:c r="L56" s="32" t="n">
        <x:f>COUNTIFS('國外委外明細'!$F$4:$F$188,G56,'國外委外明細'!$A$4:$A$188,$B$4,'國外委外明細'!$J$4:$J$188,"&lt;&gt;解約")</x:f>
        <x:v>0</x:v>
      </x:c>
    </x:row>
    <x:row r="57">
      <x:c r="G57" s="30" t="str">
        <x:v>玉山</x:v>
      </x:c>
      <x:c r="H57" s="40" t="n">
        <x:f>SUMIFS('國外委外明細'!$G$4:$G$188,'國外委外明細'!$F$4:$F$188,G57,'國外委外明細'!$A$4:$A$188,$B$4)</x:f>
        <x:v>0</x:v>
      </x:c>
      <x:c r="I57" s="40" t="n">
        <x:f>SUMIFS('國外委外明細'!$H$4:$H$188,'國外委外明細'!$F$4:$F$188,G57,'國外委外明細'!$A$4:$A$188,$B$4)</x:f>
        <x:v>0</x:v>
      </x:c>
      <x:c r="J57" s="43" t="n">
        <x:f>IFERROR(I57/SUM($I$9:$I$59),0)</x:f>
        <x:v>0</x:v>
      </x:c>
      <x:c r="K57" s="31" t="n">
        <x:f>RANK(I57,$I$9:$I$59,0)</x:f>
        <x:v>47</x:v>
      </x:c>
      <x:c r="L57" s="32" t="n">
        <x:f>COUNTIFS('國外委外明細'!$F$4:$F$188,G57,'國外委外明細'!$A$4:$A$188,$B$4,'國外委外明細'!$J$4:$J$188,"&lt;&gt;解約")</x:f>
        <x:v>0</x:v>
      </x:c>
    </x:row>
    <x:row r="58">
      <x:c r="G58" s="30" t="str">
        <x:v>野村</x:v>
      </x:c>
      <x:c r="H58" s="40" t="n">
        <x:f>SUMIFS('國外委外明細'!$G$4:$G$188,'國外委外明細'!$F$4:$F$188,G58,'國外委外明細'!$A$4:$A$188,$B$4)</x:f>
        <x:v>0</x:v>
      </x:c>
      <x:c r="I58" s="40" t="n">
        <x:f>SUMIFS('國外委外明細'!$H$4:$H$188,'國外委外明細'!$F$4:$F$188,G58,'國外委外明細'!$A$4:$A$188,$B$4)</x:f>
        <x:v>0</x:v>
      </x:c>
      <x:c r="J58" s="43" t="n">
        <x:f>IFERROR(I58/SUM($I$9:$I$59),0)</x:f>
        <x:v>0</x:v>
      </x:c>
      <x:c r="K58" s="31" t="n">
        <x:f>RANK(I58,$I$9:$I$59,0)</x:f>
        <x:v>47</x:v>
      </x:c>
      <x:c r="L58" s="32" t="n">
        <x:f>COUNTIFS('國外委外明細'!$F$4:$F$188,G58,'國外委外明細'!$A$4:$A$188,$B$4,'國外委外明細'!$J$4:$J$188,"&lt;&gt;解約")</x:f>
        <x:v>0</x:v>
      </x:c>
    </x:row>
    <x:row r="59">
      <x:c r="G59" s="33" t="str">
        <x:v>國泰</x:v>
      </x:c>
      <x:c r="H59" s="41" t="n">
        <x:f>SUMIFS('國外委外明細'!$G$4:$G$188,'國外委外明細'!$F$4:$F$188,G59,'國外委外明細'!$A$4:$A$188,$B$4)</x:f>
        <x:v>0</x:v>
      </x:c>
      <x:c r="I59" s="41" t="n">
        <x:f>SUMIFS('國外委外明細'!$H$4:$H$188,'國外委外明細'!$F$4:$F$188,G59,'國外委外明細'!$A$4:$A$188,$B$4)</x:f>
        <x:v>0</x:v>
      </x:c>
      <x:c r="J59" s="44" t="n">
        <x:f>IFERROR(I59/SUM($I$9:$I$59),0)</x:f>
        <x:v>0</x:v>
      </x:c>
      <x:c r="K59" s="34" t="n">
        <x:f>RANK(I59,$I$9:$I$59,0)</x:f>
        <x:v>47</x:v>
      </x:c>
      <x:c r="L59" s="35" t="n">
        <x:f>COUNTIFS('國外委外明細'!$F$4:$F$188,G59,'國外委外明細'!$A$4:$A$188,$B$4,'國外委外明細'!$J$4:$J$188,"&lt;&gt;解約")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c4dd059d121a4318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33000183105469" hidden="0" customWidth="1"/>
    <x:col min="2" max="2" width="10.4399995803833" hidden="0" customWidth="1"/>
    <x:col min="3" max="3" width="28" hidden="0" customWidth="1"/>
    <x:col min="4" max="4" width="38" hidden="0" customWidth="1"/>
    <x:col min="5" max="5" width="26" hidden="0" customWidth="1"/>
    <x:col min="6" max="6" width="15.4399995803833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.779998779296875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440000057220459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