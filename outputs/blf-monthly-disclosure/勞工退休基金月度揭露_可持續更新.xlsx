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b572f588049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d9d690488bf34826"/>
    <x:sheet xmlns:r="http://schemas.openxmlformats.org/officeDocument/2006/relationships" name="儀表板(美元)" sheetId="2" r:id="R712cff793c084fe7"/>
    <x:sheet xmlns:r="http://schemas.openxmlformats.org/officeDocument/2006/relationships" name="月度資產配置" sheetId="3" r:id="Rfdf1439ccf4d4651"/>
    <x:sheet xmlns:r="http://schemas.openxmlformats.org/officeDocument/2006/relationships" name="國內委外明細" sheetId="4" r:id="R28e19e45e77a40cb"/>
    <x:sheet xmlns:r="http://schemas.openxmlformats.org/officeDocument/2006/relationships" name="國外委外明細" sheetId="5" r:id="Rab2d8c31d9c643a9"/>
    <x:sheet xmlns:r="http://schemas.openxmlformats.org/officeDocument/2006/relationships" name="批次彙總" sheetId="6" r:id="Rc4cb1f0ab88d473b"/>
    <x:sheet xmlns:r="http://schemas.openxmlformats.org/officeDocument/2006/relationships" name="業者彙總" sheetId="7" r:id="R9698cc44cd9941e1"/>
    <x:sheet xmlns:r="http://schemas.openxmlformats.org/officeDocument/2006/relationships" name="更新說明" sheetId="8" r:id="R500c691197ed41d5"/>
    <x:sheet xmlns:r="http://schemas.openxmlformats.org/officeDocument/2006/relationships" name="資料品質檢核" sheetId="9" r:id="Reccff047312b4c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8458734066487e" /><Relationship Type="http://schemas.openxmlformats.org/officeDocument/2006/relationships/theme" Target="/xl/theme/theme1.xml" Id="Rb576973251344023" /><Relationship Type="http://schemas.openxmlformats.org/officeDocument/2006/relationships/sharedStrings" Target="/xl/sharedStrings.xml" Id="Rfd739faf6a454a66" /><Relationship Type="http://schemas.openxmlformats.org/officeDocument/2006/relationships/worksheet" Target="/xl/worksheets/sheet1.xml" Id="Rd9d690488bf34826" /><Relationship Type="http://schemas.openxmlformats.org/officeDocument/2006/relationships/worksheet" Target="/xl/worksheets/sheet2.xml" Id="R712cff793c084fe7" /><Relationship Type="http://schemas.openxmlformats.org/officeDocument/2006/relationships/worksheet" Target="/xl/worksheets/sheet3.xml" Id="Rfdf1439ccf4d4651" /><Relationship Type="http://schemas.openxmlformats.org/officeDocument/2006/relationships/worksheet" Target="/xl/worksheets/sheet4.xml" Id="R28e19e45e77a40cb" /><Relationship Type="http://schemas.openxmlformats.org/officeDocument/2006/relationships/worksheet" Target="/xl/worksheets/sheet5.xml" Id="Rab2d8c31d9c643a9" /><Relationship Type="http://schemas.openxmlformats.org/officeDocument/2006/relationships/worksheet" Target="/xl/worksheets/sheet6.xml" Id="Rc4cb1f0ab88d473b" /><Relationship Type="http://schemas.openxmlformats.org/officeDocument/2006/relationships/worksheet" Target="/xl/worksheets/sheet7.xml" Id="R9698cc44cd9941e1" /><Relationship Type="http://schemas.openxmlformats.org/officeDocument/2006/relationships/worksheet" Target="/xl/worksheets/sheet8.xml" Id="R500c691197ed41d5" /><Relationship Type="http://schemas.openxmlformats.org/officeDocument/2006/relationships/worksheet" Target="/xl/worksheets/sheet9.xml" Id="Reccff047312b4c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5a40ff0de945f2" /><Relationship Type="http://schemas.openxmlformats.org/officeDocument/2006/relationships/chart" Target="/xl/drawings/charts/chart2.xml" Id="Re8e84e7c91bb4e87" /><Relationship Type="http://schemas.openxmlformats.org/officeDocument/2006/relationships/chart" Target="/xl/drawings/charts/chart3.xml" Id="Raff075e4e6a94ebf" /><Relationship Type="http://schemas.openxmlformats.org/officeDocument/2006/relationships/chart" Target="/xl/drawings/charts/chart4.xml" Id="R5651826484714962" /><Relationship Type="http://schemas.openxmlformats.org/officeDocument/2006/relationships/chart" Target="/xl/drawings/charts/chart5.xml" Id="R4e97b0b8b3bf4f9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966977981ce74a40" /><Relationship Type="http://schemas.openxmlformats.org/officeDocument/2006/relationships/chart" Target="/xl/drawings/charts/chart7.xml" Id="R045feacbf19c4d28" /><Relationship Type="http://schemas.openxmlformats.org/officeDocument/2006/relationships/chart" Target="/xl/drawings/charts/chart8.xml" Id="R9adaabd040074666" /><Relationship Type="http://schemas.openxmlformats.org/officeDocument/2006/relationships/chart" Target="/xl/drawings/charts/chart9.xml" Id="Rf00fa6fc94bc4cd1" /><Relationship Type="http://schemas.openxmlformats.org/officeDocument/2006/relationships/chart" Target="/xl/drawings/charts/chart10.xml" Id="Rf92c1442f732439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583f8382e45e4b4c" /><Relationship Type="http://schemas.openxmlformats.org/officeDocument/2006/relationships/chart" Target="/xl/drawings/charts/chart12.xml" Id="Re0d1abcd5d5e44a7" /><Relationship Type="http://schemas.openxmlformats.org/officeDocument/2006/relationships/chart" Target="/xl/drawings/charts/chart13.xml" Id="Ra9089d7219a54419" /><Relationship Type="http://schemas.openxmlformats.org/officeDocument/2006/relationships/chart" Target="/xl/drawings/charts/chart14.xml" Id="Rd6c668e20cfd43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'儀表板'!$V$12:$V$27</c:f>
              <c:strCache>
                <c:ptCount val="0"/>
              </c:strCache>
            </c:strRef>
          </c:cat>
          <c:val>
            <c:numRef>
              <c:f>'儀表板'!$W$12:$W$27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'儀表板'!$X$12:$X$27</c:f>
              <c:strCache>
                <c:ptCount val="0"/>
              </c:strCache>
            </c:strRef>
          </c:cat>
          <c:val>
            <c:numRef>
              <c:f>'儀表板'!$Y$12:$Y$27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'儀表板'!$Z$12:$Z$27</c:f>
              <c:strCache>
                <c:ptCount val="0"/>
              </c:strCache>
            </c:strRef>
          </c:cat>
          <c:val>
            <c:numRef>
              <c:f>'儀表板'!$AA$12:$AA$27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'儀表板'!$AB$12:$AB$27</c:f>
              <c:strCache>
                <c:ptCount val="0"/>
              </c:strCache>
            </c:strRef>
          </c:cat>
          <c:val>
            <c:numRef>
              <c:f>'儀表板'!$AC$12:$AC$27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'儀表板'!$AD$12:$AD$27</c:f>
              <c:strCache>
                <c:ptCount val="0"/>
              </c:strCache>
            </c:strRef>
          </c:cat>
          <c:val>
            <c:numRef>
              <c:f>'儀表板'!$AE$12:$AE$27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'儀表板(美元)'!$V$12:$V$27</c:f>
              <c:strCache>
                <c:ptCount val="0"/>
              </c:strCache>
            </c:strRef>
          </c:cat>
          <c:val>
            <c:numRef>
              <c:f>'儀表板(美元)'!$W$12:$W$27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'儀表板(美元)'!$X$12:$X$27</c:f>
              <c:strCache>
                <c:ptCount val="0"/>
              </c:strCache>
            </c:strRef>
          </c:cat>
          <c:val>
            <c:numRef>
              <c:f>'儀表板(美元)'!$Y$12:$Y$27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'儀表板(美元)'!$Z$12:$Z$27</c:f>
              <c:strCache>
                <c:ptCount val="0"/>
              </c:strCache>
            </c:strRef>
          </c:cat>
          <c:val>
            <c:numRef>
              <c:f>'儀表板(美元)'!$AA$12:$AA$27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'儀表板(美元)'!$AB$12:$AB$27</c:f>
              <c:strCache>
                <c:ptCount val="0"/>
              </c:strCache>
            </c:strRef>
          </c:cat>
          <c:val>
            <c:numRef>
              <c:f>'儀表板(美元)'!$AC$12:$AC$27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'儀表板(美元)'!$AD$12:$AD$27</c:f>
              <c:strCache>
                <c:ptCount val="0"/>
              </c:strCache>
            </c:strRef>
          </c:cat>
          <c:val>
            <c:numRef>
              <c:f>'儀表板(美元)'!$AE$12:$AE$27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5a40ff0de945f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e84e7c91bb4e87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f075e4e6a94eb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51826484714962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97b0b8b3bf4f9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6977981ce74a40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5feacbf19c4d28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daabd040074666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0fa6fc94bc4cd1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2c1442f732439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3f8382e45e4b4c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d1abcd5d5e44a7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089d7219a54419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c668e20cfd439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f8b8e6b71c4f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24b9563f4cd4b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66c285481594b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577bbb40c2840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5cb1800467847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49830fedb6e4c6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1ecc9d40823948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50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轉存金融機構</x:v>
      </x:c>
      <x:c r="W12" s="50" t="n">
        <x:f>IFERROR(B19/SUM(B19,B20,B21,B22,B23,B24,B25,B26,B27,B12,B13,B14,B15,B16,B17,B18),0)</x:f>
        <x:v>0.08009049818080267</x:v>
      </x:c>
      <x:c r="X12" t="str">
        <x:v>轉存金融機構</x:v>
      </x:c>
      <x:c r="Y12" s="50" t="n">
        <x:f>IFERROR(C19/SUM(C19,C20,C21,C22,C23,C24,C25,C26,C27,C12,C13,C14,C15,C16,C17,C18),0)</x:f>
        <x:v>0.20294689334834715</x:v>
      </x:c>
      <x:c r="Z12" t="str">
        <x:v>轉存金融機構</x:v>
      </x:c>
      <x:c r="AA12" s="50" t="n">
        <x:f>IFERROR(D19/SUM(D19,D20,D21,D22,D23,D24,D25,D26,D27,D12,D13,D14,D15,D16,D17,D18),0)</x:f>
        <x:v>0.09830773672574242</x:v>
      </x:c>
      <x:c r="AB12" t="str">
        <x:v>轉存金融機構</x:v>
      </x:c>
      <x:c r="AC12" s="50" t="n">
        <x:f>IFERROR(E19/SUM(E19,E20,E21,E22,E23,E24,E25,E26,E27,E12,E13,E14,E15,E16,E17,E18),0)</x:f>
        <x:v>0.04795105887019382</x:v>
      </x:c>
      <x:c r="AD12" t="str">
        <x:v>轉存金融機構</x:v>
      </x:c>
      <x:c r="AE12" s="50" t="n">
        <x:f>IFERROR(F19/SUM(F19,F20,F21,F22,F23,F24,F25,F26,F27,F12,F13,F14,F15,F16,F17,F18),0)</x:f>
        <x:v>0.09545607450479587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政策性貸款</x:v>
      </x:c>
      <x:c r="W13" s="50" t="n">
        <x:f>IFERROR(B20/SUM(B19,B20,B21,B22,B23,B24,B25,B26,B27,B12,B13,B14,B15,B16,B17,B18),0)</x:f>
        <x:v>0</x:v>
      </x:c>
      <x:c r="X13" t="str">
        <x:v>政策性貸款</x:v>
      </x:c>
      <x:c r="Y13" s="50" t="n">
        <x:f>IFERROR(C20/SUM(C19,C20,C21,C22,C23,C24,C25,C26,C27,C12,C13,C14,C15,C16,C17,C18),0)</x:f>
        <x:v>0</x:v>
      </x:c>
      <x:c r="Z13" t="str">
        <x:v>政策性貸款</x:v>
      </x:c>
      <x:c r="AA13" s="50" t="n">
        <x:f>IFERROR(D20/SUM(D19,D20,D21,D22,D23,D24,D25,D26,D27,D12,D13,D14,D15,D16,D17,D18),0)</x:f>
        <x:v>0</x:v>
      </x:c>
      <x:c r="AB13" t="str">
        <x:v>政策性貸款</x:v>
      </x:c>
      <x:c r="AC13" s="50" t="n">
        <x:f>IFERROR(E20/SUM(E19,E20,E21,E22,E23,E24,E25,E26,E27,E12,E13,E14,E15,E16,E17,E18),0)</x:f>
        <x:v>0</x:v>
      </x:c>
      <x:c r="AD13" t="str">
        <x:v>政策性貸款</x:v>
      </x:c>
      <x:c r="AE13" s="50" t="n">
        <x:f>IFERROR(F20/SUM(F19,F20,F21,F22,F23,F24,F25,F26,F27,F12,F13,F14,F15,F16,F17,F18),0)</x:f>
        <x:v>0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短期票券</x:v>
      </x:c>
      <x:c r="W14" s="50" t="n">
        <x:f>IFERROR(B21/SUM(B19,B20,B21,B22,B23,B24,B25,B26,B27,B12,B13,B14,B15,B16,B17,B18),0)</x:f>
        <x:v>0.025587121477121857</x:v>
      </x:c>
      <x:c r="X14" t="str">
        <x:v>短期票券</x:v>
      </x:c>
      <x:c r="Y14" s="50" t="n">
        <x:f>IFERROR(C21/SUM(C19,C20,C21,C22,C23,C24,C25,C26,C27,C12,C13,C14,C15,C16,C17,C18),0)</x:f>
        <x:v>0.06119948492201287</x:v>
      </x:c>
      <x:c r="Z14" t="str">
        <x:v>短期票券</x:v>
      </x:c>
      <x:c r="AA14" s="50" t="n">
        <x:f>IFERROR(D21/SUM(D19,D20,D21,D22,D23,D24,D25,D26,D27,D12,D13,D14,D15,D16,D17,D18),0)</x:f>
        <x:v>0.026053089900866026</x:v>
      </x:c>
      <x:c r="AB14" t="str">
        <x:v>短期票券</x:v>
      </x:c>
      <x:c r="AC14" s="50" t="n">
        <x:f>IFERROR(E21/SUM(E19,E20,E21,E22,E23,E24,E25,E26,E27,E12,E13,E14,E15,E16,E17,E18),0)</x:f>
        <x:v>0.0174561842083449</x:v>
      </x:c>
      <x:c r="AD14" t="str">
        <x:v>短期票券</x:v>
      </x:c>
      <x:c r="AE14" s="50" t="n">
        <x:f>IFERROR(F21/SUM(F19,F20,F21,F22,F23,F24,F25,F26,F27,F12,F13,F14,F15,F16,F17,F18),0)</x:f>
        <x:v>0.029328348097442464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公債、公司債、金融債券及特別股</x:v>
      </x:c>
      <x:c r="W15" s="50" t="n">
        <x:f>IFERROR(B22/SUM(B19,B20,B21,B22,B23,B24,B25,B26,B27,B12,B13,B14,B15,B16,B17,B18),0)</x:f>
        <x:v>0.04215323484379305</x:v>
      </x:c>
      <x:c r="X15" t="str">
        <x:v>公債、公司債、金融債券及特別股</x:v>
      </x:c>
      <x:c r="Y15" s="50" t="n">
        <x:f>IFERROR(C22/SUM(C19,C20,C21,C22,C23,C24,C25,C26,C27,C12,C13,C14,C15,C16,C17,C18),0)</x:f>
        <x:v>0</x:v>
      </x:c>
      <x:c r="Z15" t="str">
        <x:v>公債、公司債、金融債券及特別股</x:v>
      </x:c>
      <x:c r="AA15" s="50" t="n">
        <x:f>IFERROR(D22/SUM(D19,D20,D21,D22,D23,D24,D25,D26,D27,D12,D13,D14,D15,D16,D17,D18),0)</x:f>
        <x:v>0.04390044141522057</x:v>
      </x:c>
      <x:c r="AB15" t="str">
        <x:v>公債、公司債、金融債券及特別股</x:v>
      </x:c>
      <x:c r="AC15" s="50" t="n">
        <x:f>IFERROR(E22/SUM(E19,E20,E21,E22,E23,E24,E25,E26,E27,E12,E13,E14,E15,E16,E17,E18),0)</x:f>
        <x:v>0.06906982845758472</x:v>
      </x:c>
      <x:c r="AD15" t="str">
        <x:v>公債、公司債、金融債券及特別股</x:v>
      </x:c>
      <x:c r="AE15" s="50" t="n">
        <x:f>IFERROR(F22/SUM(F19,F20,F21,F22,F23,F24,F25,F26,F27,F12,F13,F14,F15,F16,F17,F18),0)</x:f>
        <x:v>0.03969409795326574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公債、金融債券、公司債及證券化商品</x:v>
      </x:c>
      <x:c r="W16" s="50" t="n">
        <x:f>IFERROR(B23/SUM(B19,B20,B21,B22,B23,B24,B25,B26,B27,B12,B13,B14,B15,B16,B17,B18),0)</x:f>
        <x:v>0</x:v>
      </x:c>
      <x:c r="X16" t="str">
        <x:v>公債、金融債券、公司債及證券化商品</x:v>
      </x:c>
      <x:c r="Y16" s="50" t="n">
        <x:f>IFERROR(C23/SUM(C19,C20,C21,C22,C23,C24,C25,C26,C27,C12,C13,C14,C15,C16,C17,C18),0)</x:f>
        <x:v>0.07236318107912533</x:v>
      </x:c>
      <x:c r="Z16" t="str">
        <x:v>公債、金融債券、公司債及證券化商品</x:v>
      </x:c>
      <x:c r="AA16" s="50" t="n">
        <x:f>IFERROR(D23/SUM(D19,D20,D21,D22,D23,D24,D25,D26,D27,D12,D13,D14,D15,D16,D17,D18),0)</x:f>
        <x:v>0</x:v>
      </x:c>
      <x:c r="AB16" t="str">
        <x:v>公債、金融債券、公司債及證券化商品</x:v>
      </x:c>
      <x:c r="AC16" s="50" t="n">
        <x:f>IFERROR(E23/SUM(E19,E20,E21,E22,E23,E24,E25,E26,E27,E12,E13,E14,E15,E16,E17,E18),0)</x:f>
        <x:v>0</x:v>
      </x:c>
      <x:c r="AD16" t="str">
        <x:v>公債、金融債券、公司債及證券化商品</x:v>
      </x:c>
      <x:c r="AE16" s="50" t="n">
        <x:f>IFERROR(F23/SUM(F19,F20,F21,F22,F23,F24,F25,F26,F27,F12,F13,F14,F15,F16,F17,F18),0)</x:f>
        <x:v>0.00894763287013099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房屋及土地</x:v>
      </x:c>
      <x:c r="W17" s="50" t="n">
        <x:f>IFERROR(B24/SUM(B19,B20,B21,B22,B23,B24,B25,B26,B27,B12,B13,B14,B15,B16,B17,B18),0)</x:f>
        <x:v>0</x:v>
      </x:c>
      <x:c r="X17" t="str">
        <x:v>房屋及土地</x:v>
      </x:c>
      <x:c r="Y17" s="50" t="n">
        <x:f>IFERROR(C24/SUM(C19,C20,C21,C22,C23,C24,C25,C26,C27,C12,C13,C14,C15,C16,C17,C18),0)</x:f>
        <x:v>0</x:v>
      </x:c>
      <x:c r="Z17" t="str">
        <x:v>房屋及土地</x:v>
      </x:c>
      <x:c r="AA17" s="50" t="n">
        <x:f>IFERROR(D24/SUM(D19,D20,D21,D22,D23,D24,D25,D26,D27,D12,D13,D14,D15,D16,D17,D18),0)</x:f>
        <x:v>0.0009475554586620803</x:v>
      </x:c>
      <x:c r="AB17" t="str">
        <x:v>房屋及土地</x:v>
      </x:c>
      <x:c r="AC17" s="50" t="n">
        <x:f>IFERROR(E24/SUM(E19,E20,E21,E22,E23,E24,E25,E26,E27,E12,E13,E14,E15,E16,E17,E18),0)</x:f>
        <x:v>0</x:v>
      </x:c>
      <x:c r="AD17" t="str">
        <x:v>房屋及土地</x:v>
      </x:c>
      <x:c r="AE17" s="50" t="n">
        <x:f>IFERROR(F24/SUM(F19,F20,F21,F22,F23,F24,F25,F26,F27,F12,F13,F14,F15,F16,F17,F18),0)</x:f>
        <x:v>0.0001615598458113894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政府或公營事業貸款</x:v>
      </x:c>
      <x:c r="W18" s="50" t="n">
        <x:f>IFERROR(B25/SUM(B19,B20,B21,B22,B23,B24,B25,B26,B27,B12,B13,B14,B15,B16,B17,B18),0)</x:f>
        <x:v>0</x:v>
      </x:c>
      <x:c r="X18" t="str">
        <x:v>政府或公營事業貸款</x:v>
      </x:c>
      <x:c r="Y18" s="50" t="n">
        <x:f>IFERROR(C25/SUM(C19,C20,C21,C22,C23,C24,C25,C26,C27,C12,C13,C14,C15,C16,C17,C18),0)</x:f>
        <x:v>0</x:v>
      </x:c>
      <x:c r="Z18" t="str">
        <x:v>政府或公營事業貸款</x:v>
      </x:c>
      <x:c r="AA18" s="50" t="n">
        <x:f>IFERROR(D25/SUM(D19,D20,D21,D22,D23,D24,D25,D26,D27,D12,D13,D14,D15,D16,D17,D18),0)</x:f>
        <x:v>0.0004527288739017158</x:v>
      </x:c>
      <x:c r="AB18" t="str">
        <x:v>政府或公營事業貸款</x:v>
      </x:c>
      <x:c r="AC18" s="50" t="n">
        <x:f>IFERROR(E25/SUM(E19,E20,E21,E22,E23,E24,E25,E26,E27,E12,E13,E14,E15,E16,E17,E18),0)</x:f>
        <x:v>0</x:v>
      </x:c>
      <x:c r="AD18" t="str">
        <x:v>政府或公營事業貸款</x:v>
      </x:c>
      <x:c r="AE18" s="50" t="n">
        <x:f>IFERROR(F25/SUM(F19,F20,F21,F22,F23,F24,F25,F26,F27,F12,F13,F14,F15,F16,F17,F18),0)</x:f>
        <x:v>0.00007719105662184733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被保險人貸款</x:v>
      </x:c>
      <x:c r="W19" s="50" t="n">
        <x:f>IFERROR(B26/SUM(B19,B20,B21,B22,B23,B24,B25,B26,B27,B12,B13,B14,B15,B16,B17,B18),0)</x:f>
        <x:v>0</x:v>
      </x:c>
      <x:c r="X19" t="str">
        <x:v>被保險人貸款</x:v>
      </x:c>
      <x:c r="Y19" s="50" t="n">
        <x:f>IFERROR(C26/SUM(C19,C20,C21,C22,C23,C24,C25,C26,C27,C12,C13,C14,C15,C16,C17,C18),0)</x:f>
        <x:v>0</x:v>
      </x:c>
      <x:c r="Z19" t="str">
        <x:v>被保險人貸款</x:v>
      </x:c>
      <x:c r="AA19" s="50" t="n">
        <x:f>IFERROR(D26/SUM(D19,D20,D21,D22,D23,D24,D25,D26,D27,D12,D13,D14,D15,D16,D17,D18),0)</x:f>
        <x:v>0.02049930093134865</x:v>
      </x:c>
      <x:c r="AB19" t="str">
        <x:v>被保險人貸款</x:v>
      </x:c>
      <x:c r="AC19" s="50" t="n">
        <x:f>IFERROR(E26/SUM(E19,E20,E21,E22,E23,E24,E25,E26,E27,E12,E13,E14,E15,E16,E17,E18),0)</x:f>
        <x:v>0</x:v>
      </x:c>
      <x:c r="AD19" t="str">
        <x:v>被保險人貸款</x:v>
      </x:c>
      <x:c r="AE19" s="50" t="n">
        <x:f>IFERROR(F26/SUM(F19,F20,F21,F22,F23,F24,F25,F26,F27,F12,F13,F14,F15,F16,F17,F18),0)</x:f>
        <x:v>0.0034951662907268884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  <x:c r="V20" t="str">
        <x:v>股票及受益憑證投資（含期貨）</x:v>
      </x:c>
      <x:c r="W20" s="50" t="n">
        <x:f>IFERROR(B27/SUM(B19,B20,B21,B22,B23,B24,B25,B26,B27,B12,B13,B14,B15,B16,B17,B18),0)</x:f>
        <x:v>0.052170363275692376</x:v>
      </x:c>
      <x:c r="X20" t="str">
        <x:v>股票及受益憑證投資（含期貨）</x:v>
      </x:c>
      <x:c r="Y20" s="50" t="n">
        <x:f>IFERROR(C27/SUM(C19,C20,C21,C22,C23,C24,C25,C26,C27,C12,C13,C14,C15,C16,C17,C18),0)</x:f>
        <x:v>0.07214944417511744</x:v>
      </x:c>
      <x:c r="Z20" t="str">
        <x:v>股票及受益憑證投資（含期貨）</x:v>
      </x:c>
      <x:c r="AA20" s="50" t="n">
        <x:f>IFERROR(D27/SUM(D19,D20,D21,D22,D23,D24,D25,D26,D27,D12,D13,D14,D15,D16,D17,D18),0)</x:f>
        <x:v>0.3098279686321394</x:v>
      </x:c>
      <x:c r="AB20" t="str">
        <x:v>股票及受益憑證投資（含期貨）</x:v>
      </x:c>
      <x:c r="AC20" s="50" t="n">
        <x:f>IFERROR(E27/SUM(E19,E20,E21,E22,E23,E24,E25,E26,E27,E12,E13,E14,E15,E16,E17,E18),0)</x:f>
        <x:v>0.26199942183961406</x:v>
      </x:c>
      <x:c r="AD20" t="str">
        <x:v>股票及受益憑證投資（含期貨）</x:v>
      </x:c>
      <x:c r="AE20" s="50" t="n">
        <x:f>IFERROR(F27/SUM(F19,F20,F21,F22,F23,F24,F25,F26,F27,F12,F13,F14,F15,F16,F17,F18),0)</x:f>
        <x:v>0.11771113488688957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  <x:c r="V21" t="str">
        <x:v>自行運用-國外-固定收益</x:v>
      </x:c>
      <x:c r="W21" s="50" t="n">
        <x:f>IFERROR(B12/SUM(B19,B20,B21,B22,B23,B24,B25,B26,B27,B12,B13,B14,B15,B16,B17,B18),0)</x:f>
        <x:v>0.12075808373788141</x:v>
      </x:c>
      <x:c r="X21" t="str">
        <x:v>自行運用-國外-固定收益</x:v>
      </x:c>
      <x:c r="Y21" s="50" t="n">
        <x:f>IFERROR(C12/SUM(C19,C20,C21,C22,C23,C24,C25,C26,C27,C12,C13,C14,C15,C16,C17,C18),0)</x:f>
        <x:v>0.02481659353415637</x:v>
      </x:c>
      <x:c r="Z21" t="str">
        <x:v>自行運用-國外-固定收益</x:v>
      </x:c>
      <x:c r="AA21" s="50" t="n">
        <x:f>IFERROR(D12/SUM(D19,D20,D21,D22,D23,D24,D25,D26,D27,D12,D13,D14,D15,D16,D17,D18),0)</x:f>
        <x:v>0.11512469419841453</x:v>
      </x:c>
      <x:c r="AB21" t="str">
        <x:v>自行運用-國外-固定收益</x:v>
      </x:c>
      <x:c r="AC21" s="50" t="n">
        <x:f>IFERROR(E12/SUM(E19,E20,E21,E22,E23,E24,E25,E26,E27,E12,E13,E14,E15,E16,E17,E18),0)</x:f>
        <x:v>0.1224335921276509</x:v>
      </x:c>
      <x:c r="AD21" t="str">
        <x:v>自行運用-國外-固定收益</x:v>
      </x:c>
      <x:c r="AE21" s="50" t="n">
        <x:f>IFERROR(F12/SUM(F19,F20,F21,F22,F23,F24,F25,F26,F27,F12,F13,F14,F15,F16,F17,F18),0)</x:f>
        <x:v>0.10808734407200997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  <x:c r="V22" t="str">
        <x:v>自行運用-國外-權益證券</x:v>
      </x:c>
      <x:c r="W22" s="50" t="n">
        <x:f>IFERROR(B13/SUM(B19,B20,B21,B22,B23,B24,B25,B26,B27,B12,B13,B14,B15,B16,B17,B18),0)</x:f>
        <x:v>0.01407056112684972</x:v>
      </x:c>
      <x:c r="X22" t="str">
        <x:v>自行運用-國外-權益證券</x:v>
      </x:c>
      <x:c r="Y22" s="50" t="n">
        <x:f>IFERROR(C13/SUM(C19,C20,C21,C22,C23,C24,C25,C26,C27,C12,C13,C14,C15,C16,C17,C18),0)</x:f>
        <x:v>0.018345364867298538</x:v>
      </x:c>
      <x:c r="Z22" t="str">
        <x:v>自行運用-國外-權益證券</x:v>
      </x:c>
      <x:c r="AA22" s="50" t="n">
        <x:f>IFERROR(D13/SUM(D19,D20,D21,D22,D23,D24,D25,D26,D27,D12,D13,D14,D15,D16,D17,D18),0)</x:f>
        <x:v>0.06043946381637647</x:v>
      </x:c>
      <x:c r="AB22" t="str">
        <x:v>自行運用-國外-權益證券</x:v>
      </x:c>
      <x:c r="AC22" s="50" t="n">
        <x:f>IFERROR(E13/SUM(E19,E20,E21,E22,E23,E24,E25,E26,E27,E12,E13,E14,E15,E16,E17,E18),0)</x:f>
        <x:v>0.06682090781757392</x:v>
      </x:c>
      <x:c r="AD22" t="str">
        <x:v>自行運用-國外-權益證券</x:v>
      </x:c>
      <x:c r="AE22" s="50" t="n">
        <x:f>IFERROR(F13/SUM(F19,F20,F21,F22,F23,F24,F25,F26,F27,F12,F13,F14,F15,F16,F17,F18),0)</x:f>
        <x:v>0.027316675295284924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  <x:c r="V23" t="str">
        <x:v>自行運用-國外-另類投資</x:v>
      </x:c>
      <x:c r="W23" s="50" t="n">
        <x:f>IFERROR(B14/SUM(B19,B20,B21,B22,B23,B24,B25,B26,B27,B12,B13,B14,B15,B16,B17,B18),0)</x:f>
        <x:v>0.007729314146437791</x:v>
      </x:c>
      <x:c r="X23" t="str">
        <x:v>自行運用-國外-另類投資</x:v>
      </x:c>
      <x:c r="Y23" s="50" t="n">
        <x:f>IFERROR(C14/SUM(C19,C20,C21,C22,C23,C24,C25,C26,C27,C12,C13,C14,C15,C16,C17,C18),0)</x:f>
        <x:v>0</x:v>
      </x:c>
      <x:c r="Z23" t="str">
        <x:v>自行運用-國外-另類投資</x:v>
      </x:c>
      <x:c r="AA23" s="50" t="n">
        <x:f>IFERROR(D14/SUM(D19,D20,D21,D22,D23,D24,D25,D26,D27,D12,D13,D14,D15,D16,D17,D18),0)</x:f>
        <x:v>0.006699620844445446</x:v>
      </x:c>
      <x:c r="AB23" t="str">
        <x:v>自行運用-國外-另類投資</x:v>
      </x:c>
      <x:c r="AC23" s="50" t="n">
        <x:f>IFERROR(E14/SUM(E19,E20,E21,E22,E23,E24,E25,E26,E27,E12,E13,E14,E15,E16,E17,E18),0)</x:f>
        <x:v>0.025997995871591892</x:v>
      </x:c>
      <x:c r="AD23" t="str">
        <x:v>自行運用-國外-另類投資</x:v>
      </x:c>
      <x:c r="AE23" s="50" t="n">
        <x:f>IFERROR(F14/SUM(F19,F20,F21,F22,F23,F24,F25,F26,F27,F12,F13,F14,F15,F16,F17,F18),0)</x:f>
        <x:v>0.008264384263091475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  <x:c r="V24" t="str">
        <x:v>委託經營-國內-權益證券</x:v>
      </x:c>
      <x:c r="W24" s="50" t="n">
        <x:f>IFERROR(B15/SUM(B19,B20,B21,B22,B23,B24,B25,B26,B27,B12,B13,B14,B15,B16,B17,B18),0)</x:f>
        <x:v>0.19618526402005568</x:v>
      </x:c>
      <x:c r="X24" t="str">
        <x:v>委託經營-國內-權益證券</x:v>
      </x:c>
      <x:c r="Y24" s="50" t="n">
        <x:f>IFERROR(C15/SUM(C19,C20,C21,C22,C23,C24,C25,C26,C27,C12,C13,C14,C15,C16,C17,C18),0)</x:f>
        <x:v>0.15303407086143878</x:v>
      </x:c>
      <x:c r="Z24" t="str">
        <x:v>委託經營-國內-權益證券</x:v>
      </x:c>
      <x:c r="AA24" s="50" t="n">
        <x:f>IFERROR(D15/SUM(D19,D20,D21,D22,D23,D24,D25,D26,D27,D12,D13,D14,D15,D16,D17,D18),0)</x:f>
        <x:v>0.04132577223931945</x:v>
      </x:c>
      <x:c r="AB24" t="str">
        <x:v>委託經營-國內-權益證券</x:v>
      </x:c>
      <x:c r="AC24" s="50" t="n">
        <x:f>IFERROR(E15/SUM(E19,E20,E21,E22,E23,E24,E25,E26,E27,E12,E13,E14,E15,E16,E17,E18),0)</x:f>
        <x:v>0.11348504243312058</x:v>
      </x:c>
      <x:c r="AD24" t="str">
        <x:v>委託經營-國內-權益證券</x:v>
      </x:c>
      <x:c r="AE24" s="50" t="n">
        <x:f>IFERROR(F15/SUM(F19,F20,F21,F22,F23,F24,F25,F26,F27,F12,F13,F14,F15,F16,F17,F18),0)</x:f>
        <x:v>0.15690244842157178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  <x:c r="V25" t="str">
        <x:v>委託經營-國外-固定收益</x:v>
      </x:c>
      <x:c r="W25" s="50" t="n">
        <x:f>IFERROR(B16/SUM(B19,B20,B21,B22,B23,B24,B25,B26,B27,B12,B13,B14,B15,B16,B17,B18),0)</x:f>
        <x:v>0.09984550447424796</x:v>
      </x:c>
      <x:c r="X25" t="str">
        <x:v>委託經營-國外-固定收益</x:v>
      </x:c>
      <x:c r="Y25" s="50" t="n">
        <x:f>IFERROR(C16/SUM(C19,C20,C21,C22,C23,C24,C25,C26,C27,C12,C13,C14,C15,C16,C17,C18),0)</x:f>
        <x:v>0.0916799938109248</x:v>
      </x:c>
      <x:c r="Z25" t="str">
        <x:v>委託經營-國外-固定收益</x:v>
      </x:c>
      <x:c r="AA25" s="50" t="n">
        <x:f>IFERROR(D16/SUM(D19,D20,D21,D22,D23,D24,D25,D26,D27,D12,D13,D14,D15,D16,D17,D18),0)</x:f>
        <x:v>0.05723078108951537</x:v>
      </x:c>
      <x:c r="AB25" t="str">
        <x:v>委託經營-國外-固定收益</x:v>
      </x:c>
      <x:c r="AC25" s="50" t="n">
        <x:f>IFERROR(E16/SUM(E19,E20,E21,E22,E23,E24,E25,E26,E27,E12,E13,E14,E15,E16,E17,E18),0)</x:f>
        <x:v>0.04871324519612813</x:v>
      </x:c>
      <x:c r="AD25" t="str">
        <x:v>委託經營-國外-固定收益</x:v>
      </x:c>
      <x:c r="AE25" s="50" t="n">
        <x:f>IFERROR(F16/SUM(F19,F20,F21,F22,F23,F24,F25,F26,F27,F12,F13,F14,F15,F16,F17,F18),0)</x:f>
        <x:v>0.08690599441119398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  <x:c r="V26" t="str">
        <x:v>委託經營-國外-權益證券</x:v>
      </x:c>
      <x:c r="W26" s="50" t="n">
        <x:f>IFERROR(B17/SUM(B19,B20,B21,B22,B23,B24,B25,B26,B27,B12,B13,B14,B15,B16,B17,B18),0)</x:f>
        <x:v>0.26363949139013715</x:v>
      </x:c>
      <x:c r="X26" t="str">
        <x:v>委託經營-國外-權益證券</x:v>
      </x:c>
      <x:c r="Y26" s="50" t="n">
        <x:f>IFERROR(C17/SUM(C19,C20,C21,C22,C23,C24,C25,C26,C27,C12,C13,C14,C15,C16,C17,C18),0)</x:f>
        <x:v>0.2029891652515887</x:v>
      </x:c>
      <x:c r="Z26" t="str">
        <x:v>委託經營-國外-權益證券</x:v>
      </x:c>
      <x:c r="AA26" s="50" t="n">
        <x:f>IFERROR(D17/SUM(D19,D20,D21,D22,D23,D24,D25,D26,D27,D12,D13,D14,D15,D16,D17,D18),0)</x:f>
        <x:v>0.13581027618122676</x:v>
      </x:c>
      <x:c r="AB26" t="str">
        <x:v>委託經營-國外-權益證券</x:v>
      </x:c>
      <x:c r="AC26" s="50" t="n">
        <x:f>IFERROR(E17/SUM(E19,E20,E21,E22,E23,E24,E25,E26,E27,E12,E13,E14,E15,E16,E17,E18),0)</x:f>
        <x:v>0.1919061476786995</x:v>
      </x:c>
      <x:c r="AD26" t="str">
        <x:v>委託經營-國外-權益證券</x:v>
      </x:c>
      <x:c r="AE26" s="50" t="n">
        <x:f>IFERROR(F17/SUM(F19,F20,F21,F22,F23,F24,F25,F26,F27,F12,F13,F14,F15,F16,F17,F18),0)</x:f>
        <x:v>0.22780196583383455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  <x:c r="V27" t="str">
        <x:v>委託經營-國外-另類投資</x:v>
      </x:c>
      <x:c r="W27" s="50" t="n">
        <x:f>IFERROR(B18/SUM(B19,B20,B21,B22,B23,B24,B25,B26,B27,B12,B13,B14,B15,B16,B17,B18),0)</x:f>
        <x:v>0.09777056332698032</x:v>
      </x:c>
      <x:c r="X27" t="str">
        <x:v>委託經營-國外-另類投資</x:v>
      </x:c>
      <x:c r="Y27" s="50" t="n">
        <x:f>IFERROR(C18/SUM(C19,C20,C21,C22,C23,C24,C25,C26,C27,C12,C13,C14,C15,C16,C17,C18),0)</x:f>
        <x:v>0.10047580814998996</x:v>
      </x:c>
      <x:c r="Z27" t="str">
        <x:v>委託經營-國外-另類投資</x:v>
      </x:c>
      <x:c r="AA27" s="50" t="n">
        <x:f>IFERROR(D18/SUM(D19,D20,D21,D22,D23,D24,D25,D26,D27,D12,D13,D14,D15,D16,D17,D18),0)</x:f>
        <x:v>0.08338056969282108</x:v>
      </x:c>
      <x:c r="AB27" t="str">
        <x:v>委託經營-國外-另類投資</x:v>
      </x:c>
      <x:c r="AC27" s="50" t="n">
        <x:f>IFERROR(E18/SUM(E19,E20,E21,E22,E23,E24,E25,E26,E27,E12,E13,E14,E15,E16,E17,E18),0)</x:f>
        <x:v>0.03416657549949762</x:v>
      </x:c>
      <x:c r="AD27" t="str">
        <x:v>委託經營-國外-另類投資</x:v>
      </x:c>
      <x:c r="AE27" s="50" t="n">
        <x:f>IFERROR(F18/SUM(F19,F20,F21,F22,F23,F24,F25,F26,F27,F12,F13,F14,F15,F16,F17,F18),0)</x:f>
        <x:v>0.08984998219732857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17f8b8e6b71c4f7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50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轉存金融機構</x:v>
      </x:c>
      <x:c r="W12" s="50" t="n">
        <x:f>IFERROR(B19/SUM(B19,B20,B21,B22,B23,B24,B25,B26,B27,B12,B13,B14,B15,B16,B17,B18),0)</x:f>
        <x:v>0.08591007743801093</x:v>
      </x:c>
      <x:c r="X12" t="str">
        <x:v>轉存金融機構</x:v>
      </x:c>
      <x:c r="Y12" s="50" t="n">
        <x:f>IFERROR(C19/SUM(C19,C20,C21,C22,C23,C24,C25,C26,C27,C12,C13,C14,C15,C16,C17,C18),0)</x:f>
        <x:v>0.11349116086939169</x:v>
      </x:c>
      <x:c r="Z12" t="str">
        <x:v>轉存金融機構</x:v>
      </x:c>
      <x:c r="AA12" s="50" t="n">
        <x:f>IFERROR(D19/SUM(D19,D20,D21,D22,D23,D24,D25,D26,D27,D12,D13,D14,D15,D16,D17,D18),0)</x:f>
        <x:v>0.1057019622523328</x:v>
      </x:c>
      <x:c r="AB12" t="str">
        <x:v>轉存金融機構</x:v>
      </x:c>
      <x:c r="AC12" s="50" t="n">
        <x:f>IFERROR(E19/SUM(E19,E20,E21,E22,E23,E24,E25,E26,E27,E12,E13,E14,E15,E16,E17,E18),0)</x:f>
        <x:v>0.05249307537496133</x:v>
      </x:c>
      <x:c r="AD12" t="str">
        <x:v>轉存金融機構</x:v>
      </x:c>
      <x:c r="AE12" s="50" t="n">
        <x:f>IFERROR(F19/SUM(F19,F20,F21,F22,F23,F24,F25,F26,F27,F12,F13,F14,F15,F16,F17,F18),0)</x:f>
        <x:v>0.10253316430655338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政策性貸款</x:v>
      </x:c>
      <x:c r="W13" s="50" t="n">
        <x:f>IFERROR(B20/SUM(B19,B20,B21,B22,B23,B24,B25,B26,B27,B12,B13,B14,B15,B16,B17,B18),0)</x:f>
        <x:v>0</x:v>
      </x:c>
      <x:c r="X13" t="str">
        <x:v>政策性貸款</x:v>
      </x:c>
      <x:c r="Y13" s="50" t="n">
        <x:f>IFERROR(C20/SUM(C19,C20,C21,C22,C23,C24,C25,C26,C27,C12,C13,C14,C15,C16,C17,C18),0)</x:f>
        <x:v>0</x:v>
      </x:c>
      <x:c r="Z13" t="str">
        <x:v>政策性貸款</x:v>
      </x:c>
      <x:c r="AA13" s="50" t="n">
        <x:f>IFERROR(D20/SUM(D19,D20,D21,D22,D23,D24,D25,D26,D27,D12,D13,D14,D15,D16,D17,D18),0)</x:f>
        <x:v>0</x:v>
      </x:c>
      <x:c r="AB13" t="str">
        <x:v>政策性貸款</x:v>
      </x:c>
      <x:c r="AC13" s="50" t="n">
        <x:f>IFERROR(E20/SUM(E19,E20,E21,E22,E23,E24,E25,E26,E27,E12,E13,E14,E15,E16,E17,E18),0)</x:f>
        <x:v>0</x:v>
      </x:c>
      <x:c r="AD13" t="str">
        <x:v>政策性貸款</x:v>
      </x:c>
      <x:c r="AE13" s="50" t="n">
        <x:f>IFERROR(F20/SUM(F19,F20,F21,F22,F23,F24,F25,F26,F27,F12,F13,F14,F15,F16,F17,F18),0)</x:f>
        <x:v>0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短期票券</x:v>
      </x:c>
      <x:c r="W14" s="50" t="n">
        <x:f>IFERROR(B21/SUM(B19,B20,B21,B22,B23,B24,B25,B26,B27,B12,B13,B14,B15,B16,B17,B18),0)</x:f>
        <x:v>0</x:v>
      </x:c>
      <x:c r="X14" t="str">
        <x:v>短期票券</x:v>
      </x:c>
      <x:c r="Y14" s="50" t="n">
        <x:f>IFERROR(C21/SUM(C19,C20,C21,C22,C23,C24,C25,C26,C27,C12,C13,C14,C15,C16,C17,C18),0)</x:f>
        <x:v>0.475007680466909</x:v>
      </x:c>
      <x:c r="Z14" t="str">
        <x:v>短期票券</x:v>
      </x:c>
      <x:c r="AA14" s="50" t="n">
        <x:f>IFERROR(D21/SUM(D19,D20,D21,D22,D23,D24,D25,D26,D27,D12,D13,D14,D15,D16,D17,D18),0)</x:f>
        <x:v>0</x:v>
      </x:c>
      <x:c r="AB14" t="str">
        <x:v>短期票券</x:v>
      </x:c>
      <x:c r="AC14" s="50" t="n">
        <x:f>IFERROR(E21/SUM(E19,E20,E21,E22,E23,E24,E25,E26,E27,E12,E13,E14,E15,E16,E17,E18),0)</x:f>
        <x:v>0</x:v>
      </x:c>
      <x:c r="AD14" t="str">
        <x:v>短期票券</x:v>
      </x:c>
      <x:c r="AE14" s="50" t="n">
        <x:f>IFERROR(F21/SUM(F19,F20,F21,F22,F23,F24,F25,F26,F27,F12,F13,F14,F15,F16,F17,F18),0)</x:f>
        <x:v>0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公債、公司債、金融債券及特別股</x:v>
      </x:c>
      <x:c r="W15" s="50" t="n">
        <x:f>IFERROR(B22/SUM(B19,B20,B21,B22,B23,B24,B25,B26,B27,B12,B13,B14,B15,B16,B17,B18),0)</x:f>
        <x:v>0</x:v>
      </x:c>
      <x:c r="X15" t="str">
        <x:v>公債、公司債、金融債券及特別股</x:v>
      </x:c>
      <x:c r="Y15" s="50" t="n">
        <x:f>IFERROR(C22/SUM(C19,C20,C21,C22,C23,C24,C25,C26,C27,C12,C13,C14,C15,C16,C17,C18),0)</x:f>
        <x:v>0</x:v>
      </x:c>
      <x:c r="Z15" t="str">
        <x:v>公債、公司債、金融債券及特別股</x:v>
      </x:c>
      <x:c r="AA15" s="50" t="n">
        <x:f>IFERROR(D22/SUM(D19,D20,D21,D22,D23,D24,D25,D26,D27,D12,D13,D14,D15,D16,D17,D18),0)</x:f>
        <x:v>0</x:v>
      </x:c>
      <x:c r="AB15" t="str">
        <x:v>公債、公司債、金融債券及特別股</x:v>
      </x:c>
      <x:c r="AC15" s="50" t="n">
        <x:f>IFERROR(E22/SUM(E19,E20,E21,E22,E23,E24,E25,E26,E27,E12,E13,E14,E15,E16,E17,E18),0)</x:f>
        <x:v>0</x:v>
      </x:c>
      <x:c r="AD15" t="str">
        <x:v>公債、公司債、金融債券及特別股</x:v>
      </x:c>
      <x:c r="AE15" s="50" t="n">
        <x:f>IFERROR(F22/SUM(F19,F20,F21,F22,F23,F24,F25,F26,F27,F12,F13,F14,F15,F16,F17,F18),0)</x:f>
        <x:v>0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公債、金融債券、公司債及證券化商品</x:v>
      </x:c>
      <x:c r="W16" s="50" t="n">
        <x:f>IFERROR(B23/SUM(B19,B20,B21,B22,B23,B24,B25,B26,B27,B12,B13,B14,B15,B16,B17,B18),0)</x:f>
        <x:v>0</x:v>
      </x:c>
      <x:c r="X16" t="str">
        <x:v>公債、金融債券、公司債及證券化商品</x:v>
      </x:c>
      <x:c r="Y16" s="50" t="n">
        <x:f>IFERROR(C23/SUM(C19,C20,C21,C22,C23,C24,C25,C26,C27,C12,C13,C14,C15,C16,C17,C18),0)</x:f>
        <x:v>0.040466652577802666</x:v>
      </x:c>
      <x:c r="Z16" t="str">
        <x:v>公債、金融債券、公司債及證券化商品</x:v>
      </x:c>
      <x:c r="AA16" s="50" t="n">
        <x:f>IFERROR(D23/SUM(D19,D20,D21,D22,D23,D24,D25,D26,D27,D12,D13,D14,D15,D16,D17,D18),0)</x:f>
        <x:v>0</x:v>
      </x:c>
      <x:c r="AB16" t="str">
        <x:v>公債、金融債券、公司債及證券化商品</x:v>
      </x:c>
      <x:c r="AC16" s="50" t="n">
        <x:f>IFERROR(E23/SUM(E19,E20,E21,E22,E23,E24,E25,E26,E27,E12,E13,E14,E15,E16,E17,E18),0)</x:f>
        <x:v>0</x:v>
      </x:c>
      <x:c r="AD16" t="str">
        <x:v>公債、金融債券、公司債及證券化商品</x:v>
      </x:c>
      <x:c r="AE16" s="50" t="n">
        <x:f>IFERROR(F23/SUM(F19,F20,F21,F22,F23,F24,F25,F26,F27,F12,F13,F14,F15,F16,F17,F18),0)</x:f>
        <x:v>0.00961100816252155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房屋及土地</x:v>
      </x:c>
      <x:c r="W17" s="50" t="n">
        <x:f>IFERROR(B24/SUM(B19,B20,B21,B22,B23,B24,B25,B26,B27,B12,B13,B14,B15,B16,B17,B18),0)</x:f>
        <x:v>0</x:v>
      </x:c>
      <x:c r="X17" t="str">
        <x:v>房屋及土地</x:v>
      </x:c>
      <x:c r="Y17" s="50" t="n">
        <x:f>IFERROR(C24/SUM(C19,C20,C21,C22,C23,C24,C25,C26,C27,C12,C13,C14,C15,C16,C17,C18),0)</x:f>
        <x:v>0</x:v>
      </x:c>
      <x:c r="Z17" t="str">
        <x:v>房屋及土地</x:v>
      </x:c>
      <x:c r="AA17" s="50" t="n">
        <x:f>IFERROR(D24/SUM(D19,D20,D21,D22,D23,D24,D25,D26,D27,D12,D13,D14,D15,D16,D17,D18),0)</x:f>
        <x:v>0.0010188259302816812</x:v>
      </x:c>
      <x:c r="AB17" t="str">
        <x:v>房屋及土地</x:v>
      </x:c>
      <x:c r="AC17" s="50" t="n">
        <x:f>IFERROR(E24/SUM(E19,E20,E21,E22,E23,E24,E25,E26,E27,E12,E13,E14,E15,E16,E17,E18),0)</x:f>
        <x:v>0</x:v>
      </x:c>
      <x:c r="AD17" t="str">
        <x:v>房屋及土地</x:v>
      </x:c>
      <x:c r="AE17" s="50" t="n">
        <x:f>IFERROR(F24/SUM(F19,F20,F21,F22,F23,F24,F25,F26,F27,F12,F13,F14,F15,F16,F17,F18),0)</x:f>
        <x:v>0.00017353785290100476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政府或公營事業貸款</x:v>
      </x:c>
      <x:c r="W18" s="50" t="n">
        <x:f>IFERROR(B25/SUM(B19,B20,B21,B22,B23,B24,B25,B26,B27,B12,B13,B14,B15,B16,B17,B18),0)</x:f>
        <x:v>0</x:v>
      </x:c>
      <x:c r="X18" t="str">
        <x:v>政府或公營事業貸款</x:v>
      </x:c>
      <x:c r="Y18" s="50" t="n">
        <x:f>IFERROR(C25/SUM(C19,C20,C21,C22,C23,C24,C25,C26,C27,C12,C13,C14,C15,C16,C17,C18),0)</x:f>
        <x:v>0</x:v>
      </x:c>
      <x:c r="Z18" t="str">
        <x:v>政府或公營事業貸款</x:v>
      </x:c>
      <x:c r="AA18" s="50" t="n">
        <x:f>IFERROR(D25/SUM(D19,D20,D21,D22,D23,D24,D25,D26,D27,D12,D13,D14,D15,D16,D17,D18),0)</x:f>
        <x:v>0.00048678091810010486</x:v>
      </x:c>
      <x:c r="AB18" t="str">
        <x:v>政府或公營事業貸款</x:v>
      </x:c>
      <x:c r="AC18" s="50" t="n">
        <x:f>IFERROR(E25/SUM(E19,E20,E21,E22,E23,E24,E25,E26,E27,E12,E13,E14,E15,E16,E17,E18),0)</x:f>
        <x:v>0</x:v>
      </x:c>
      <x:c r="AD18" t="str">
        <x:v>政府或公營事業貸款</x:v>
      </x:c>
      <x:c r="AE18" s="50" t="n">
        <x:f>IFERROR(F25/SUM(F19,F20,F21,F22,F23,F24,F25,F26,F27,F12,F13,F14,F15,F16,F17,F18),0)</x:f>
        <x:v>0.00008291398250623317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被保險人貸款</x:v>
      </x:c>
      <x:c r="W19" s="50" t="n">
        <x:f>IFERROR(B26/SUM(B19,B20,B21,B22,B23,B24,B25,B26,B27,B12,B13,B14,B15,B16,B17,B18),0)</x:f>
        <x:v>0</x:v>
      </x:c>
      <x:c r="X19" t="str">
        <x:v>被保險人貸款</x:v>
      </x:c>
      <x:c r="Y19" s="50" t="n">
        <x:f>IFERROR(C26/SUM(C19,C20,C21,C22,C23,C24,C25,C26,C27,C12,C13,C14,C15,C16,C17,C18),0)</x:f>
        <x:v>0</x:v>
      </x:c>
      <x:c r="Z19" t="str">
        <x:v>被保險人貸款</x:v>
      </x:c>
      <x:c r="AA19" s="50" t="n">
        <x:f>IFERROR(D26/SUM(D19,D20,D21,D22,D23,D24,D25,D26,D27,D12,D13,D14,D15,D16,D17,D18),0)</x:f>
        <x:v>0.02204115775027534</x:v>
      </x:c>
      <x:c r="AB19" t="str">
        <x:v>被保險人貸款</x:v>
      </x:c>
      <x:c r="AC19" s="50" t="n">
        <x:f>IFERROR(E26/SUM(E19,E20,E21,E22,E23,E24,E25,E26,E27,E12,E13,E14,E15,E16,E17,E18),0)</x:f>
        <x:v>0</x:v>
      </x:c>
      <x:c r="AD19" t="str">
        <x:v>被保險人貸款</x:v>
      </x:c>
      <x:c r="AE19" s="50" t="n">
        <x:f>IFERROR(F26/SUM(F19,F20,F21,F22,F23,F24,F25,F26,F27,F12,F13,F14,F15,F16,F17,F18),0)</x:f>
        <x:v>0.0037542970567873246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  <x:c r="V20" t="str">
        <x:v>股票及受益憑證投資（含期貨）</x:v>
      </x:c>
      <x:c r="W20" s="50" t="n">
        <x:f>IFERROR(B27/SUM(B19,B20,B21,B22,B23,B24,B25,B26,B27,B12,B13,B14,B15,B16,B17,B18),0)</x:f>
        <x:v>0.055961194533538296</x:v>
      </x:c>
      <x:c r="X20" t="str">
        <x:v>股票及受益憑證投資（含期貨）</x:v>
      </x:c>
      <x:c r="Y20" s="50" t="n">
        <x:f>IFERROR(C27/SUM(C19,C20,C21,C22,C23,C24,C25,C26,C27,C12,C13,C14,C15,C16,C17,C18),0)</x:f>
        <x:v>0.04034712746974965</x:v>
      </x:c>
      <x:c r="Z20" t="str">
        <x:v>股票及受益憑證投資（含期貨）</x:v>
      </x:c>
      <x:c r="AA20" s="50" t="n">
        <x:f>IFERROR(D27/SUM(D19,D20,D21,D22,D23,D24,D25,D26,D27,D12,D13,D14,D15,D16,D17,D18),0)</x:f>
        <x:v>0.3331317080001063</x:v>
      </x:c>
      <x:c r="AB20" t="str">
        <x:v>股票及受益憑證投資（含期貨）</x:v>
      </x:c>
      <x:c r="AC20" s="50" t="n">
        <x:f>IFERROR(E27/SUM(E19,E20,E21,E22,E23,E24,E25,E26,E27,E12,E13,E14,E15,E16,E17,E18),0)</x:f>
        <x:v>0.28681651089402854</x:v>
      </x:c>
      <x:c r="AD20" t="str">
        <x:v>股票及受益憑證投資（含期貨）</x:v>
      </x:c>
      <x:c r="AE20" s="50" t="n">
        <x:f>IFERROR(F27/SUM(F19,F20,F21,F22,F23,F24,F25,F26,F27,F12,F13,F14,F15,F16,F17,F18),0)</x:f>
        <x:v>0.12643820937201783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  <x:c r="V21" t="str">
        <x:v>自行運用-國外-固定收益</x:v>
      </x:c>
      <x:c r="W21" s="50" t="n">
        <x:f>IFERROR(B12/SUM(B19,B20,B21,B22,B23,B24,B25,B26,B27,B12,B13,B14,B15,B16,B17,B18),0)</x:f>
        <x:v>0.12953267317388073</x:v>
      </x:c>
      <x:c r="X21" t="str">
        <x:v>自行運用-國外-固定收益</x:v>
      </x:c>
      <x:c r="Y21" s="50" t="n">
        <x:f>IFERROR(C12/SUM(C19,C20,C21,C22,C23,C24,C25,C26,C27,C12,C13,C14,C15,C16,C17,C18),0)</x:f>
        <x:v>0.013877837509840278</x:v>
      </x:c>
      <x:c r="Z21" t="str">
        <x:v>自行運用-國外-固定收益</x:v>
      </x:c>
      <x:c r="AA21" s="50" t="n">
        <x:f>IFERROR(D12/SUM(D19,D20,D21,D22,D23,D24,D25,D26,D27,D12,D13,D14,D15,D16,D17,D18),0)</x:f>
        <x:v>0.12378380873949746</x:v>
      </x:c>
      <x:c r="AB21" t="str">
        <x:v>自行運用-國外-固定收益</x:v>
      </x:c>
      <x:c r="AC21" s="50" t="n">
        <x:f>IFERROR(E12/SUM(E19,E20,E21,E22,E23,E24,E25,E26,E27,E12,E13,E14,E15,E16,E17,E18),0)</x:f>
        <x:v>0.13403073741045154</x:v>
      </x:c>
      <x:c r="AD21" t="str">
        <x:v>自行運用-國外-固定收益</x:v>
      </x:c>
      <x:c r="AE21" s="50" t="n">
        <x:f>IFERROR(F12/SUM(F19,F20,F21,F22,F23,F24,F25,F26,F27,F12,F13,F14,F15,F16,F17,F18),0)</x:f>
        <x:v>0.11610091308162436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  <x:c r="V22" t="str">
        <x:v>自行運用-國外-權益證券</x:v>
      </x:c>
      <x:c r="W22" s="50" t="n">
        <x:f>IFERROR(B13/SUM(B19,B20,B21,B22,B23,B24,B25,B26,B27,B12,B13,B14,B15,B16,B17,B18),0)</x:f>
        <x:v>0.015092963877875721</x:v>
      </x:c>
      <x:c r="X22" t="str">
        <x:v>自行運用-國外-權益證券</x:v>
      </x:c>
      <x:c r="Y22" s="50" t="n">
        <x:f>IFERROR(C13/SUM(C19,C20,C21,C22,C23,C24,C25,C26,C27,C12,C13,C14,C15,C16,C17,C18),0)</x:f>
        <x:v>0.010259022550242067</x:v>
      </x:c>
      <x:c r="Z22" t="str">
        <x:v>自行運用-國外-權益證券</x:v>
      </x:c>
      <x:c r="AA22" s="50" t="n">
        <x:f>IFERROR(D13/SUM(D19,D20,D21,D22,D23,D24,D25,D26,D27,D12,D13,D14,D15,D16,D17,D18),0)</x:f>
        <x:v>0.06498542368738083</x:v>
      </x:c>
      <x:c r="AB22" t="str">
        <x:v>自行運用-國外-權益證券</x:v>
      </x:c>
      <x:c r="AC22" s="50" t="n">
        <x:f>IFERROR(E13/SUM(E19,E20,E21,E22,E23,E24,E25,E26,E27,E12,E13,E14,E15,E16,E17,E18),0)</x:f>
        <x:v>0.07315031270084386</x:v>
      </x:c>
      <x:c r="AD22" t="str">
        <x:v>自行運用-國外-權益證券</x:v>
      </x:c>
      <x:c r="AE22" s="50" t="n">
        <x:f>IFERROR(F13/SUM(F19,F20,F21,F22,F23,F24,F25,F26,F27,F12,F13,F14,F15,F16,F17,F18),0)</x:f>
        <x:v>0.02934192685892919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  <x:c r="V23" t="str">
        <x:v>自行運用-國外-另類投資</x:v>
      </x:c>
      <x:c r="W23" s="50" t="n">
        <x:f>IFERROR(B14/SUM(B19,B20,B21,B22,B23,B24,B25,B26,B27,B12,B13,B14,B15,B16,B17,B18),0)</x:f>
        <x:v>0.008290945766926794</x:v>
      </x:c>
      <x:c r="X23" t="str">
        <x:v>自行運用-國外-另類投資</x:v>
      </x:c>
      <x:c r="Y23" s="50" t="n">
        <x:f>IFERROR(C14/SUM(C19,C20,C21,C22,C23,C24,C25,C26,C27,C12,C13,C14,C15,C16,C17,C18),0)</x:f>
        <x:v>0</x:v>
      </x:c>
      <x:c r="Z23" t="str">
        <x:v>自行運用-國外-另類投資</x:v>
      </x:c>
      <x:c r="AA23" s="50" t="n">
        <x:f>IFERROR(D14/SUM(D19,D20,D21,D22,D23,D24,D25,D26,D27,D12,D13,D14,D15,D16,D17,D18),0)</x:f>
        <x:v>0.0072035334470178895</x:v>
      </x:c>
      <x:c r="AB23" t="str">
        <x:v>自行運用-國外-另類投資</x:v>
      </x:c>
      <x:c r="AC23" s="50" t="n">
        <x:f>IFERROR(E14/SUM(E19,E20,E21,E22,E23,E24,E25,E26,E27,E12,E13,E14,E15,E16,E17,E18),0)</x:f>
        <x:v>0.028460576033988435</x:v>
      </x:c>
      <x:c r="AD23" t="str">
        <x:v>自行運用-國外-另類投資</x:v>
      </x:c>
      <x:c r="AE23" s="50" t="n">
        <x:f>IFERROR(F14/SUM(F19,F20,F21,F22,F23,F24,F25,F26,F27,F12,F13,F14,F15,F16,F17,F18),0)</x:f>
        <x:v>0.008877103672406713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  <x:c r="V24" t="str">
        <x:v>委託經營-國內-權益證券</x:v>
      </x:c>
      <x:c r="W24" s="50" t="n">
        <x:f>IFERROR(B15/SUM(B19,B20,B21,B22,B23,B24,B25,B26,B27,B12,B13,B14,B15,B16,B17,B18),0)</x:f>
        <x:v>0.2104405841765572</x:v>
      </x:c>
      <x:c r="X24" t="str">
        <x:v>委託經營-國內-權益證券</x:v>
      </x:c>
      <x:c r="Y24" s="50" t="n">
        <x:f>IFERROR(C15/SUM(C19,C20,C21,C22,C23,C24,C25,C26,C27,C12,C13,C14,C15,C16,C17,C18),0)</x:f>
        <x:v>0.08557910923436605</x:v>
      </x:c>
      <x:c r="Z24" t="str">
        <x:v>委託經營-國內-權益證券</x:v>
      </x:c>
      <x:c r="AA24" s="50" t="n">
        <x:f>IFERROR(D15/SUM(D19,D20,D21,D22,D23,D24,D25,D26,D27,D12,D13,D14,D15,D16,D17,D18),0)</x:f>
        <x:v>0.044434094027364646</x:v>
      </x:c>
      <x:c r="AB24" t="str">
        <x:v>委託經營-國內-權益證券</x:v>
      </x:c>
      <x:c r="AC24" s="50" t="n">
        <x:f>IFERROR(E15/SUM(E19,E20,E21,E22,E23,E24,E25,E26,E27,E12,E13,E14,E15,E16,E17,E18),0)</x:f>
        <x:v>0.12423456388103749</x:v>
      </x:c>
      <x:c r="AD24" t="str">
        <x:v>委託經營-國內-權益證券</x:v>
      </x:c>
      <x:c r="AE24" s="50" t="n">
        <x:f>IFERROR(F15/SUM(F19,F20,F21,F22,F23,F24,F25,F26,F27,F12,F13,F14,F15,F16,F17,F18),0)</x:f>
        <x:v>0.168535157218321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  <x:c r="V25" t="str">
        <x:v>委託經營-國外-固定收益</x:v>
      </x:c>
      <x:c r="W25" s="50" t="n">
        <x:f>IFERROR(B16/SUM(B19,B20,B21,B22,B23,B24,B25,B26,B27,B12,B13,B14,B15,B16,B17,B18),0)</x:f>
        <x:v>0.10710053272306842</x:v>
      </x:c>
      <x:c r="X25" t="str">
        <x:v>委託經營-國外-固定收益</x:v>
      </x:c>
      <x:c r="Y25" s="50" t="n">
        <x:f>IFERROR(C16/SUM(C19,C20,C21,C22,C23,C24,C25,C26,C27,C12,C13,C14,C15,C16,C17,C18),0)</x:f>
        <x:v>0.05126892436949562</x:v>
      </x:c>
      <x:c r="Z25" t="str">
        <x:v>委託經營-國外-固定收益</x:v>
      </x:c>
      <x:c r="AA25" s="50" t="n">
        <x:f>IFERROR(D16/SUM(D19,D20,D21,D22,D23,D24,D25,D26,D27,D12,D13,D14,D15,D16,D17,D18),0)</x:f>
        <x:v>0.061535399591916395</x:v>
      </x:c>
      <x:c r="AB25" t="str">
        <x:v>委託經營-國外-固定收益</x:v>
      </x:c>
      <x:c r="AC25" s="50" t="n">
        <x:f>IFERROR(E16/SUM(E19,E20,E21,E22,E23,E24,E25,E26,E27,E12,E13,E14,E15,E16,E17,E18),0)</x:f>
        <x:v>0.05332745745535172</x:v>
      </x:c>
      <x:c r="AD25" t="str">
        <x:v>委託經營-國外-固定收益</x:v>
      </x:c>
      <x:c r="AE25" s="50" t="n">
        <x:f>IFERROR(F16/SUM(F19,F20,F21,F22,F23,F24,F25,F26,F27,F12,F13,F14,F15,F16,F17,F18),0)</x:f>
        <x:v>0.09334918338528231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  <x:c r="V26" t="str">
        <x:v>委託經營-國外-權益證券</x:v>
      </x:c>
      <x:c r="W26" s="50" t="n">
        <x:f>IFERROR(B17/SUM(B19,B20,B21,B22,B23,B24,B25,B26,B27,B12,B13,B14,B15,B16,B17,B18),0)</x:f>
        <x:v>0.28279620723439863</x:v>
      </x:c>
      <x:c r="X26" t="str">
        <x:v>委託經營-國外-權益證券</x:v>
      </x:c>
      <x:c r="Y26" s="50" t="n">
        <x:f>IFERROR(C17/SUM(C19,C20,C21,C22,C23,C24,C25,C26,C27,C12,C13,C14,C15,C16,C17,C18),0)</x:f>
        <x:v>0.11351479999631743</x:v>
      </x:c>
      <x:c r="Z26" t="str">
        <x:v>委託經營-國外-權益證券</x:v>
      </x:c>
      <x:c r="AA26" s="50" t="n">
        <x:f>IFERROR(D17/SUM(D19,D20,D21,D22,D23,D24,D25,D26,D27,D12,D13,D14,D15,D16,D17,D18),0)</x:f>
        <x:v>0.14602525868778218</x:v>
      </x:c>
      <x:c r="AB26" t="str">
        <x:v>委託經營-國外-權益證券</x:v>
      </x:c>
      <x:c r="AC26" s="50" t="n">
        <x:f>IFERROR(E17/SUM(E19,E20,E21,E22,E23,E24,E25,E26,E27,E12,E13,E14,E15,E16,E17,E18),0)</x:f>
        <x:v>0.21008386701713133</x:v>
      </x:c>
      <x:c r="AD26" t="str">
        <x:v>委託經營-國外-權益證券</x:v>
      </x:c>
      <x:c r="AE26" s="50" t="n">
        <x:f>IFERROR(F17/SUM(F19,F20,F21,F22,F23,F24,F25,F26,F27,F12,F13,F14,F15,F16,F17,F18),0)</x:f>
        <x:v>0.24469114735095152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  <x:c r="V27" t="str">
        <x:v>委託經營-國外-另類投資</x:v>
      </x:c>
      <x:c r="W27" s="50" t="n">
        <x:f>IFERROR(B18/SUM(B19,B20,B21,B22,B23,B24,B25,B26,B27,B12,B13,B14,B15,B16,B17,B18),0)</x:f>
        <x:v>0.10487482107574338</x:v>
      </x:c>
      <x:c r="X27" t="str">
        <x:v>委託經營-國外-另類投資</x:v>
      </x:c>
      <x:c r="Y27" s="50" t="n">
        <x:f>IFERROR(C18/SUM(C19,C20,C21,C22,C23,C24,C25,C26,C27,C12,C13,C14,C15,C16,C17,C18),0)</x:f>
        <x:v>0.05618768495588562</x:v>
      </x:c>
      <x:c r="Z27" t="str">
        <x:v>委託經營-國外-另類投資</x:v>
      </x:c>
      <x:c r="AA27" s="50" t="n">
        <x:f>IFERROR(D18/SUM(D19,D20,D21,D22,D23,D24,D25,D26,D27,D12,D13,D14,D15,D16,D17,D18),0)</x:f>
        <x:v>0.08965204696794446</x:v>
      </x:c>
      <x:c r="AB27" t="str">
        <x:v>委託經營-國外-另類投資</x:v>
      </x:c>
      <x:c r="AC27" s="50" t="n">
        <x:f>IFERROR(E18/SUM(E19,E20,E21,E22,E23,E24,E25,E26,E27,E12,E13,E14,E15,E16,E17,E18),0)</x:f>
        <x:v>0.03740289923220597</x:v>
      </x:c>
      <x:c r="AD27" t="str">
        <x:v>委託經營-國外-另類投資</x:v>
      </x:c>
      <x:c r="AE27" s="50" t="n">
        <x:f>IFERROR(F18/SUM(F19,F20,F21,F22,F23,F24,F25,F26,F27,F12,F13,F14,F15,F16,F17,F18),0)</x:f>
        <x:v>0.09651143769919772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d24b9563f4cd4b6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66c285481594b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2577bbb40c2840e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瑞銀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信安環球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瑞銀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安聯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野村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5cb1800467847e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449830fedb6e4c6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IFERROR(I9/SUM($I$9:$I$58),0)</x:f>
        <x:v>0.1425863938130672</x:v>
      </x:c>
      <x:c r="K9" s="28" t="n">
        <x:f>RANK(I9,$I$9:$I$58,0)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IFERROR(I10/SUM($I$9:$I$58),0)</x:f>
        <x:v>0.09813994841568788</x:v>
      </x:c>
      <x:c r="K10" s="31" t="n">
        <x:f>RANK(I10,$I$9:$I$58,0)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IFERROR(I11/SUM($I$9:$I$58),0)</x:f>
        <x:v>0.0658173479525746</x:v>
      </x:c>
      <x:c r="K11" s="31" t="n">
        <x:f>RANK(I11,$I$9:$I$58,0)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IFERROR(I12/SUM($I$9:$I$58),0)</x:f>
        <x:v>0.05198129730148962</x:v>
      </x:c>
      <x:c r="K12" s="31" t="n">
        <x:f>RANK(I12,$I$9:$I$58,0)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IFERROR(I13/SUM($I$9:$I$58),0)</x:f>
        <x:v>0.04985510490232206</x:v>
      </x:c>
      <x:c r="K13" s="31" t="n">
        <x:f>RANK(I13,$I$9:$I$58,0)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IFERROR(I14/SUM($I$9:$I$58),0)</x:f>
        <x:v>0.04728217040768952</x:v>
      </x:c>
      <x:c r="K14" s="31" t="n">
        <x:f>RANK(I14,$I$9:$I$58,0)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SUM(I19:I58)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IFERROR(I15/SUM($I$9:$I$58),0)</x:f>
        <x:v>0.041707268576776396</x:v>
      </x:c>
      <x:c r="K15" s="31" t="n">
        <x:f>RANK(I15,$I$9:$I$58,0)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IFERROR(I16/SUM($I$9:$I$58),0)</x:f>
        <x:v>0.0390633442383119</x:v>
      </x:c>
      <x:c r="K16" s="31" t="n">
        <x:f>RANK(I16,$I$9:$I$58,0)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IFERROR(I17/SUM($I$9:$I$58),0)</x:f>
        <x:v>0.03877277801889003</x:v>
      </x:c>
      <x:c r="K17" s="31" t="n">
        <x:f>RANK(I17,$I$9:$I$58,0)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IFERROR(I18/SUM($I$9:$I$58),0)</x:f>
        <x:v>0.03265450709707709</x:v>
      </x:c>
      <x:c r="K18" s="31" t="n">
        <x:f>RANK(I18,$I$9:$I$58,0)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IFERROR(I19/SUM($I$9:$I$58),0)</x:f>
        <x:v>0.028196924357274576</x:v>
      </x:c>
      <x:c r="K19" s="31" t="n">
        <x:f>RANK(I19,$I$9:$I$58,0)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IFERROR(I20/SUM($I$9:$I$58),0)</x:f>
        <x:v>0.02773664317707005</x:v>
      </x:c>
      <x:c r="K20" s="31" t="n">
        <x:f>RANK(I20,$I$9:$I$58,0)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IFERROR(I21/SUM($I$9:$I$58),0)</x:f>
        <x:v>0.024308666913996812</x:v>
      </x:c>
      <x:c r="K21" s="31" t="n">
        <x:f>RANK(I21,$I$9:$I$58,0)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IFERROR(I22/SUM($I$9:$I$58),0)</x:f>
        <x:v>0.024260201503502884</x:v>
      </x:c>
      <x:c r="K22" s="31" t="n">
        <x:f>RANK(I22,$I$9:$I$58,0)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IFERROR(I23/SUM($I$9:$I$58),0)</x:f>
        <x:v>0.023529260688206054</x:v>
      </x:c>
      <x:c r="K23" s="31" t="n">
        <x:f>RANK(I23,$I$9:$I$58,0)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IFERROR(I24/SUM($I$9:$I$58),0)</x:f>
        <x:v>0.02066872267919953</x:v>
      </x:c>
      <x:c r="K24" s="31" t="n">
        <x:f>RANK(I24,$I$9:$I$58,0)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IFERROR(I25/SUM($I$9:$I$58),0)</x:f>
        <x:v>0.019666098114268265</x:v>
      </x:c>
      <x:c r="K25" s="31" t="n">
        <x:f>RANK(I25,$I$9:$I$58,0)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IFERROR(I26/SUM($I$9:$I$58),0)</x:f>
        <x:v>0.019110879114965472</x:v>
      </x:c>
      <x:c r="K26" s="31" t="n">
        <x:f>RANK(I26,$I$9:$I$58,0)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IFERROR(I27/SUM($I$9:$I$58),0)</x:f>
        <x:v>0.014446878972447797</x:v>
      </x:c>
      <x:c r="K27" s="31" t="n">
        <x:f>RANK(I27,$I$9:$I$58,0)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IFERROR(I28/SUM($I$9:$I$58),0)</x:f>
        <x:v>0.013750672143502425</x:v>
      </x:c>
      <x:c r="K28" s="31" t="n">
        <x:f>RANK(I28,$I$9:$I$58,0)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IFERROR(I29/SUM($I$9:$I$58),0)</x:f>
        <x:v>0.013670178215349427</x:v>
      </x:c>
      <x:c r="K29" s="31" t="n">
        <x:f>RANK(I29,$I$9:$I$58,0)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IFERROR(I30/SUM($I$9:$I$58),0)</x:f>
        <x:v>0.013436471420130734</x:v>
      </x:c>
      <x:c r="K30" s="31" t="n">
        <x:f>RANK(I30,$I$9:$I$58,0)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IFERROR(I31/SUM($I$9:$I$58),0)</x:f>
        <x:v>0.011105586058408076</x:v>
      </x:c>
      <x:c r="K31" s="31" t="n">
        <x:f>RANK(I31,$I$9:$I$58,0)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IFERROR(I32/SUM($I$9:$I$58),0)</x:f>
        <x:v>0.01081426468608088</x:v>
      </x:c>
      <x:c r="K32" s="31" t="n">
        <x:f>RANK(I32,$I$9:$I$58,0)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IFERROR(I33/SUM($I$9:$I$58),0)</x:f>
        <x:v>0.01069599957979951</x:v>
      </x:c>
      <x:c r="K33" s="31" t="n">
        <x:f>RANK(I33,$I$9:$I$58,0)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Insight</x:v>
      </x:c>
      <x:c r="H34" s="40" t="n">
        <x:f>SUMIFS('國外委外明細'!$G$4:$G$188,'國外委外明細'!$F$4:$F$188,G34,'國外委外明細'!$A$4:$A$188,$B$4)</x:f>
        <x:v>1229834121</x:v>
      </x:c>
      <x:c r="I34" s="40" t="n">
        <x:f>SUMIFS('國外委外明細'!$H$4:$H$188,'國外委外明細'!$F$4:$F$188,G34,'國外委外明細'!$A$4:$A$188,$B$4)</x:f>
        <x:v>1218224544</x:v>
      </x:c>
      <x:c r="J34" s="43" t="n">
        <x:f>IFERROR(I34/SUM($I$9:$I$58),0)</x:f>
        <x:v>0.009743537151948088</x:v>
      </x:c>
      <x:c r="K34" s="31" t="n">
        <x:f>RANK(I34,$I$9:$I$58,0)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American Century</x:v>
      </x:c>
      <x:c r="H35" s="40" t="n">
        <x:f>SUMIFS('國外委外明細'!$G$4:$G$188,'國外委外明細'!$F$4:$F$188,G35,'國外委外明細'!$A$4:$A$188,$B$4)</x:f>
        <x:v>959838014</x:v>
      </x:c>
      <x:c r="I35" s="40" t="n">
        <x:f>SUMIFS('國外委外明細'!$H$4:$H$188,'國外委外明細'!$F$4:$F$188,G35,'國外委外明細'!$A$4:$A$188,$B$4)</x:f>
        <x:v>1175399124</x:v>
      </x:c>
      <x:c r="J35" s="43" t="n">
        <x:f>IFERROR(I35/SUM($I$9:$I$58),0)</x:f>
        <x:v>0.00940101321178211</x:v>
      </x:c>
      <x:c r="K35" s="31" t="n">
        <x:f>RANK(I35,$I$9:$I$58,0)</x:f>
        <x:v>27</x:v>
      </x:c>
      <x:c r="L35" s="32" t="n">
        <x:f>COUNTIFS('國外委外明細'!$F$4:$F$188,G35,'國外委外明細'!$A$4:$A$188,$B$4,'國外委外明細'!$J$4:$J$188,"&lt;&gt;解約")</x:f>
        <x:v>4</x:v>
      </x:c>
    </x:row>
    <x:row r="36">
      <x:c r="G36" s="30" t="str">
        <x:v>T. Rowe Price</x:v>
      </x:c>
      <x:c r="H36" s="40" t="n">
        <x:f>SUMIFS('國外委外明細'!$G$4:$G$188,'國外委外明細'!$F$4:$F$188,G36,'國外委外明細'!$A$4:$A$188,$B$4)</x:f>
        <x:v>960000000</x:v>
      </x:c>
      <x:c r="I36" s="40" t="n">
        <x:f>SUMIFS('國外委外明細'!$H$4:$H$188,'國外委外明細'!$F$4:$F$188,G36,'國外委外明細'!$A$4:$A$188,$B$4)</x:f>
        <x:v>1142513053</x:v>
      </x:c>
      <x:c r="J36" s="43" t="n">
        <x:f>IFERROR(I36/SUM($I$9:$I$58),0)</x:f>
        <x:v>0.009137985631071913</x:v>
      </x:c>
      <x:c r="K36" s="31" t="n">
        <x:f>RANK(I36,$I$9:$I$58,0)</x:f>
        <x:v>28</x:v>
      </x:c>
      <x:c r="L36" s="32" t="n">
        <x:f>COUNTIFS('國外委外明細'!$F$4:$F$188,G36,'國外委外明細'!$A$4:$A$188,$B$4,'國外委外明細'!$J$4:$J$188,"&lt;&gt;解約")</x:f>
        <x:v>3</x:v>
      </x:c>
    </x:row>
    <x:row r="37">
      <x:c r="G37" s="30" t="str">
        <x:v>Ninety One</x:v>
      </x:c>
      <x:c r="H37" s="40" t="n">
        <x:f>SUMIFS('國外委外明細'!$G$4:$G$188,'國外委外明細'!$F$4:$F$188,G37,'國外委外明細'!$A$4:$A$188,$B$4)</x:f>
        <x:v>900000000</x:v>
      </x:c>
      <x:c r="I37" s="40" t="n">
        <x:f>SUMIFS('國外委外明細'!$H$4:$H$188,'國外委外明細'!$F$4:$F$188,G37,'國外委外明細'!$A$4:$A$188,$B$4)</x:f>
        <x:v>1077267573</x:v>
      </x:c>
      <x:c r="J37" s="43" t="n">
        <x:f>IFERROR(I37/SUM($I$9:$I$58),0)</x:f>
        <x:v>0.008616142788955701</x:v>
      </x:c>
      <x:c r="K37" s="31" t="n">
        <x:f>RANK(I37,$I$9:$I$58,0)</x:f>
        <x:v>29</x:v>
      </x:c>
      <x:c r="L37" s="32" t="n">
        <x:f>COUNTIFS('國外委外明細'!$F$4:$F$188,G37,'國外委外明細'!$A$4:$A$188,$B$4,'國外委外明細'!$J$4:$J$188,"&lt;&gt;解約")</x:f>
        <x:v>2</x:v>
      </x:c>
    </x:row>
    <x:row r="38">
      <x:c r="G38" s="30" t="str">
        <x:v>ClearBridge</x:v>
      </x:c>
      <x:c r="H38" s="40" t="n">
        <x:f>SUMIFS('國外委外明細'!$G$4:$G$188,'國外委外明細'!$F$4:$F$188,G38,'國外委外明細'!$A$4:$A$188,$B$4)</x:f>
        <x:v>760000000</x:v>
      </x:c>
      <x:c r="I38" s="40" t="n">
        <x:f>SUMIFS('國外委外明細'!$H$4:$H$188,'國外委外明細'!$F$4:$F$188,G38,'國外委外明細'!$A$4:$A$188,$B$4)</x:f>
        <x:v>1047858894</x:v>
      </x:c>
      <x:c r="J38" s="43" t="n">
        <x:f>IFERROR(I38/SUM($I$9:$I$58),0)</x:f>
        <x:v>0.00838092789541452</x:v>
      </x:c>
      <x:c r="K38" s="31" t="n">
        <x:f>RANK(I38,$I$9:$I$58,0)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聯博</x:v>
      </x:c>
      <x:c r="H39" s="40" t="n">
        <x:f>SUMIFS('國外委外明細'!$G$4:$G$188,'國外委外明細'!$F$4:$F$188,G39,'國外委外明細'!$A$4:$A$188,$B$4)</x:f>
        <x:v>900495639</x:v>
      </x:c>
      <x:c r="I39" s="40" t="n">
        <x:f>SUMIFS('國外委外明細'!$H$4:$H$188,'國外委外明細'!$F$4:$F$188,G39,'國外委外明細'!$A$4:$A$188,$B$4)</x:f>
        <x:v>897752897</x:v>
      </x:c>
      <x:c r="J39" s="43" t="n">
        <x:f>IFERROR(I39/SUM($I$9:$I$58),0)</x:f>
        <x:v>0.007180358291310641</x:v>
      </x:c>
      <x:c r="K39" s="31" t="n">
        <x:f>RANK(I39,$I$9:$I$58,0)</x:f>
        <x:v>31</x:v>
      </x:c>
      <x:c r="L39" s="32" t="n">
        <x:f>COUNTIFS('國外委外明細'!$F$4:$F$188,G39,'國外委外明細'!$A$4:$A$188,$B$4,'國外委外明細'!$J$4:$J$188,"&lt;&gt;解約")</x:f>
        <x:v>1</x:v>
      </x:c>
    </x:row>
    <x:row r="40">
      <x:c r="G40" s="30" t="str">
        <x:v>信安</x:v>
      </x:c>
      <x:c r="H40" s="40" t="n">
        <x:f>SUMIFS('國外委外明細'!$G$4:$G$188,'國外委外明細'!$F$4:$F$188,G40,'國外委外明細'!$A$4:$A$188,$B$4)</x:f>
        <x:v>708888643</x:v>
      </x:c>
      <x:c r="I40" s="40" t="n">
        <x:f>SUMIFS('國外委外明細'!$H$4:$H$188,'國外委外明細'!$F$4:$F$188,G40,'國外委外明細'!$A$4:$A$188,$B$4)</x:f>
        <x:v>801020312</x:v>
      </x:c>
      <x:c r="J40" s="43" t="n">
        <x:f>IFERROR(I40/SUM($I$9:$I$58),0)</x:f>
        <x:v>0.006406677002098759</x:v>
      </x:c>
      <x:c r="K40" s="31" t="n">
        <x:f>RANK(I40,$I$9:$I$58,0)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Pictet</x:v>
      </x:c>
      <x:c r="H41" s="40" t="n">
        <x:f>SUMIFS('國外委外明細'!$G$4:$G$188,'國外委外明細'!$F$4:$F$188,G41,'國外委外明細'!$A$4:$A$188,$B$4)</x:f>
        <x:v>618843493</x:v>
      </x:c>
      <x:c r="I41" s="40" t="n">
        <x:f>SUMIFS('國外委外明細'!$H$4:$H$188,'國外委外明細'!$F$4:$F$188,G41,'國外委外明細'!$A$4:$A$188,$B$4)</x:f>
        <x:v>769778438</x:v>
      </x:c>
      <x:c r="J41" s="43" t="n">
        <x:f>IFERROR(I41/SUM($I$9:$I$58),0)</x:f>
        <x:v>0.00615679994822167</x:v>
      </x:c>
      <x:c r="K41" s="31" t="n">
        <x:f>RANK(I41,$I$9:$I$58,0)</x:f>
        <x:v>33</x:v>
      </x:c>
      <x:c r="L41" s="32" t="n">
        <x:f>COUNTIFS('國外委外明細'!$F$4:$F$188,G41,'國外委外明細'!$A$4:$A$188,$B$4,'國外委外明細'!$J$4:$J$188,"&lt;&gt;解約")</x:f>
        <x:v>1</x:v>
      </x:c>
    </x:row>
    <x:row r="42">
      <x:c r="G42" s="30" t="str">
        <x:v>滙豐</x:v>
      </x:c>
      <x:c r="H42" s="40" t="n">
        <x:f>SUMIFS('國外委外明細'!$G$4:$G$188,'國外委外明細'!$F$4:$F$188,G42,'國外委外明細'!$A$4:$A$188,$B$4)</x:f>
        <x:v>460000000</x:v>
      </x:c>
      <x:c r="I42" s="40" t="n">
        <x:f>SUMIFS('國外委外明細'!$H$4:$H$188,'國外委外明細'!$F$4:$F$188,G42,'國外委外明細'!$A$4:$A$188,$B$4)</x:f>
        <x:v>706462588</x:v>
      </x:c>
      <x:c r="J42" s="43" t="n">
        <x:f>IFERROR(I42/SUM($I$9:$I$58),0)</x:f>
        <x:v>0.005650390567602449</x:v>
      </x:c>
      <x:c r="K42" s="31" t="n">
        <x:f>RANK(I42,$I$9:$I$58,0)</x:f>
        <x:v>34</x:v>
      </x:c>
      <x:c r="L42" s="32" t="n">
        <x:f>COUNTIFS('國外委外明細'!$F$4:$F$188,G42,'國外委外明細'!$A$4:$A$188,$B$4,'國外委外明細'!$J$4:$J$188,"&lt;&gt;解約")</x:f>
        <x:v>2</x:v>
      </x:c>
    </x:row>
    <x:row r="43">
      <x:c r="G43" s="30" t="str">
        <x:v>荷寶</x:v>
      </x:c>
      <x:c r="H43" s="40" t="n">
        <x:f>SUMIFS('國外委外明細'!$G$4:$G$188,'國外委外明細'!$F$4:$F$188,G43,'國外委外明細'!$A$4:$A$188,$B$4)</x:f>
        <x:v>506416368</x:v>
      </x:c>
      <x:c r="I43" s="40" t="n">
        <x:f>SUMIFS('國外委外明細'!$H$4:$H$188,'國外委外明細'!$F$4:$F$188,G43,'國外委外明細'!$A$4:$A$188,$B$4)</x:f>
        <x:v>697308846</x:v>
      </x:c>
      <x:c r="J43" s="43" t="n">
        <x:f>IFERROR(I43/SUM($I$9:$I$58),0)</x:f>
        <x:v>0.005577177607236788</x:v>
      </x:c>
      <x:c r="K43" s="31" t="n">
        <x:f>RANK(I43,$I$9:$I$58,0)</x:f>
        <x:v>35</x:v>
      </x:c>
      <x:c r="L43" s="32" t="n">
        <x:f>COUNTIFS('國外委外明細'!$F$4:$F$188,G43,'國外委外明細'!$A$4:$A$188,$B$4,'國外委外明細'!$J$4:$J$188,"&lt;&gt;解約")</x:f>
        <x:v>1</x:v>
      </x:c>
    </x:row>
    <x:row r="44">
      <x:c r="G44" s="30" t="str">
        <x:v>摩根士丹利</x:v>
      </x:c>
      <x:c r="H44" s="40" t="n">
        <x:f>SUMIFS('國外委外明細'!$G$4:$G$188,'國外委外明細'!$F$4:$F$188,G44,'國外委外明細'!$A$4:$A$188,$B$4)</x:f>
        <x:v>460000000</x:v>
      </x:c>
      <x:c r="I44" s="40" t="n">
        <x:f>SUMIFS('國外委外明細'!$H$4:$H$188,'國外委外明細'!$F$4:$F$188,G44,'國外委外明細'!$A$4:$A$188,$B$4)</x:f>
        <x:v>690570828</x:v>
      </x:c>
      <x:c r="J44" s="43" t="n">
        <x:f>IFERROR(I44/SUM($I$9:$I$58),0)</x:f>
        <x:v>0.005523285958905744</x:v>
      </x:c>
      <x:c r="K44" s="31" t="n">
        <x:f>RANK(I44,$I$9:$I$58,0)</x:f>
        <x:v>36</x:v>
      </x:c>
      <x:c r="L44" s="32" t="n">
        <x:f>COUNTIFS('國外委外明細'!$F$4:$F$188,G44,'國外委外明細'!$A$4:$A$188,$B$4,'國外委外明細'!$J$4:$J$188,"&lt;&gt;解約")</x:f>
        <x:v>2</x:v>
      </x:c>
    </x:row>
    <x:row r="45">
      <x:c r="G45" s="30" t="str">
        <x:v>PGIM</x:v>
      </x:c>
      <x:c r="H45" s="40" t="n">
        <x:f>SUMIFS('國外委外明細'!$G$4:$G$188,'國外委外明細'!$F$4:$F$188,G45,'國外委外明細'!$A$4:$A$188,$B$4)</x:f>
        <x:v>600000000</x:v>
      </x:c>
      <x:c r="I45" s="40" t="n">
        <x:f>SUMIFS('國外委外明細'!$H$4:$H$188,'國外委外明細'!$F$4:$F$188,G45,'國外委外明細'!$A$4:$A$188,$B$4)</x:f>
        <x:v>688857784</x:v>
      </x:c>
      <x:c r="J45" s="43" t="n">
        <x:f>IFERROR(I45/SUM($I$9:$I$58),0)</x:f>
        <x:v>0.005509584783749547</x:v>
      </x:c>
      <x:c r="K45" s="31" t="n">
        <x:f>RANK(I45,$I$9:$I$58,0)</x:f>
        <x:v>37</x:v>
      </x:c>
      <x:c r="L45" s="32" t="n">
        <x:f>COUNTIFS('國外委外明細'!$F$4:$F$188,G45,'國外委外明細'!$A$4:$A$188,$B$4,'國外委外明細'!$J$4:$J$188,"&lt;&gt;解約")</x:f>
        <x:v>1</x:v>
      </x:c>
    </x:row>
    <x:row r="46">
      <x:c r="G46" s="30" t="str">
        <x:v>Amundi</x:v>
      </x:c>
      <x:c r="H46" s="40" t="n">
        <x:f>SUMIFS('國外委外明細'!$G$4:$G$188,'國外委外明細'!$F$4:$F$188,G46,'國外委外明細'!$A$4:$A$188,$B$4)</x:f>
        <x:v>500000000</x:v>
      </x:c>
      <x:c r="I46" s="40" t="n">
        <x:f>SUMIFS('國外委外明細'!$H$4:$H$188,'國外委外明細'!$F$4:$F$188,G46,'國外委外明細'!$A$4:$A$188,$B$4)</x:f>
        <x:v>666575819</x:v>
      </x:c>
      <x:c r="J46" s="43" t="n">
        <x:f>IFERROR(I46/SUM($I$9:$I$58),0)</x:f>
        <x:v>0.005331370385701836</x:v>
      </x:c>
      <x:c r="K46" s="31" t="n">
        <x:f>RANK(I46,$I$9:$I$58,0)</x:f>
        <x:v>38</x:v>
      </x:c>
      <x:c r="L46" s="32" t="n">
        <x:f>COUNTIFS('國外委外明細'!$F$4:$F$188,G46,'國外委外明細'!$A$4:$A$188,$B$4,'國外委外明細'!$J$4:$J$188,"&lt;&gt;解約")</x:f>
        <x:v>2</x:v>
      </x:c>
    </x:row>
    <x:row r="47">
      <x:c r="G47" s="30" t="str">
        <x:v>LGIM</x:v>
      </x:c>
      <x:c r="H47" s="40" t="n">
        <x:f>SUMIFS('國外委外明細'!$G$4:$G$188,'國外委外明細'!$F$4:$F$188,G47,'國外委外明細'!$A$4:$A$188,$B$4)</x:f>
        <x:v>400000000</x:v>
      </x:c>
      <x:c r="I47" s="40" t="n">
        <x:f>SUMIFS('國外委外明細'!$H$4:$H$188,'國外委外明細'!$F$4:$F$188,G47,'國外委外明細'!$A$4:$A$188,$B$4)</x:f>
        <x:v>593041556</x:v>
      </x:c>
      <x:c r="J47" s="43" t="n">
        <x:f>IFERROR(I47/SUM($I$9:$I$58),0)</x:f>
        <x:v>0.004743232651151627</x:v>
      </x:c>
      <x:c r="K47" s="31" t="n">
        <x:f>RANK(I47,$I$9:$I$58,0)</x:f>
        <x:v>39</x:v>
      </x:c>
      <x:c r="L47" s="32" t="n">
        <x:f>COUNTIFS('國外委外明細'!$F$4:$F$188,G47,'國外委外明細'!$A$4:$A$188,$B$4,'國外委外明細'!$J$4:$J$188,"&lt;&gt;解約")</x:f>
        <x:v>1</x:v>
      </x:c>
    </x:row>
    <x:row r="48">
      <x:c r="G48" s="30" t="str">
        <x:v>信安環球</x:v>
      </x:c>
      <x:c r="H48" s="40" t="n">
        <x:f>SUMIFS('國外委外明細'!$G$4:$G$188,'國外委外明細'!$F$4:$F$188,G48,'國外委外明細'!$A$4:$A$188,$B$4)</x:f>
        <x:v>425091462</x:v>
      </x:c>
      <x:c r="I48" s="40" t="n">
        <x:f>SUMIFS('國外委外明細'!$H$4:$H$188,'國外委外明細'!$F$4:$F$188,G48,'國外委外明細'!$A$4:$A$188,$B$4)</x:f>
        <x:v>478192278</x:v>
      </x:c>
      <x:c r="J48" s="43" t="n">
        <x:f>IFERROR(I48/SUM($I$9:$I$58),0)</x:f>
        <x:v>0.0038246514153861015</x:v>
      </x:c>
      <x:c r="K48" s="31" t="n">
        <x:f>RANK(I48,$I$9:$I$58,0)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IFERROR(I49/SUM($I$9:$I$58),0)</x:f>
        <x:v>0.0036664290298600195</x:v>
      </x:c>
      <x:c r="K49" s="31" t="n">
        <x:f>RANK(I49,$I$9:$I$58,0)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UBS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422040147</x:v>
      </x:c>
      <x:c r="J50" s="43" t="n">
        <x:f>IFERROR(I50/SUM($I$9:$I$58),0)</x:f>
        <x:v>0.0033755385016345</x:v>
      </x:c>
      <x:c r="K50" s="31" t="n">
        <x:f>RANK(I50,$I$9:$I$58,0)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HSBC</x:v>
      </x:c>
      <x:c r="H51" s="40" t="n">
        <x:f>SUMIFS('國外委外明細'!$G$4:$G$188,'國外委外明細'!$F$4:$F$188,G51,'國外委外明細'!$A$4:$A$188,$B$4)</x:f>
        <x:v>400000000</x:v>
      </x:c>
      <x:c r="I51" s="40" t="n">
        <x:f>SUMIFS('國外委外明細'!$H$4:$H$188,'國外委外明細'!$F$4:$F$188,G51,'國外委外明細'!$A$4:$A$188,$B$4)</x:f>
        <x:v>421747465</x:v>
      </x:c>
      <x:c r="J51" s="43" t="n">
        <x:f>IFERROR(I51/SUM($I$9:$I$58),0)</x:f>
        <x:v>0.003373197588413902</x:v>
      </x:c>
      <x:c r="K51" s="31" t="n">
        <x:f>RANK(I51,$I$9:$I$58,0)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瑞銀</x:v>
      </x:c>
      <x:c r="H52" s="40" t="n">
        <x:f>SUMIFS('國外委外明細'!$G$4:$G$188,'國外委外明細'!$F$4:$F$188,G52,'國外委外明細'!$A$4:$A$188,$B$4)</x:f>
        <x:v>361201485</x:v>
      </x:c>
      <x:c r="I52" s="40" t="n">
        <x:f>SUMIFS('國外委外明細'!$H$4:$H$188,'國外委外明細'!$F$4:$F$188,G52,'國外委外明細'!$A$4:$A$188,$B$4)</x:f>
        <x:v>367521178</x:v>
      </x:c>
      <x:c r="J52" s="43" t="n">
        <x:f>IFERROR(I52/SUM($I$9:$I$58),0)</x:f>
        <x:v>0.002939487855180437</x:v>
      </x:c>
      <x:c r="K52" s="31" t="n">
        <x:f>RANK(I52,$I$9:$I$58,0)</x:f>
        <x:v>44</x:v>
      </x:c>
      <x:c r="L52" s="32" t="n">
        <x:f>COUNTIFS('國外委外明細'!$F$4:$F$188,G52,'國外委外明細'!$A$4:$A$188,$B$4,'國外委外明細'!$J$4:$J$188,"&lt;&gt;解約")</x:f>
        <x:v>1</x:v>
      </x:c>
    </x:row>
    <x:row r="53">
      <x:c r="G53" s="30" t="str">
        <x:v>Allianz</x:v>
      </x:c>
      <x:c r="H53" s="40" t="n">
        <x:f>SUMIFS('國外委外明細'!$G$4:$G$188,'國外委外明細'!$F$4:$F$188,G53,'國外委外明細'!$A$4:$A$188,$B$4)</x:f>
        <x:v>275923278</x:v>
      </x:c>
      <x:c r="I53" s="40" t="n">
        <x:f>SUMIFS('國外委外明細'!$H$4:$H$188,'國外委外明細'!$F$4:$F$188,G53,'國外委外明細'!$A$4:$A$188,$B$4)</x:f>
        <x:v>275639320</x:v>
      </x:c>
      <x:c r="J53" s="43" t="n">
        <x:f>IFERROR(I53/SUM($I$9:$I$58),0)</x:f>
        <x:v>0.002204603386284842</x:v>
      </x:c>
      <x:c r="K53" s="31" t="n">
        <x:f>RANK(I53,$I$9:$I$58,0)</x:f>
        <x:v>45</x:v>
      </x:c>
      <x:c r="L53" s="32" t="n">
        <x:f>COUNTIFS('國外委外明細'!$F$4:$F$188,G53,'國外委外明細'!$A$4:$A$188,$B$4,'國外委外明細'!$J$4:$J$188,"&lt;&gt;解約")</x:f>
        <x:v>1</x:v>
      </x:c>
    </x:row>
    <x:row r="54">
      <x:c r="G54" s="30" t="str">
        <x:v>柏瑞</x:v>
      </x:c>
      <x:c r="H54" s="40" t="n">
        <x:f>SUMIFS('國外委外明細'!$G$4:$G$188,'國外委外明細'!$F$4:$F$188,G54,'國外委外明細'!$A$4:$A$188,$B$4)</x:f>
        <x:v>0</x:v>
      </x:c>
      <x:c r="I54" s="40" t="n">
        <x:f>SUMIFS('國外委外明細'!$H$4:$H$188,'國外委外明細'!$F$4:$F$188,G54,'國外委外明細'!$A$4:$A$188,$B$4)</x:f>
        <x:v>0</x:v>
      </x:c>
      <x:c r="J54" s="43" t="n">
        <x:f>IFERROR(I54/SUM($I$9:$I$58),0)</x:f>
        <x:v>0</x:v>
      </x:c>
      <x:c r="K54" s="31" t="n">
        <x:f>RANK(I54,$I$9:$I$58,0)</x:f>
        <x:v>46</x:v>
      </x:c>
      <x:c r="L54" s="32" t="n">
        <x:f>COUNTIFS('國外委外明細'!$F$4:$F$188,G54,'國外委外明細'!$A$4:$A$188,$B$4,'國外委外明細'!$J$4:$J$188,"&lt;&gt;解約")</x:f>
        <x:v>0</x:v>
      </x:c>
    </x:row>
    <x:row r="55">
      <x:c r="G55" s="30" t="str">
        <x:v>安聯</x:v>
      </x:c>
      <x:c r="H55" s="40" t="n">
        <x:f>SUMIFS('國外委外明細'!$G$4:$G$188,'國外委外明細'!$F$4:$F$188,G55,'國外委外明細'!$A$4:$A$188,$B$4)</x:f>
        <x:v>0</x:v>
      </x:c>
      <x:c r="I55" s="40" t="n">
        <x:f>SUMIFS('國外委外明細'!$H$4:$H$188,'國外委外明細'!$F$4:$F$188,G55,'國外委外明細'!$A$4:$A$188,$B$4)</x:f>
        <x:v>0</x:v>
      </x:c>
      <x:c r="J55" s="43" t="n">
        <x:f>IFERROR(I55/SUM($I$9:$I$58),0)</x:f>
        <x:v>0</x:v>
      </x:c>
      <x:c r="K55" s="31" t="n">
        <x:f>RANK(I55,$I$9:$I$58,0)</x:f>
        <x:v>46</x:v>
      </x:c>
      <x:c r="L55" s="32" t="n">
        <x:f>COUNTIFS('國外委外明細'!$F$4:$F$188,G55,'國外委外明細'!$A$4:$A$188,$B$4,'國外委外明細'!$J$4:$J$188,"&lt;&gt;解約")</x:f>
        <x:v>0</x:v>
      </x:c>
    </x:row>
    <x:row r="56">
      <x:c r="G56" s="30" t="str">
        <x:v>玉山</x:v>
      </x:c>
      <x:c r="H56" s="40" t="n">
        <x:f>SUMIFS('國外委外明細'!$G$4:$G$188,'國外委外明細'!$F$4:$F$188,G56,'國外委外明細'!$A$4:$A$188,$B$4)</x:f>
        <x:v>0</x:v>
      </x:c>
      <x:c r="I56" s="40" t="n">
        <x:f>SUMIFS('國外委外明細'!$H$4:$H$188,'國外委外明細'!$F$4:$F$188,G56,'國外委外明細'!$A$4:$A$188,$B$4)</x:f>
        <x:v>0</x:v>
      </x:c>
      <x:c r="J56" s="43" t="n">
        <x:f>IFERROR(I56/SUM($I$9:$I$58),0)</x:f>
        <x:v>0</x:v>
      </x:c>
      <x:c r="K56" s="31" t="n">
        <x:f>RANK(I56,$I$9:$I$58,0)</x:f>
        <x:v>46</x:v>
      </x:c>
      <x:c r="L56" s="32" t="n">
        <x:f>COUNTIFS('國外委外明細'!$F$4:$F$188,G56,'國外委外明細'!$A$4:$A$188,$B$4,'國外委外明細'!$J$4:$J$188,"&lt;&gt;解約")</x:f>
        <x:v>0</x:v>
      </x:c>
    </x:row>
    <x:row r="57">
      <x:c r="G57" s="30" t="str">
        <x:v>野村</x:v>
      </x:c>
      <x:c r="H57" s="40" t="n">
        <x:f>SUMIFS('國外委外明細'!$G$4:$G$188,'國外委外明細'!$F$4:$F$188,G57,'國外委外明細'!$A$4:$A$188,$B$4)</x:f>
        <x:v>0</x:v>
      </x:c>
      <x:c r="I57" s="40" t="n">
        <x:f>SUMIFS('國外委外明細'!$H$4:$H$188,'國外委外明細'!$F$4:$F$188,G57,'國外委外明細'!$A$4:$A$188,$B$4)</x:f>
        <x:v>0</x:v>
      </x:c>
      <x:c r="J57" s="43" t="n">
        <x:f>IFERROR(I57/SUM($I$9:$I$58),0)</x:f>
        <x:v>0</x:v>
      </x:c>
      <x:c r="K57" s="31" t="n">
        <x:f>RANK(I57,$I$9:$I$58,0)</x:f>
        <x:v>46</x:v>
      </x:c>
      <x:c r="L57" s="32" t="n">
        <x:f>COUNTIFS('國外委外明細'!$F$4:$F$188,G57,'國外委外明細'!$A$4:$A$188,$B$4,'國外委外明細'!$J$4:$J$188,"&lt;&gt;解約")</x:f>
        <x:v>0</x:v>
      </x:c>
    </x:row>
    <x:row r="58">
      <x:c r="G58" s="33" t="str">
        <x:v>國泰</x:v>
      </x:c>
      <x:c r="H58" s="41" t="n">
        <x:f>SUMIFS('國外委外明細'!$G$4:$G$188,'國外委外明細'!$F$4:$F$188,G58,'國外委外明細'!$A$4:$A$188,$B$4)</x:f>
        <x:v>0</x:v>
      </x:c>
      <x:c r="I58" s="41" t="n">
        <x:f>SUMIFS('國外委外明細'!$H$4:$H$188,'國外委外明細'!$F$4:$F$188,G58,'國外委外明細'!$A$4:$A$188,$B$4)</x:f>
        <x:v>0</x:v>
      </x:c>
      <x:c r="J58" s="44" t="n">
        <x:f>IFERROR(I58/SUM($I$9:$I$58),0)</x:f>
        <x:v>0</x:v>
      </x:c>
      <x:c r="K58" s="34" t="n">
        <x:f>RANK(I58,$I$9:$I$58,0)</x:f>
        <x:v>46</x:v>
      </x:c>
      <x:c r="L58" s="35" t="n">
        <x:f>COUNTIFS('國外委外明細'!$F$4:$F$188,G58,'國外委外明細'!$A$4:$A$188,$B$4,'國外委外明細'!$J$4:$J$188,"&lt;&gt;解約")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1ecc9d40823948cb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