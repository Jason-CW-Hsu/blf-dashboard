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50afdf7f2845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c3760eb465814bee"/>
    <x:sheet xmlns:r="http://schemas.openxmlformats.org/officeDocument/2006/relationships" name="儀表板(美元)" sheetId="2" r:id="R4ab0f97ddfb54e1c"/>
    <x:sheet xmlns:r="http://schemas.openxmlformats.org/officeDocument/2006/relationships" name="月度資產配置" sheetId="3" r:id="R0bb90f0bbce44153"/>
    <x:sheet xmlns:r="http://schemas.openxmlformats.org/officeDocument/2006/relationships" name="國內委外明細" sheetId="4" r:id="R708dcdbd86a54718"/>
    <x:sheet xmlns:r="http://schemas.openxmlformats.org/officeDocument/2006/relationships" name="國外委外明細" sheetId="5" r:id="R57e4dc2ca3164fbe"/>
    <x:sheet xmlns:r="http://schemas.openxmlformats.org/officeDocument/2006/relationships" name="批次彙總" sheetId="6" r:id="R1d7c0b45cf3649bb"/>
    <x:sheet xmlns:r="http://schemas.openxmlformats.org/officeDocument/2006/relationships" name="業者彙總" sheetId="7" r:id="R9c8e0791b2c040fb"/>
    <x:sheet xmlns:r="http://schemas.openxmlformats.org/officeDocument/2006/relationships" name="更新說明" sheetId="8" r:id="Rd5911ddbf4ca4ed5"/>
    <x:sheet xmlns:r="http://schemas.openxmlformats.org/officeDocument/2006/relationships" name="資料品質檢核" sheetId="9" r:id="Rb9d5cf87635c44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3" fillId="0" borderId="14" xfId="0" applyNumberFormat="1" applyFont="1" applyFill="1" applyBorder="1" applyAlignment="1">
      <x:alignment vertical="center"/>
    </x:xf>
    <x:xf numFmtId="206" fontId="3" fillId="0" borderId="14" xfId="0" applyNumberFormat="1" applyFont="1" applyFill="1" applyBorder="1" applyAlignment="1">
      <x:alignment vertical="center"/>
    </x:xf>
    <x:xf numFmtId="207" fontId="0" fillId="0" borderId="1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8aa13fc8ed423b" /><Relationship Type="http://schemas.openxmlformats.org/officeDocument/2006/relationships/theme" Target="/xl/theme/theme1.xml" Id="R2ae181a2be334536" /><Relationship Type="http://schemas.openxmlformats.org/officeDocument/2006/relationships/sharedStrings" Target="/xl/sharedStrings.xml" Id="Rfef9fe1106d04e99" /><Relationship Type="http://schemas.openxmlformats.org/officeDocument/2006/relationships/worksheet" Target="/xl/worksheets/sheet1.xml" Id="Rc3760eb465814bee" /><Relationship Type="http://schemas.openxmlformats.org/officeDocument/2006/relationships/worksheet" Target="/xl/worksheets/sheet2.xml" Id="R4ab0f97ddfb54e1c" /><Relationship Type="http://schemas.openxmlformats.org/officeDocument/2006/relationships/worksheet" Target="/xl/worksheets/sheet3.xml" Id="R0bb90f0bbce44153" /><Relationship Type="http://schemas.openxmlformats.org/officeDocument/2006/relationships/worksheet" Target="/xl/worksheets/sheet4.xml" Id="R708dcdbd86a54718" /><Relationship Type="http://schemas.openxmlformats.org/officeDocument/2006/relationships/worksheet" Target="/xl/worksheets/sheet5.xml" Id="R57e4dc2ca3164fbe" /><Relationship Type="http://schemas.openxmlformats.org/officeDocument/2006/relationships/worksheet" Target="/xl/worksheets/sheet6.xml" Id="R1d7c0b45cf3649bb" /><Relationship Type="http://schemas.openxmlformats.org/officeDocument/2006/relationships/worksheet" Target="/xl/worksheets/sheet7.xml" Id="R9c8e0791b2c040fb" /><Relationship Type="http://schemas.openxmlformats.org/officeDocument/2006/relationships/worksheet" Target="/xl/worksheets/sheet8.xml" Id="Rd5911ddbf4ca4ed5" /><Relationship Type="http://schemas.openxmlformats.org/officeDocument/2006/relationships/worksheet" Target="/xl/worksheets/sheet9.xml" Id="Rb9d5cf87635c44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7dcf749fba405c" /><Relationship Type="http://schemas.openxmlformats.org/officeDocument/2006/relationships/chart" Target="/xl/drawings/charts/chart2.xml" Id="Rab8034949bd046ef" /><Relationship Type="http://schemas.openxmlformats.org/officeDocument/2006/relationships/chart" Target="/xl/drawings/charts/chart3.xml" Id="Rf0a26b5521554d0d" /><Relationship Type="http://schemas.openxmlformats.org/officeDocument/2006/relationships/chart" Target="/xl/drawings/charts/chart4.xml" Id="Rf36f868abd104642" /><Relationship Type="http://schemas.openxmlformats.org/officeDocument/2006/relationships/chart" Target="/xl/drawings/charts/chart5.xml" Id="Racd7148820ba4ef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5f910c967b174b24" /><Relationship Type="http://schemas.openxmlformats.org/officeDocument/2006/relationships/chart" Target="/xl/drawings/charts/chart7.xml" Id="R8a9d62993d544b45" /><Relationship Type="http://schemas.openxmlformats.org/officeDocument/2006/relationships/chart" Target="/xl/drawings/charts/chart8.xml" Id="R78c6fa0081954898" /><Relationship Type="http://schemas.openxmlformats.org/officeDocument/2006/relationships/chart" Target="/xl/drawings/charts/chart9.xml" Id="R45afe5d18266442d" /><Relationship Type="http://schemas.openxmlformats.org/officeDocument/2006/relationships/chart" Target="/xl/drawings/charts/chart10.xml" Id="R753f5b4564184411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805b8c4a01bc4c6e" /><Relationship Type="http://schemas.openxmlformats.org/officeDocument/2006/relationships/chart" Target="/xl/drawings/charts/chart12.xml" Id="Rd80b3a2fa2ff4fbe" /><Relationship Type="http://schemas.openxmlformats.org/officeDocument/2006/relationships/chart" Target="/xl/drawings/charts/chart13.xml" Id="R488c5ef50a8549ab" /><Relationship Type="http://schemas.openxmlformats.org/officeDocument/2006/relationships/chart" Target="/xl/drawings/charts/chart14.xml" Id="Rf29366bcee104e5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'儀表板'!$V$12:$V$17</c:f>
              <c:strCache>
                <c:ptCount val="0"/>
              </c:strCache>
            </c:strRef>
          </c:cat>
          <c:val>
            <c:numRef>
              <c:f>'儀表板'!$W$12:$W$17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'儀表板'!$X$12:$X$17</c:f>
              <c:strCache>
                <c:ptCount val="0"/>
              </c:strCache>
            </c:strRef>
          </c:cat>
          <c:val>
            <c:numRef>
              <c:f>'儀表板'!$Y$12:$Y$17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'儀表板'!$Z$12:$Z$17</c:f>
              <c:strCache>
                <c:ptCount val="0"/>
              </c:strCache>
            </c:strRef>
          </c:cat>
          <c:val>
            <c:numRef>
              <c:f>'儀表板'!$AA$12:$AA$17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'儀表板'!$AB$12:$AB$17</c:f>
              <c:strCache>
                <c:ptCount val="0"/>
              </c:strCache>
            </c:strRef>
          </c:cat>
          <c:val>
            <c:numRef>
              <c:f>'儀表板'!$AC$12:$AC$17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'儀表板'!$AD$12:$AD$17</c:f>
              <c:strCache>
                <c:ptCount val="0"/>
              </c:strCache>
            </c:strRef>
          </c:cat>
          <c:val>
            <c:numRef>
              <c:f>'儀表板'!$AE$12:$AE$17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'儀表板(美元)'!$V$12:$V$17</c:f>
              <c:strCache>
                <c:ptCount val="0"/>
              </c:strCache>
            </c:strRef>
          </c:cat>
          <c:val>
            <c:numRef>
              <c:f>'儀表板(美元)'!$W$12:$W$17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'儀表板(美元)'!$X$12:$X$17</c:f>
              <c:strCache>
                <c:ptCount val="0"/>
              </c:strCache>
            </c:strRef>
          </c:cat>
          <c:val>
            <c:numRef>
              <c:f>'儀表板(美元)'!$Y$12:$Y$17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'儀表板(美元)'!$Z$12:$Z$17</c:f>
              <c:strCache>
                <c:ptCount val="0"/>
              </c:strCache>
            </c:strRef>
          </c:cat>
          <c:val>
            <c:numRef>
              <c:f>'儀表板(美元)'!$AA$12:$AA$17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'儀表板(美元)'!$AB$12:$AB$17</c:f>
              <c:strCache>
                <c:ptCount val="0"/>
              </c:strCache>
            </c:strRef>
          </c:cat>
          <c:val>
            <c:numRef>
              <c:f>'儀表板(美元)'!$AC$12:$AC$17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'儀表板(美元)'!$AD$12:$AD$17</c:f>
              <c:strCache>
                <c:ptCount val="0"/>
              </c:strCache>
            </c:strRef>
          </c:cat>
          <c:val>
            <c:numRef>
              <c:f>'儀表板(美元)'!$AE$12:$AE$17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國內委外｜前十名委託金額（業者名稱後附市占率）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國外委外｜前十名委託金額（業者名稱後附市占率）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7dcf749fba405c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8034949bd046ef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a26b5521554d0d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6f868abd104642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d7148820ba4ef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910c967b174b24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9d62993d544b45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c6fa0081954898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afe5d18266442d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3f5b45641844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5b8c4a01bc4c6e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0b3a2fa2ff4fbe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8c5ef50a8549ab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9366bcee104e5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L112" headerRowCount="1" totalsRowCount="0" totalsRowShown="0">
  <x:tableColumns count="12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任至今投資報酬率"/>
    <x:tableColumn id="10" name="委任至今目標／指標報酬率"/>
    <x:tableColumn id="11" name="單位"/>
    <x:tableColumn id="12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L162" headerRowCount="1" totalsRowCount="0" totalsRowShown="0">
  <x:tableColumns count="12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任至今投資報酬率"/>
    <x:tableColumn id="10" name="委任至今目標／指標報酬率"/>
    <x:tableColumn id="11" name="單位"/>
    <x:tableColumn id="12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94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F4B183"/>
      </a:accent4>
      <a:accent5>
        <a:srgbClr val="ED7D31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45987c6d2e545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bb210442aee34db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0d9d42b366849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b058e572abc475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8486db39e2d409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487a1330080420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1a1b1e73e90b45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0.19999234879232383</x:v>
      </x:c>
      <x:c r="X12" t="str">
        <x:f>A12</x:f>
        <x:v>自行運用-固定收益</x:v>
      </x:c>
      <x:c r="Y12" s="50" t="n">
        <x:f>C12/SUM($C$12:$C$17)</x:f>
        <x:v>0.05661921380638585</x:v>
      </x:c>
      <x:c r="Z12" t="str">
        <x:f>A12</x:f>
        <x:v>自行運用-固定收益</x:v>
      </x:c>
      <x:c r="AA12" s="50" t="n">
        <x:f>D12/SUM($D$12:$D$17)</x:f>
        <x:v>0.25098835222782245</x:v>
      </x:c>
      <x:c r="AB12" t="str">
        <x:f>A12</x:f>
        <x:v>自行運用-固定收益</x:v>
      </x:c>
      <x:c r="AC12" s="50" t="n">
        <x:f>E12/SUM($E$12:$E$17)</x:f>
        <x:v>0.2498448613207127</x:v>
      </x:c>
      <x:c r="AD12" t="str">
        <x:f>A12</x:f>
        <x:v>自行運用-固定收益</x:v>
      </x:c>
      <x:c r="AE12" s="50" t="n">
        <x:f>F12/SUM($F$12:$F$17)</x:f>
        <x:v>0.1971582446671908</x:v>
      </x:c>
    </x:row>
    <x:row r="13">
      <x:c r="A13" s="30" t="str">
        <x:v>自行運用-權益證券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f>A13</x:f>
        <x:v>自行運用-權益證券</x:v>
      </x:c>
      <x:c r="W13" s="50" t="n">
        <x:f>B13/SUM($B$12:$B$17)</x:f>
        <x:v>0.02330282562857445</x:v>
      </x:c>
      <x:c r="X13" t="str">
        <x:f>A13</x:f>
        <x:v>自行運用-權益證券</x:v>
      </x:c>
      <x:c r="Y13" s="50" t="n">
        <x:f>C13/SUM($C$12:$C$17)</x:f>
        <x:v>0.04185506501317831</x:v>
      </x:c>
      <x:c r="Z13" t="str">
        <x:f>A13</x:f>
        <x:v>自行運用-權益證券</x:v>
      </x:c>
      <x:c r="AA13" s="50" t="n">
        <x:f>D13/SUM($D$12:$D$17)</x:f>
        <x:v>0.13176670338564375</x:v>
      </x:c>
      <x:c r="AB13" t="str">
        <x:f>A13</x:f>
        <x:v>自行運用-權益證券</x:v>
      </x:c>
      <x:c r="AC13" s="50" t="n">
        <x:f>E13/SUM($E$12:$E$17)</x:f>
        <x:v>0.13635849571087974</x:v>
      </x:c>
      <x:c r="AD13" t="str">
        <x:f>A13</x:f>
        <x:v>自行運用-權益證券</x:v>
      </x:c>
      <x:c r="AE13" s="50" t="n">
        <x:f>F13/SUM($F$12:$F$17)</x:f>
        <x:v>0.049827366909616394</x:v>
      </x:c>
    </x:row>
    <x:row r="14">
      <x:c r="A14" s="30" t="str">
        <x:v>自行運用-另類投資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f>A14</x:f>
        <x:v>自行運用-另類投資</x:v>
      </x:c>
      <x:c r="W14" s="50" t="n">
        <x:f>B14/SUM($B$12:$B$17)</x:f>
        <x:v>0.012800829914253731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0.014606134748123332</x:v>
      </x:c>
      <x:c r="AB14" t="str">
        <x:f>A14</x:f>
        <x:v>自行運用-另類投資</x:v>
      </x:c>
      <x:c r="AC14" s="50" t="n">
        <x:f>E14/SUM($E$12:$E$17)</x:f>
        <x:v>0.05305296986126225</x:v>
      </x:c>
      <x:c r="AD14" t="str">
        <x:f>A14</x:f>
        <x:v>自行運用-另類投資</x:v>
      </x:c>
      <x:c r="AE14" s="50" t="n">
        <x:f>F14/SUM($F$12:$F$17)</x:f>
        <x:v>0.015074766694986391</x:v>
      </x:c>
    </x:row>
    <x:row r="15">
      <x:c r="A15" s="30" t="str">
        <x:v>委託經營-固定收益</x:v>
      </x:c>
      <x:c r="B15" s="65" t="n">
        <x:f>SUMIFS('月度資產配置'!$E$4:$E$263,'月度資產配置'!$A$4:$A$263,$A$6,'月度資產配置'!$C$4:$C$263,"新制",'月度資產配置'!$D$4:$D$263,$A15)/(100000000)</x:f>
        <x:v>5962.66506088</x:v>
      </x:c>
      <x:c r="C15" s="65" t="n">
        <x:f>SUMIFS('月度資產配置'!$E$4:$E$263,'月度資產配置'!$A$4:$A$263,$A$6,'月度資產配置'!$C$4:$C$263,"舊制",'月度資產配置'!$D$4:$D$263,$A15)/(100000000)</x:f>
        <x:v>1101.43623315</x:v>
      </x:c>
      <x:c r="D15" s="65" t="n">
        <x:f>SUMIFS('月度資產配置'!$E$4:$E$263,'月度資產配置'!$A$4:$A$263,$A$6,'月度資產配置'!$C$4:$C$263,"勞工保險",'月度資產配置'!$D$4:$D$263,$A15)/(100000000)</x:f>
        <x:v>948.09693597</x:v>
      </x:c>
      <x:c r="E15" s="65" t="n">
        <x:f>SUMIFS('月度資產配置'!$E$4:$E$263,'月度資產配置'!$A$4:$A$263,$A$6,'月度資產配置'!$C$4:$C$263,"國民年金",'月度資產配置'!$D$4:$D$263,$A15)/(100000000)</x:f>
        <x:v>431.71984301</x:v>
      </x:c>
      <x:c r="F15" s="66" t="n">
        <x:f>SUM(B15:E15)</x:f>
        <x:v>8443.91807301</x:v>
      </x:c>
      <x:c r="V15" t="str">
        <x:f>A15</x:f>
        <x:v>委託經營-固定收益</x:v>
      </x:c>
      <x:c r="W15" s="50" t="n">
        <x:f>B15/SUM($B$12:$B$17)</x:f>
        <x:v>0.1653581800743276</x:v>
      </x:c>
      <x:c r="X15" t="str">
        <x:f>A15</x:f>
        <x:v>委託經營-固定收益</x:v>
      </x:c>
      <x:c r="Y15" s="50" t="n">
        <x:f>C15/SUM($C$12:$C$17)</x:f>
        <x:v>0.20916848092807125</x:v>
      </x:c>
      <x:c r="Z15" t="str">
        <x:f>A15</x:f>
        <x:v>委託經營-固定收益</x:v>
      </x:c>
      <x:c r="AA15" s="50" t="n">
        <x:f>D15/SUM($D$12:$D$17)</x:f>
        <x:v>0.1247713146374334</x:v>
      </x:c>
      <x:c r="AB15" t="str">
        <x:f>A15</x:f>
        <x:v>委託經營-固定收益</x:v>
      </x:c>
      <x:c r="AC15" s="50" t="n">
        <x:f>E15/SUM($E$12:$E$17)</x:f>
        <x:v>0.09940698283048917</x:v>
      </x:c>
      <x:c r="AD15" t="str">
        <x:f>A15</x:f>
        <x:v>委託經營-固定收益</x:v>
      </x:c>
      <x:c r="AE15" s="50" t="n">
        <x:f>F15/SUM($F$12:$F$17)</x:f>
        <x:v>0.1585221050278794</x:v>
      </x:c>
    </x:row>
    <x:row r="16">
      <x:c r="A16" s="30" t="str">
        <x:v>委託經營-權益證券</x:v>
      </x:c>
      <x:c r="B16" s="65" t="n">
        <x:f>SUMIFS('月度資產配置'!$E$4:$E$263,'月度資產配置'!$A$4:$A$263,$A$6,'月度資產配置'!$C$4:$C$263,"新制",'月度資產配置'!$D$4:$D$263,$A16)/(100000000)</x:f>
        <x:v>15744.26402328</x:v>
      </x:c>
      <x:c r="C16" s="65" t="n">
        <x:f>SUMIFS('月度資產配置'!$E$4:$E$263,'月度資產配置'!$A$4:$A$263,$A$6,'月度資產配置'!$C$4:$C$263,"舊制",'月度資產配置'!$D$4:$D$263,$A16)/(100000000)</x:f>
        <x:v>2438.69586211</x:v>
      </x:c>
      <x:c r="D16" s="65" t="n">
        <x:f>SUMIFS('月度資產配置'!$E$4:$E$263,'月度資產配置'!$A$4:$A$263,$A$6,'月度資產配置'!$C$4:$C$263,"勞工保險",'月度資產配置'!$D$4:$D$263,$A16)/(100000000)</x:f>
        <x:v>2249.86107597</x:v>
      </x:c>
      <x:c r="E16" s="65" t="n">
        <x:f>SUMIFS('月度資產配置'!$E$4:$E$263,'月度資產配置'!$A$4:$A$263,$A$6,'月度資產配置'!$C$4:$C$263,"國民年金",'月度資產配置'!$D$4:$D$263,$A16)/(100000000)</x:f>
        <x:v>1700.76314183</x:v>
      </x:c>
      <x:c r="F16" s="66" t="n">
        <x:f>SUM(B16:E16)</x:f>
        <x:v>22133.584103189998</x:v>
      </x:c>
      <x:c r="V16" t="str">
        <x:f>A16</x:f>
        <x:v>委託經營-權益證券</x:v>
      </x:c>
      <x:c r="W16" s="50" t="n">
        <x:f>B16/SUM($B$12:$B$17)</x:f>
        <x:v>0.4366240295098955</x:v>
      </x:c>
      <x:c r="X16" t="str">
        <x:f>A16</x:f>
        <x:v>委託經營-權益證券</x:v>
      </x:c>
      <x:c r="Y16" s="50" t="n">
        <x:f>C16/SUM($C$12:$C$17)</x:f>
        <x:v>0.46312105373934404</x:v>
      </x:c>
      <x:c r="Z16" t="str">
        <x:f>A16</x:f>
        <x:v>委託經營-權益證券</x:v>
      </x:c>
      <x:c r="AA16" s="50" t="n">
        <x:f>D16/SUM($D$12:$D$17)</x:f>
        <x:v>0.2960858890585529</x:v>
      </x:c>
      <x:c r="AB16" t="str">
        <x:f>A16</x:f>
        <x:v>委託經營-權益證券</x:v>
      </x:c>
      <x:c r="AC16" s="50" t="n">
        <x:f>E16/SUM($E$12:$E$17)</x:f>
        <x:v>0.3916144582557617</x:v>
      </x:c>
      <x:c r="AD16" t="str">
        <x:f>A16</x:f>
        <x:v>委託經營-權益證券</x:v>
      </x:c>
      <x:c r="AE16" s="50" t="n">
        <x:f>F16/SUM($F$12:$F$17)</x:f>
        <x:v>0.4155253892223702</x:v>
      </x:c>
    </x:row>
    <x:row r="17">
      <x:c r="A17" s="33" t="str">
        <x:v>委託經營-另類投資</x:v>
      </x:c>
      <x:c r="B17" s="67" t="n">
        <x:f>SUMIFS('月度資產配置'!$E$4:$E$263,'月度資產配置'!$A$4:$A$263,$A$6,'月度資產配置'!$C$4:$C$263,"新制",'月度資產配置'!$D$4:$D$263,$A17)/(100000000)</x:f>
        <x:v>5838.75182966</x:v>
      </x:c>
      <x:c r="C17" s="67" t="n">
        <x:f>SUMIFS('月度資產配置'!$E$4:$E$263,'月度資產配置'!$A$4:$A$263,$A$6,'月度資產配置'!$C$4:$C$263,"舊制",'月度資產配置'!$D$4:$D$263,$A17)/(100000000)</x:f>
        <x:v>1207.10845465</x:v>
      </x:c>
      <x:c r="D17" s="67" t="n">
        <x:f>SUMIFS('月度資產配置'!$E$4:$E$263,'月度資產配置'!$A$4:$A$263,$A$6,'月度資產配置'!$C$4:$C$263,"勞工保險",'月度資產配置'!$D$4:$D$263,$A17)/(100000000)</x:f>
        <x:v>1381.29973312</x:v>
      </x:c>
      <x:c r="E17" s="67" t="n">
        <x:f>SUMIFS('月度資產配置'!$E$4:$E$263,'月度資產配置'!$A$4:$A$263,$A$6,'月度資產配置'!$C$4:$C$263,"國民年金",'月度資產配置'!$D$4:$D$263,$A17)/(100000000)</x:f>
        <x:v>302.8003688</x:v>
      </x:c>
      <x:c r="F17" s="68" t="n">
        <x:f>SUM(B17:E17)</x:f>
        <x:v>8729.960386230001</x:v>
      </x:c>
      <x:c r="V17" t="str">
        <x:f>A17</x:f>
        <x:v>委託經營-另類投資</x:v>
      </x:c>
      <x:c r="W17" s="50" t="n">
        <x:f>B17/SUM($B$12:$B$17)</x:f>
        <x:v>0.16192178608062496</x:v>
      </x:c>
      <x:c r="X17" t="str">
        <x:f>A17</x:f>
        <x:v>委託經營-另類投資</x:v>
      </x:c>
      <x:c r="Y17" s="50" t="n">
        <x:f>C17/SUM($C$12:$C$17)</x:f>
        <x:v>0.2292361865130205</x:v>
      </x:c>
      <x:c r="Z17" t="str">
        <x:f>A17</x:f>
        <x:v>委託經營-另類投資</x:v>
      </x:c>
      <x:c r="AA17" s="50" t="n">
        <x:f>D17/SUM($D$12:$D$17)</x:f>
        <x:v>0.18178160594242418</x:v>
      </x:c>
      <x:c r="AB17" t="str">
        <x:f>A17</x:f>
        <x:v>委託經營-另類投資</x:v>
      </x:c>
      <x:c r="AC17" s="50" t="n">
        <x:f>E17/SUM($E$12:$E$17)</x:f>
        <x:v>0.06972223202089455</x:v>
      </x:c>
      <x:c r="AD17" t="str">
        <x:f>A17</x:f>
        <x:v>委託經營-另類投資</x:v>
      </x:c>
      <x:c r="AE17" s="50" t="n">
        <x:f>F17/SUM($F$12:$F$17)</x:f>
        <x:v>0.16389212747795687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045987c6d2e545a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0.1999923487923238</x:v>
      </x:c>
      <x:c r="X12" t="str">
        <x:f>A12</x:f>
        <x:v>自行運用-固定收益</x:v>
      </x:c>
      <x:c r="Y12" s="50" t="n">
        <x:f>C12/SUM($C$12:$C$17)</x:f>
        <x:v>0.05661921380638584</x:v>
      </x:c>
      <x:c r="Z12" t="str">
        <x:f>A12</x:f>
        <x:v>自行運用-固定收益</x:v>
      </x:c>
      <x:c r="AA12" s="50" t="n">
        <x:f>D12/SUM($D$12:$D$17)</x:f>
        <x:v>0.2509883522278225</x:v>
      </x:c>
      <x:c r="AB12" t="str">
        <x:f>A12</x:f>
        <x:v>自行運用-固定收益</x:v>
      </x:c>
      <x:c r="AC12" s="50" t="n">
        <x:f>E12/SUM($E$12:$E$17)</x:f>
        <x:v>0.24984486132071268</x:v>
      </x:c>
      <x:c r="AD12" t="str">
        <x:f>A12</x:f>
        <x:v>自行運用-固定收益</x:v>
      </x:c>
      <x:c r="AE12" s="50" t="n">
        <x:f>F12/SUM($F$12:$F$17)</x:f>
        <x:v>0.19715824466719079</x:v>
      </x:c>
    </x:row>
    <x:row r="13">
      <x:c r="A13" s="30" t="str">
        <x:v>自行運用-權益證券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f>A13</x:f>
        <x:v>自行運用-權益證券</x:v>
      </x:c>
      <x:c r="W13" s="50" t="n">
        <x:f>B13/SUM($B$12:$B$17)</x:f>
        <x:v>0.023302825628574445</x:v>
      </x:c>
      <x:c r="X13" t="str">
        <x:f>A13</x:f>
        <x:v>自行運用-權益證券</x:v>
      </x:c>
      <x:c r="Y13" s="50" t="n">
        <x:f>C13/SUM($C$12:$C$17)</x:f>
        <x:v>0.0418550650131783</x:v>
      </x:c>
      <x:c r="Z13" t="str">
        <x:f>A13</x:f>
        <x:v>自行運用-權益證券</x:v>
      </x:c>
      <x:c r="AA13" s="50" t="n">
        <x:f>D13/SUM($D$12:$D$17)</x:f>
        <x:v>0.13176670338564375</x:v>
      </x:c>
      <x:c r="AB13" t="str">
        <x:f>A13</x:f>
        <x:v>自行運用-權益證券</x:v>
      </x:c>
      <x:c r="AC13" s="50" t="n">
        <x:f>E13/SUM($E$12:$E$17)</x:f>
        <x:v>0.13635849571087974</x:v>
      </x:c>
      <x:c r="AD13" t="str">
        <x:f>A13</x:f>
        <x:v>自行運用-權益證券</x:v>
      </x:c>
      <x:c r="AE13" s="50" t="n">
        <x:f>F13/SUM($F$12:$F$17)</x:f>
        <x:v>0.04982736690961639</x:v>
      </x:c>
    </x:row>
    <x:row r="14">
      <x:c r="A14" s="30" t="str">
        <x:v>自行運用-另類投資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f>A14</x:f>
        <x:v>自行運用-另類投資</x:v>
      </x:c>
      <x:c r="W14" s="50" t="n">
        <x:f>B14/SUM($B$12:$B$17)</x:f>
        <x:v>0.012800829914253728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0.01460613474812333</x:v>
      </x:c>
      <x:c r="AB14" t="str">
        <x:f>A14</x:f>
        <x:v>自行運用-另類投資</x:v>
      </x:c>
      <x:c r="AC14" s="50" t="n">
        <x:f>E14/SUM($E$12:$E$17)</x:f>
        <x:v>0.05305296986126224</x:v>
      </x:c>
      <x:c r="AD14" t="str">
        <x:f>A14</x:f>
        <x:v>自行運用-另類投資</x:v>
      </x:c>
      <x:c r="AE14" s="50" t="n">
        <x:f>F14/SUM($F$12:$F$17)</x:f>
        <x:v>0.01507476669498639</x:v>
      </x:c>
    </x:row>
    <x:row r="15">
      <x:c r="A15" s="30" t="str">
        <x:v>委託經營-固定收益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18.665409487807167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3.447914331350759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2.9679040099233056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1.3514473094694006</x:v>
      </x:c>
      <x:c r="F15" s="75" t="n">
        <x:f>SUM(B15:E15)</x:f>
        <x:v>26.432675138550632</x:v>
      </x:c>
      <x:c r="V15" t="str">
        <x:f>A15</x:f>
        <x:v>委託經營-固定收益</x:v>
      </x:c>
      <x:c r="W15" s="50" t="n">
        <x:f>B15/SUM($B$12:$B$17)</x:f>
        <x:v>0.16535818007432757</x:v>
      </x:c>
      <x:c r="X15" t="str">
        <x:f>A15</x:f>
        <x:v>委託經營-固定收益</x:v>
      </x:c>
      <x:c r="Y15" s="50" t="n">
        <x:f>C15/SUM($C$12:$C$17)</x:f>
        <x:v>0.20916848092807125</x:v>
      </x:c>
      <x:c r="Z15" t="str">
        <x:f>A15</x:f>
        <x:v>委託經營-固定收益</x:v>
      </x:c>
      <x:c r="AA15" s="50" t="n">
        <x:f>D15/SUM($D$12:$D$17)</x:f>
        <x:v>0.1247713146374334</x:v>
      </x:c>
      <x:c r="AB15" t="str">
        <x:f>A15</x:f>
        <x:v>委託經營-固定收益</x:v>
      </x:c>
      <x:c r="AC15" s="50" t="n">
        <x:f>E15/SUM($E$12:$E$17)</x:f>
        <x:v>0.09940698283048915</x:v>
      </x:c>
      <x:c r="AD15" t="str">
        <x:f>A15</x:f>
        <x:v>委託經營-固定收益</x:v>
      </x:c>
      <x:c r="AE15" s="50" t="n">
        <x:f>F15/SUM($F$12:$F$17)</x:f>
        <x:v>0.15852210502787936</x:v>
      </x:c>
    </x:row>
    <x:row r="16">
      <x:c r="A16" s="30" t="str">
        <x:v>委託經營-權益證券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49.285534585318516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7.6340455849428706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7.042920882673345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5.324035504241666</x:v>
      </x:c>
      <x:c r="F16" s="75" t="n">
        <x:f>SUM(B16:E16)</x:f>
        <x:v>69.28653655717639</x:v>
      </x:c>
      <x:c r="V16" t="str">
        <x:f>A16</x:f>
        <x:v>委託經營-權益證券</x:v>
      </x:c>
      <x:c r="W16" s="50" t="n">
        <x:f>B16/SUM($B$12:$B$17)</x:f>
        <x:v>0.43662402950989543</x:v>
      </x:c>
      <x:c r="X16" t="str">
        <x:f>A16</x:f>
        <x:v>委託經營-權益證券</x:v>
      </x:c>
      <x:c r="Y16" s="50" t="n">
        <x:f>C16/SUM($C$12:$C$17)</x:f>
        <x:v>0.46312105373934404</x:v>
      </x:c>
      <x:c r="Z16" t="str">
        <x:f>A16</x:f>
        <x:v>委託經營-權益證券</x:v>
      </x:c>
      <x:c r="AA16" s="50" t="n">
        <x:f>D16/SUM($D$12:$D$17)</x:f>
        <x:v>0.2960858890585529</x:v>
      </x:c>
      <x:c r="AB16" t="str">
        <x:f>A16</x:f>
        <x:v>委託經營-權益證券</x:v>
      </x:c>
      <x:c r="AC16" s="50" t="n">
        <x:f>E16/SUM($E$12:$E$17)</x:f>
        <x:v>0.39161445825576163</x:v>
      </x:c>
      <x:c r="AD16" t="str">
        <x:f>A16</x:f>
        <x:v>委託經營-權益證券</x:v>
      </x:c>
      <x:c r="AE16" s="50" t="n">
        <x:f>F16/SUM($F$12:$F$17)</x:f>
        <x:v>0.4155253892223702</x:v>
      </x:c>
    </x:row>
    <x:row r="17">
      <x:c r="A17" s="33" t="str">
        <x:v>委託經營-另類投資</x:v>
      </x:c>
      <x:c r="B17" s="76" t="n">
        <x:f>SUMIFS('月度資產配置'!$E$4:$E$263,'月度資產配置'!$A$4:$A$263,$A$6,'月度資產配置'!$C$4:$C$263,"新制",'月度資產配置'!$D$4:$D$263,$A17)/(1000000000*'儀表板(美元)'!$C$21)</x:f>
        <x:v>18.27751394478009</x:v>
      </x:c>
      <x:c r="C17" s="76" t="n">
        <x:f>SUMIFS('月度資產配置'!$E$4:$E$263,'月度資產配置'!$A$4:$A$263,$A$6,'月度資產配置'!$C$4:$C$263,"舊制",'月度資產配置'!$D$4:$D$263,$A17)/(1000000000*'儀表板(美元)'!$C$21)</x:f>
        <x:v>3.778708576146502</x:v>
      </x:c>
      <x:c r="D17" s="76" t="n">
        <x:f>SUMIFS('月度資產配置'!$E$4:$E$263,'月度資產配置'!$A$4:$A$263,$A$6,'月度資產配置'!$C$4:$C$263,"勞工保險",'月度資產配置'!$D$4:$D$263,$A17)/(1000000000*'儀表板(美元)'!$C$21)</x:f>
        <x:v>4.3239935298794805</x:v>
      </x:c>
      <x:c r="E17" s="76" t="n">
        <x:f>SUMIFS('月度資產配置'!$E$4:$E$263,'月度資產配置'!$A$4:$A$263,$A$6,'月度資產配置'!$C$4:$C$263,"國民年金",'月度資產配置'!$D$4:$D$263,$A17)/(1000000000*'儀表板(美元)'!$C$21)</x:f>
        <x:v>0.9478803218030991</x:v>
      </x:c>
      <x:c r="F17" s="77" t="n">
        <x:f>SUM(B17:E17)</x:f>
        <x:v>27.32809637260917</x:v>
      </x:c>
      <x:c r="V17" t="str">
        <x:f>A17</x:f>
        <x:v>委託經營-另類投資</x:v>
      </x:c>
      <x:c r="W17" s="50" t="n">
        <x:f>B17/SUM($B$12:$B$17)</x:f>
        <x:v>0.16192178608062494</x:v>
      </x:c>
      <x:c r="X17" t="str">
        <x:f>A17</x:f>
        <x:v>委託經營-另類投資</x:v>
      </x:c>
      <x:c r="Y17" s="50" t="n">
        <x:f>C17/SUM($C$12:$C$17)</x:f>
        <x:v>0.22923618651302047</x:v>
      </x:c>
      <x:c r="Z17" t="str">
        <x:f>A17</x:f>
        <x:v>委託經營-另類投資</x:v>
      </x:c>
      <x:c r="AA17" s="50" t="n">
        <x:f>D17/SUM($D$12:$D$17)</x:f>
        <x:v>0.18178160594242418</x:v>
      </x:c>
      <x:c r="AB17" t="str">
        <x:f>A17</x:f>
        <x:v>委託經營-另類投資</x:v>
      </x:c>
      <x:c r="AC17" s="50" t="n">
        <x:f>E17/SUM($E$12:$E$17)</x:f>
        <x:v>0.06972223202089453</x:v>
      </x:c>
      <x:c r="AD17" t="str">
        <x:f>A17</x:f>
        <x:v>委託經營-另類投資</x:v>
      </x:c>
      <x:c r="AE17" s="50" t="n">
        <x:f>F17/SUM($F$12:$F$17)</x:f>
        <x:v>0.1638921274779568</x:v>
      </x:c>
    </x:row>
    <x:row r="20">
      <x:c r="A20" s="5" t="str">
        <x:v>美元換算匯率｜公開報價</x:v>
      </x:c>
      <x:c r="B20" s="5"/>
      <x:c r="C20" s="5"/>
      <x:c r="D20" s="5"/>
      <x:c r="E20" s="5"/>
      <x:c r="F20" s="5"/>
    </x:row>
    <x:row r="21">
      <x:c r="A21" s="57" t="str">
        <x:v>幣別</x:v>
      </x:c>
      <x:c r="B21" s="58" t="str">
        <x:v>匯率類型</x:v>
      </x:c>
      <x:c r="C21" s="81" t="n">
        <x:v>31.945</x:v>
      </x:c>
      <x:c r="D21" s="58" t="str">
        <x:v>報價時間</x:v>
      </x:c>
      <x:c r="E21" s="82" t="str">
        <x:v>2026-08-26 04:40</x:v>
      </x:c>
      <x:c r="F21" s="59" t="str">
        <x:v>TWD／USD</x:v>
      </x:c>
    </x:row>
    <x:row r="22">
      <x:c r="A22" s="79" t="str">
        <x:v>來源：https://rate.bot.com.tw/xrt?Lang=en-US（臺灣銀行公開即時匯率；可直接覆蓋 C21 更新換算）</x:v>
      </x:c>
      <x:c r="B22" s="79"/>
      <x:c r="C22" s="79"/>
      <x:c r="D22" s="79"/>
      <x:c r="E22" s="79"/>
      <x:c r="F22" s="79"/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bb210442aee34db9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國內委託經營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國內委託經營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國內委託經營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國內委託經營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國內委託經營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國內委託經營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國內委託經營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國內委託經營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國內委託經營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國內委託經營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國內委託經營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國內委託經營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國內委託經營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國內委託經營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國內委託經營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國內委託經營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70d9d42b366849f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7.329999923706055" hidden="0" customWidth="1"/>
    <x:col min="10" max="10" width="22.219999313354492" hidden="0" customWidth="1"/>
    <x:col min="11" max="11" width="7" hidden="0" customWidth="1"/>
    <x:col min="12" max="12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委任至今投資報酬率</x:v>
      </x:c>
      <x:c r="J3" s="16" t="str">
        <x:v>委任至今目標／指標報酬率</x:v>
      </x:c>
      <x:c r="K3" s="16" t="str">
        <x:v>單位</x:v>
      </x:c>
      <x:c r="L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42" t="n">
        <x:v>0.9453</x:v>
      </x:c>
      <x:c r="J4" s="42" t="n">
        <x:v>0.0527</x:v>
      </x:c>
      <x:c r="K4" s="28" t="str">
        <x:v>新臺幣元</x:v>
      </x:c>
      <x:c r="L4" s="29" t="str">
        <x:v>勞工退休基金-115年6月.pdf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3" t="n">
        <x:v>2.3936</x:v>
      </x:c>
      <x:c r="J5" s="43" t="n">
        <x:v>0.2113</x:v>
      </x:c>
      <x:c r="K5" s="31" t="str">
        <x:v>新臺幣元</x:v>
      </x:c>
      <x:c r="L5" s="32" t="str">
        <x:v>勞工退休基金-115年6月.pdf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3" t="n">
        <x:v>1.2808000000000002</x:v>
      </x:c>
      <x:c r="J6" s="43" t="n">
        <x:v>0.1198</x:v>
      </x:c>
      <x:c r="K6" s="31" t="str">
        <x:v>新臺幣元</x:v>
      </x:c>
      <x:c r="L6" s="32" t="str">
        <x:v>勞工退休基金-115年6月.pdf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3" t="n">
        <x:v>0.7268000000000001</x:v>
      </x:c>
      <x:c r="J7" s="43" t="n">
        <x:v>0.1198</x:v>
      </x:c>
      <x:c r="K7" s="31" t="str">
        <x:v>新臺幣元</x:v>
      </x:c>
      <x:c r="L7" s="32" t="str">
        <x:v>勞工退休基金-115年6月.pdf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3" t="n">
        <x:v>1.4969999999999999</x:v>
      </x:c>
      <x:c r="J8" s="43" t="n">
        <x:v>0.22089999999999999</x:v>
      </x:c>
      <x:c r="K8" s="31" t="str">
        <x:v>新臺幣元</x:v>
      </x:c>
      <x:c r="L8" s="32" t="str">
        <x:v>勞工退休基金-115年6月.pdf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3" t="n">
        <x:v>1.7350999999999999</x:v>
      </x:c>
      <x:c r="J9" s="43" t="n">
        <x:v>1.6263999999999998</x:v>
      </x:c>
      <x:c r="K9" s="31" t="str">
        <x:v>新臺幣元</x:v>
      </x:c>
      <x:c r="L9" s="32" t="str">
        <x:v>勞工退休基金-115年6月.pdf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3" t="n">
        <x:v>1.6579</x:v>
      </x:c>
      <x:c r="J10" s="43" t="n">
        <x:v>0.1191</x:v>
      </x:c>
      <x:c r="K10" s="31" t="str">
        <x:v>新臺幣元</x:v>
      </x:c>
      <x:c r="L10" s="32" t="str">
        <x:v>勞工退休基金-115年6月.pdf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3" t="n">
        <x:v>0.8642</x:v>
      </x:c>
      <x:c r="J11" s="43" t="n">
        <x:v>0.1191</x:v>
      </x:c>
      <x:c r="K11" s="31" t="str">
        <x:v>新臺幣元</x:v>
      </x:c>
      <x:c r="L11" s="32" t="str">
        <x:v>勞工退休基金-115年6月.pdf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3" t="n">
        <x:v>0.5015999999999999</x:v>
      </x:c>
      <x:c r="J12" s="43" t="n">
        <x:v>0.36619999999999997</x:v>
      </x:c>
      <x:c r="K12" s="31" t="str">
        <x:v>新臺幣元</x:v>
      </x:c>
      <x:c r="L12" s="32" t="str">
        <x:v>勞工退休基金-115年6月.pdf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3" t="n">
        <x:v>0.4313</x:v>
      </x:c>
      <x:c r="J13" s="43" t="n">
        <x:v>0.36619999999999997</x:v>
      </x:c>
      <x:c r="K13" s="31" t="str">
        <x:v>新臺幣元</x:v>
      </x:c>
      <x:c r="L13" s="32" t="str">
        <x:v>勞工退休基金-115年6月.pdf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3" t="n">
        <x:v>1.6085</x:v>
      </x:c>
      <x:c r="J14" s="43" t="n">
        <x:v>0.2302</x:v>
      </x:c>
      <x:c r="K14" s="31" t="str">
        <x:v>新臺幣元</x:v>
      </x:c>
      <x:c r="L14" s="32" t="str">
        <x:v>勞工退休基金-115年6月.pdf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3" t="n">
        <x:v>0.7082999999999999</x:v>
      </x:c>
      <x:c r="J15" s="43" t="n">
        <x:v>0.6726000000000001</x:v>
      </x:c>
      <x:c r="K15" s="31" t="str">
        <x:v>新臺幣元</x:v>
      </x:c>
      <x:c r="L15" s="32" t="str">
        <x:v>勞工退休基金-115年6月.pdf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3" t="n">
        <x:v>0.6894</x:v>
      </x:c>
      <x:c r="J16" s="43" t="n">
        <x:v>0.6726000000000001</x:v>
      </x:c>
      <x:c r="K16" s="31" t="str">
        <x:v>新臺幣元</x:v>
      </x:c>
      <x:c r="L16" s="32" t="str">
        <x:v>勞工退休基金-115年6月.pdf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3" t="n">
        <x:v>0.7049</x:v>
      </x:c>
      <x:c r="J17" s="43" t="n">
        <x:v>0.6726000000000001</x:v>
      </x:c>
      <x:c r="K17" s="31" t="str">
        <x:v>新臺幣元</x:v>
      </x:c>
      <x:c r="L17" s="32" t="str">
        <x:v>勞工退休基金-115年6月.pdf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3" t="n">
        <x:v>0.6829999999999999</x:v>
      </x:c>
      <x:c r="J18" s="43" t="n">
        <x:v>0.6726000000000001</x:v>
      </x:c>
      <x:c r="K18" s="31" t="str">
        <x:v>新臺幣元</x:v>
      </x:c>
      <x:c r="L18" s="32" t="str">
        <x:v>勞工退休基金-115年6月.pdf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3" t="n">
        <x:v>0.7106999999999999</x:v>
      </x:c>
      <x:c r="J19" s="43" t="n">
        <x:v>0.6726000000000001</x:v>
      </x:c>
      <x:c r="K19" s="31" t="str">
        <x:v>新臺幣元</x:v>
      </x:c>
      <x:c r="L19" s="32" t="str">
        <x:v>勞工退休基金-115年6月.pdf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3" t="n">
        <x:v>1.6942</x:v>
      </x:c>
      <x:c r="J20" s="43" t="n">
        <x:v>0.1998</x:v>
      </x:c>
      <x:c r="K20" s="31" t="str">
        <x:v>新臺幣元</x:v>
      </x:c>
      <x:c r="L20" s="32" t="str">
        <x:v>勞工退休基金-115年6月.pdf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3" t="n">
        <x:v>1.2009</x:v>
      </x:c>
      <x:c r="J21" s="43" t="n">
        <x:v>0.1998</x:v>
      </x:c>
      <x:c r="K21" s="31" t="str">
        <x:v>新臺幣元</x:v>
      </x:c>
      <x:c r="L21" s="32" t="str">
        <x:v>勞工退休基金-115年6月.pdf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3" t="n">
        <x:v>2.0039</x:v>
      </x:c>
      <x:c r="J22" s="43" t="n">
        <x:v>0.21</x:v>
      </x:c>
      <x:c r="K22" s="31" t="str">
        <x:v>新臺幣元</x:v>
      </x:c>
      <x:c r="L22" s="32" t="str">
        <x:v>勞工退休基金-115年6月.pdf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3" t="n">
        <x:v>1.3041999999999998</x:v>
      </x:c>
      <x:c r="J23" s="43" t="n">
        <x:v>0.21</x:v>
      </x:c>
      <x:c r="K23" s="31" t="str">
        <x:v>新臺幣元</x:v>
      </x:c>
      <x:c r="L23" s="32" t="str">
        <x:v>勞工退休基金-115年6月.pdf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3" t="n">
        <x:v>1.1314</x:v>
      </x:c>
      <x:c r="J24" s="43" t="n">
        <x:v>0.21</x:v>
      </x:c>
      <x:c r="K24" s="31" t="str">
        <x:v>新臺幣元</x:v>
      </x:c>
      <x:c r="L24" s="32" t="str">
        <x:v>勞工退休基金-115年6月.pdf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3" t="n">
        <x:v>1.4447</x:v>
      </x:c>
      <x:c r="J25" s="43" t="n">
        <x:v>0.21</x:v>
      </x:c>
      <x:c r="K25" s="31" t="str">
        <x:v>新臺幣元</x:v>
      </x:c>
      <x:c r="L25" s="32" t="str">
        <x:v>勞工退休基金-115年6月.pdf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3" t="n">
        <x:v>2.0913999999999997</x:v>
      </x:c>
      <x:c r="J26" s="43" t="n">
        <x:v>2.0934</x:v>
      </x:c>
      <x:c r="K26" s="31" t="str">
        <x:v>新臺幣元</x:v>
      </x:c>
      <x:c r="L26" s="32" t="str">
        <x:v>勞工退休基金-115年6月.pdf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3" t="n">
        <x:v>2.1505</x:v>
      </x:c>
      <x:c r="J27" s="43" t="n">
        <x:v>2.0934</x:v>
      </x:c>
      <x:c r="K27" s="31" t="str">
        <x:v>新臺幣元</x:v>
      </x:c>
      <x:c r="L27" s="32" t="str">
        <x:v>勞工退休基金-115年6月.pdf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3" t="n">
        <x:v>2.1793</x:v>
      </x:c>
      <x:c r="J28" s="43" t="n">
        <x:v>2.0934</x:v>
      </x:c>
      <x:c r="K28" s="31" t="str">
        <x:v>新臺幣元</x:v>
      </x:c>
      <x:c r="L28" s="32" t="str">
        <x:v>勞工退休基金-115年6月.pdf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3" t="n">
        <x:v>2.126</x:v>
      </x:c>
      <x:c r="J29" s="43" t="n">
        <x:v>2.0934</x:v>
      </x:c>
      <x:c r="K29" s="31" t="str">
        <x:v>新臺幣元</x:v>
      </x:c>
      <x:c r="L29" s="32" t="str">
        <x:v>勞工退休基金-115年6月.pdf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3" t="n">
        <x:v>2.2522</x:v>
      </x:c>
      <x:c r="J30" s="43" t="n">
        <x:v>2.0934</x:v>
      </x:c>
      <x:c r="K30" s="31" t="str">
        <x:v>新臺幣元</x:v>
      </x:c>
      <x:c r="L30" s="32" t="str">
        <x:v>勞工退休基金-115年6月.pdf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3" t="n">
        <x:v>2.1319999999999997</x:v>
      </x:c>
      <x:c r="J31" s="43" t="n">
        <x:v>2.0934</x:v>
      </x:c>
      <x:c r="K31" s="31" t="str">
        <x:v>新臺幣元</x:v>
      </x:c>
      <x:c r="L31" s="32" t="str">
        <x:v>勞工退休基金-115年6月.pdf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3" t="n">
        <x:v>2.2617</x:v>
      </x:c>
      <x:c r="J32" s="43" t="n">
        <x:v>2.0934</x:v>
      </x:c>
      <x:c r="K32" s="31" t="str">
        <x:v>新臺幣元</x:v>
      </x:c>
      <x:c r="L32" s="32" t="str">
        <x:v>勞工退休基金-115年6月.pdf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3" t="n">
        <x:v>1.2308</x:v>
      </x:c>
      <x:c r="J33" s="43" t="n">
        <x:v>0.1286</x:v>
      </x:c>
      <x:c r="K33" s="31" t="str">
        <x:v>新臺幣元</x:v>
      </x:c>
      <x:c r="L33" s="32" t="str">
        <x:v>勞工退休基金-115年6月.pdf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3" t="n">
        <x:v>1.6446</x:v>
      </x:c>
      <x:c r="J34" s="43" t="n">
        <x:v>0.1286</x:v>
      </x:c>
      <x:c r="K34" s="31" t="str">
        <x:v>新臺幣元</x:v>
      </x:c>
      <x:c r="L34" s="32" t="str">
        <x:v>勞工退休基金-115年6月.pdf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3" t="n">
        <x:v>1.1039</x:v>
      </x:c>
      <x:c r="J35" s="43" t="n">
        <x:v>0.1286</x:v>
      </x:c>
      <x:c r="K35" s="31" t="str">
        <x:v>新臺幣元</x:v>
      </x:c>
      <x:c r="L35" s="32" t="str">
        <x:v>勞工退休基金-115年6月.pdf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3" t="n">
        <x:v>1.7790000000000001</x:v>
      </x:c>
      <x:c r="J36" s="43" t="n">
        <x:v>0.1286</x:v>
      </x:c>
      <x:c r="K36" s="31" t="str">
        <x:v>新臺幣元</x:v>
      </x:c>
      <x:c r="L36" s="32" t="str">
        <x:v>勞工退休基金-115年6月.pdf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3" t="n">
        <x:v>1.1596</x:v>
      </x:c>
      <x:c r="J37" s="43" t="n">
        <x:v>0.1286</x:v>
      </x:c>
      <x:c r="K37" s="31" t="str">
        <x:v>新臺幣元</x:v>
      </x:c>
      <x:c r="L37" s="32" t="str">
        <x:v>勞工退休基金-115年6月.pdf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3" t="n">
        <x:v>1.1694</x:v>
      </x:c>
      <x:c r="J38" s="43" t="n">
        <x:v>0.1286</x:v>
      </x:c>
      <x:c r="K38" s="31" t="str">
        <x:v>新臺幣元</x:v>
      </x:c>
      <x:c r="L38" s="32" t="str">
        <x:v>勞工退休基金-115年6月.pdf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3" t="n">
        <x:v>-0.0748</x:v>
      </x:c>
      <x:c r="J39" s="43" t="n">
        <x:v>0.013600000000000001</x:v>
      </x:c>
      <x:c r="K39" s="31" t="str">
        <x:v>新臺幣元</x:v>
      </x:c>
      <x:c r="L39" s="32" t="str">
        <x:v>勞工退休基金-115年6月.pdf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3" t="n">
        <x:v>-0.0942</x:v>
      </x:c>
      <x:c r="J40" s="43" t="n">
        <x:v>0.013600000000000001</x:v>
      </x:c>
      <x:c r="K40" s="31" t="str">
        <x:v>新臺幣元</x:v>
      </x:c>
      <x:c r="L40" s="32" t="str">
        <x:v>勞工退休基金-115年6月.pdf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3" t="n">
        <x:v>-0.1412</x:v>
      </x:c>
      <x:c r="J41" s="43" t="n">
        <x:v>0.013600000000000001</x:v>
      </x:c>
      <x:c r="K41" s="31" t="str">
        <x:v>新臺幣元</x:v>
      </x:c>
      <x:c r="L41" s="32" t="str">
        <x:v>勞工退休基金-115年6月.pdf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3" t="n">
        <x:v>-0.0882</x:v>
      </x:c>
      <x:c r="J42" s="43" t="n">
        <x:v>0.013600000000000001</x:v>
      </x:c>
      <x:c r="K42" s="31" t="str">
        <x:v>新臺幣元</x:v>
      </x:c>
      <x:c r="L42" s="32" t="str">
        <x:v>勞工退休基金-115年6月.pdf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3" t="n">
        <x:v>-0.11710000000000001</x:v>
      </x:c>
      <x:c r="J43" s="43" t="n">
        <x:v>0.013600000000000001</x:v>
      </x:c>
      <x:c r="K43" s="31" t="str">
        <x:v>新臺幣元</x:v>
      </x:c>
      <x:c r="L43" s="32" t="str">
        <x:v>勞工退休基金-115年6月.pdf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3" t="n">
        <x:v>1.2791</x:v>
      </x:c>
      <x:c r="J44" s="43" t="n">
        <x:v>1.2554</x:v>
      </x:c>
      <x:c r="K44" s="31" t="str">
        <x:v>新臺幣元</x:v>
      </x:c>
      <x:c r="L44" s="32" t="str">
        <x:v>勞工退休基金-115年6月.pdf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3" t="n">
        <x:v>1.2836</x:v>
      </x:c>
      <x:c r="J45" s="43" t="n">
        <x:v>1.2554</x:v>
      </x:c>
      <x:c r="K45" s="31" t="str">
        <x:v>新臺幣元</x:v>
      </x:c>
      <x:c r="L45" s="32" t="str">
        <x:v>勞工退休基金-115年6月.pdf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3" t="n">
        <x:v>1.2375</x:v>
      </x:c>
      <x:c r="J46" s="43" t="n">
        <x:v>1.2554</x:v>
      </x:c>
      <x:c r="K46" s="31" t="str">
        <x:v>新臺幣元</x:v>
      </x:c>
      <x:c r="L46" s="32" t="str">
        <x:v>勞工退休基金-115年6月.pdf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3" t="n">
        <x:v>1.3363999999999998</x:v>
      </x:c>
      <x:c r="J47" s="43" t="n">
        <x:v>1.2554</x:v>
      </x:c>
      <x:c r="K47" s="31" t="str">
        <x:v>新臺幣元</x:v>
      </x:c>
      <x:c r="L47" s="32" t="str">
        <x:v>勞工退休基金-115年6月.pdf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3" t="n">
        <x:v>1.2166</x:v>
      </x:c>
      <x:c r="J48" s="43" t="n">
        <x:v>1.2554</x:v>
      </x:c>
      <x:c r="K48" s="31" t="str">
        <x:v>新臺幣元</x:v>
      </x:c>
      <x:c r="L48" s="32" t="str">
        <x:v>勞工退休基金-115年6月.pdf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3" t="n">
        <x:v>1.729</x:v>
      </x:c>
      <x:c r="J49" s="43" t="n">
        <x:v>0.2808</x:v>
      </x:c>
      <x:c r="K49" s="31" t="str">
        <x:v>新臺幣元</x:v>
      </x:c>
      <x:c r="L49" s="32" t="str">
        <x:v>勞工退休基金-115年6月.pdf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3" t="n">
        <x:v>1.111</x:v>
      </x:c>
      <x:c r="J50" s="43" t="n">
        <x:v>0.2808</x:v>
      </x:c>
      <x:c r="K50" s="31" t="str">
        <x:v>新臺幣元</x:v>
      </x:c>
      <x:c r="L50" s="32" t="str">
        <x:v>勞工退休基金-115年6月.pdf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3" t="n">
        <x:v>1.6996</x:v>
      </x:c>
      <x:c r="J51" s="43" t="n">
        <x:v>0.2808</x:v>
      </x:c>
      <x:c r="K51" s="31" t="str">
        <x:v>新臺幣元</x:v>
      </x:c>
      <x:c r="L51" s="32" t="str">
        <x:v>勞工退休基金-115年6月.pdf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3" t="n">
        <x:v>1.1247</x:v>
      </x:c>
      <x:c r="J52" s="43" t="n">
        <x:v>0.2808</x:v>
      </x:c>
      <x:c r="K52" s="31" t="str">
        <x:v>新臺幣元</x:v>
      </x:c>
      <x:c r="L52" s="32" t="str">
        <x:v>勞工退休基金-115年6月.pdf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3" t="n">
        <x:v>2.1054</x:v>
      </x:c>
      <x:c r="J53" s="43" t="n">
        <x:v>0.2808</x:v>
      </x:c>
      <x:c r="K53" s="31" t="str">
        <x:v>新臺幣元</x:v>
      </x:c>
      <x:c r="L53" s="32" t="str">
        <x:v>勞工退休基金-115年6月.pdf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3" t="n">
        <x:v>1.6864</x:v>
      </x:c>
      <x:c r="J54" s="43" t="n">
        <x:v>0.2808</x:v>
      </x:c>
      <x:c r="K54" s="31" t="str">
        <x:v>新臺幣元</x:v>
      </x:c>
      <x:c r="L54" s="32" t="str">
        <x:v>勞工退休基金-115年6月.pdf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3" t="n">
        <x:v>1.0719</x:v>
      </x:c>
      <x:c r="J55" s="43" t="n">
        <x:v>0.1681</x:v>
      </x:c>
      <x:c r="K55" s="31" t="str">
        <x:v>新臺幣元</x:v>
      </x:c>
      <x:c r="L55" s="32" t="str">
        <x:v>勞工退休基金-115年6月.pdf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3" t="n">
        <x:v>2.0507</x:v>
      </x:c>
      <x:c r="J56" s="43" t="n">
        <x:v>0.1681</x:v>
      </x:c>
      <x:c r="K56" s="31" t="str">
        <x:v>新臺幣元</x:v>
      </x:c>
      <x:c r="L56" s="32" t="str">
        <x:v>勞工退休基金-115年6月.pdf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3" t="n">
        <x:v>1.6005</x:v>
      </x:c>
      <x:c r="J57" s="43" t="n">
        <x:v>0.1681</x:v>
      </x:c>
      <x:c r="K57" s="31" t="str">
        <x:v>新臺幣元</x:v>
      </x:c>
      <x:c r="L57" s="32" t="str">
        <x:v>勞工退休基金-115年6月.pdf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3" t="n">
        <x:v>1.1255</x:v>
      </x:c>
      <x:c r="J58" s="43" t="n">
        <x:v>0.1681</x:v>
      </x:c>
      <x:c r="K58" s="31" t="str">
        <x:v>新臺幣元</x:v>
      </x:c>
      <x:c r="L58" s="32" t="str">
        <x:v>勞工退休基金-115年6月.pdf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3" t="n">
        <x:v>2.1375</x:v>
      </x:c>
      <x:c r="J59" s="43" t="n">
        <x:v>0.1681</x:v>
      </x:c>
      <x:c r="K59" s="31" t="str">
        <x:v>新臺幣元</x:v>
      </x:c>
      <x:c r="L59" s="32" t="str">
        <x:v>勞工退休基金-115年6月.pdf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3" t="n">
        <x:v>0.40130000000000005</x:v>
      </x:c>
      <x:c r="J60" s="43" t="n">
        <x:v>0.1681</x:v>
      </x:c>
      <x:c r="K60" s="31" t="str">
        <x:v>新臺幣元</x:v>
      </x:c>
      <x:c r="L60" s="32" t="str">
        <x:v>勞工退休基金-115年6月.pdf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3" t="n">
        <x:v>1.3118</x:v>
      </x:c>
      <x:c r="J61" s="43" t="n">
        <x:v>0.1681</x:v>
      </x:c>
      <x:c r="K61" s="31" t="str">
        <x:v>新臺幣元</x:v>
      </x:c>
      <x:c r="L61" s="32" t="str">
        <x:v>勞工退休基金-115年6月.pdf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3" t="n">
        <x:v>1.5</x:v>
      </x:c>
      <x:c r="J62" s="43" t="n">
        <x:v>1.1673</x:v>
      </x:c>
      <x:c r="K62" s="31" t="str">
        <x:v>新臺幣元</x:v>
      </x:c>
      <x:c r="L62" s="32" t="str">
        <x:v>勞工退休基金-115年6月.pdf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3" t="n">
        <x:v>1.2703</x:v>
      </x:c>
      <x:c r="J63" s="43" t="n">
        <x:v>1.1673</x:v>
      </x:c>
      <x:c r="K63" s="31" t="str">
        <x:v>新臺幣元</x:v>
      </x:c>
      <x:c r="L63" s="32" t="str">
        <x:v>勞工退休基金-115年6月.pdf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3" t="n">
        <x:v>1.2777</x:v>
      </x:c>
      <x:c r="J64" s="43" t="n">
        <x:v>1.1673</x:v>
      </x:c>
      <x:c r="K64" s="31" t="str">
        <x:v>新臺幣元</x:v>
      </x:c>
      <x:c r="L64" s="32" t="str">
        <x:v>勞工退休基金-115年6月.pdf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3" t="n">
        <x:v>1.1823000000000001</x:v>
      </x:c>
      <x:c r="J65" s="43" t="n">
        <x:v>1.1673</x:v>
      </x:c>
      <x:c r="K65" s="31" t="str">
        <x:v>新臺幣元</x:v>
      </x:c>
      <x:c r="L65" s="32" t="str">
        <x:v>勞工退休基金-115年6月.pdf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3" t="n">
        <x:v>1.2054</x:v>
      </x:c>
      <x:c r="J66" s="43" t="n">
        <x:v>1.1673</x:v>
      </x:c>
      <x:c r="K66" s="31" t="str">
        <x:v>新臺幣元</x:v>
      </x:c>
      <x:c r="L66" s="32" t="str">
        <x:v>勞工退休基金-115年6月.pdf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3" t="n">
        <x:v>1.2443</x:v>
      </x:c>
      <x:c r="J67" s="43" t="n">
        <x:v>1.1673</x:v>
      </x:c>
      <x:c r="K67" s="31" t="str">
        <x:v>新臺幣元</x:v>
      </x:c>
      <x:c r="L67" s="32" t="str">
        <x:v>勞工退休基金-115年6月.pdf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3" t="n">
        <x:v>0.46659999999999996</x:v>
      </x:c>
      <x:c r="J68" s="43" t="n">
        <x:v>0.0444</x:v>
      </x:c>
      <x:c r="K68" s="31" t="str">
        <x:v>新臺幣元</x:v>
      </x:c>
      <x:c r="L68" s="32" t="str">
        <x:v>勞工退休基金-115年6月.pdf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3" t="n">
        <x:v>0.5784</x:v>
      </x:c>
      <x:c r="J69" s="43" t="n">
        <x:v>0.0444</x:v>
      </x:c>
      <x:c r="K69" s="31" t="str">
        <x:v>新臺幣元</x:v>
      </x:c>
      <x:c r="L69" s="32" t="str">
        <x:v>勞工退休基金-115年6月.pdf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3" t="n">
        <x:v>0.6163000000000001</x:v>
      </x:c>
      <x:c r="J70" s="43" t="n">
        <x:v>0.0444</x:v>
      </x:c>
      <x:c r="K70" s="31" t="str">
        <x:v>新臺幣元</x:v>
      </x:c>
      <x:c r="L70" s="32" t="str">
        <x:v>勞工退休基金-115年6月.pdf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3" t="n">
        <x:v>0.5424</x:v>
      </x:c>
      <x:c r="J71" s="43" t="n">
        <x:v>0.0444</x:v>
      </x:c>
      <x:c r="K71" s="31" t="str">
        <x:v>新臺幣元</x:v>
      </x:c>
      <x:c r="L71" s="32" t="str">
        <x:v>勞工退休基金-115年6月.pdf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3" t="n">
        <x:v>0.5698</x:v>
      </x:c>
      <x:c r="J72" s="43" t="n">
        <x:v>0.0444</x:v>
      </x:c>
      <x:c r="K72" s="31" t="str">
        <x:v>新臺幣元</x:v>
      </x:c>
      <x:c r="L72" s="32" t="str">
        <x:v>勞工退休基金-115年6月.pdf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3" t="n">
        <x:v>-0.0526</x:v>
      </x:c>
      <x:c r="J73" s="43"/>
      <x:c r="K73" s="31" t="str">
        <x:v>新臺幣元</x:v>
      </x:c>
      <x:c r="L73" s="32" t="str">
        <x:v>勞工退休基金-115年6月.pdf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3" t="n">
        <x:v>1.0713</x:v>
      </x:c>
      <x:c r="J74" s="43" t="n">
        <x:v>0.0947</x:v>
      </x:c>
      <x:c r="K74" s="31" t="str">
        <x:v>新臺幣元</x:v>
      </x:c>
      <x:c r="L74" s="32" t="str">
        <x:v>勞工退休基金-115年6月.pdf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3" t="n">
        <x:v>0.9856</x:v>
      </x:c>
      <x:c r="J75" s="43" t="n">
        <x:v>0.0947</x:v>
      </x:c>
      <x:c r="K75" s="31" t="str">
        <x:v>新臺幣元</x:v>
      </x:c>
      <x:c r="L75" s="32" t="str">
        <x:v>勞工退休基金-115年6月.pdf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3" t="n">
        <x:v>1.0556999999999999</x:v>
      </x:c>
      <x:c r="J76" s="43" t="n">
        <x:v>0.9778</x:v>
      </x:c>
      <x:c r="K76" s="31" t="str">
        <x:v>新臺幣元</x:v>
      </x:c>
      <x:c r="L76" s="32" t="str">
        <x:v>勞工退休基金-115年6月.pdf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3" t="n">
        <x:v>1.8681999999999999</x:v>
      </x:c>
      <x:c r="J77" s="43" t="n">
        <x:v>0.132</x:v>
      </x:c>
      <x:c r="K77" s="31" t="str">
        <x:v>新臺幣元</x:v>
      </x:c>
      <x:c r="L77" s="32" t="str">
        <x:v>勞工退休基金-115年6月.pdf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3" t="n">
        <x:v>1.6941</x:v>
      </x:c>
      <x:c r="J78" s="43" t="n">
        <x:v>0.1998</x:v>
      </x:c>
      <x:c r="K78" s="31" t="str">
        <x:v>新臺幣元</x:v>
      </x:c>
      <x:c r="L78" s="32" t="str">
        <x:v>勞工退休基金-115年6月.pdf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3" t="n">
        <x:v>1.1693</x:v>
      </x:c>
      <x:c r="J79" s="43" t="n">
        <x:v>0.1998</x:v>
      </x:c>
      <x:c r="K79" s="31" t="str">
        <x:v>新臺幣元</x:v>
      </x:c>
      <x:c r="L79" s="32" t="str">
        <x:v>勞工退休基金-115年6月.pdf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3" t="n">
        <x:v>2.0039</x:v>
      </x:c>
      <x:c r="J80" s="43" t="n">
        <x:v>0.21</x:v>
      </x:c>
      <x:c r="K80" s="31" t="str">
        <x:v>新臺幣元</x:v>
      </x:c>
      <x:c r="L80" s="32" t="str">
        <x:v>勞工退休基金-115年6月.pdf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3" t="n">
        <x:v>1.2893000000000001</x:v>
      </x:c>
      <x:c r="J81" s="43" t="n">
        <x:v>0.21</x:v>
      </x:c>
      <x:c r="K81" s="31" t="str">
        <x:v>新臺幣元</x:v>
      </x:c>
      <x:c r="L81" s="32" t="str">
        <x:v>勞工退休基金-115年6月.pdf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3" t="n">
        <x:v>1.1309</x:v>
      </x:c>
      <x:c r="J82" s="43" t="n">
        <x:v>0.21</x:v>
      </x:c>
      <x:c r="K82" s="31" t="str">
        <x:v>新臺幣元</x:v>
      </x:c>
      <x:c r="L82" s="32" t="str">
        <x:v>勞工退休基金-115年6月.pdf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3" t="n">
        <x:v>1.4385</x:v>
      </x:c>
      <x:c r="J83" s="43" t="n">
        <x:v>0.21</x:v>
      </x:c>
      <x:c r="K83" s="31" t="str">
        <x:v>新臺幣元</x:v>
      </x:c>
      <x:c r="L83" s="32" t="str">
        <x:v>勞工退休基金-115年6月.pdf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3" t="n">
        <x:v>1.2483</x:v>
      </x:c>
      <x:c r="J84" s="43" t="n">
        <x:v>1.2554</x:v>
      </x:c>
      <x:c r="K84" s="31" t="str">
        <x:v>新臺幣元</x:v>
      </x:c>
      <x:c r="L84" s="32" t="str">
        <x:v>勞工退休基金-115年6月.pdf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3" t="n">
        <x:v>1.2382</x:v>
      </x:c>
      <x:c r="J85" s="43" t="n">
        <x:v>1.2554</x:v>
      </x:c>
      <x:c r="K85" s="31" t="str">
        <x:v>新臺幣元</x:v>
      </x:c>
      <x:c r="L85" s="32" t="str">
        <x:v>勞工退休基金-115年6月.pdf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3" t="n">
        <x:v>1.1848</x:v>
      </x:c>
      <x:c r="J86" s="43" t="n">
        <x:v>1.2554</x:v>
      </x:c>
      <x:c r="K86" s="31" t="str">
        <x:v>新臺幣元</x:v>
      </x:c>
      <x:c r="L86" s="32" t="str">
        <x:v>勞工退休基金-115年6月.pdf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3" t="n">
        <x:v>1.2799</x:v>
      </x:c>
      <x:c r="J87" s="43" t="n">
        <x:v>1.2554</x:v>
      </x:c>
      <x:c r="K87" s="31" t="str">
        <x:v>新臺幣元</x:v>
      </x:c>
      <x:c r="L87" s="32" t="str">
        <x:v>勞工退休基金-115年6月.pdf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3" t="n">
        <x:v>1.1886</x:v>
      </x:c>
      <x:c r="J88" s="43" t="n">
        <x:v>1.2554</x:v>
      </x:c>
      <x:c r="K88" s="31" t="str">
        <x:v>新臺幣元</x:v>
      </x:c>
      <x:c r="L88" s="32" t="str">
        <x:v>勞工退休基金-115年6月.pdf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3" t="n">
        <x:v>1.0949</x:v>
      </x:c>
      <x:c r="J89" s="43" t="n">
        <x:v>0.1681</x:v>
      </x:c>
      <x:c r="K89" s="31" t="str">
        <x:v>新臺幣元</x:v>
      </x:c>
      <x:c r="L89" s="32" t="str">
        <x:v>勞工退休基金-115年6月.pdf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3" t="n">
        <x:v>2.0665</x:v>
      </x:c>
      <x:c r="J90" s="43" t="n">
        <x:v>0.1681</x:v>
      </x:c>
      <x:c r="K90" s="31" t="str">
        <x:v>新臺幣元</x:v>
      </x:c>
      <x:c r="L90" s="32" t="str">
        <x:v>勞工退休基金-115年6月.pdf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3" t="n">
        <x:v>1.6488999999999998</x:v>
      </x:c>
      <x:c r="J91" s="43" t="n">
        <x:v>0.1681</x:v>
      </x:c>
      <x:c r="K91" s="31" t="str">
        <x:v>新臺幣元</x:v>
      </x:c>
      <x:c r="L91" s="32" t="str">
        <x:v>勞工退休基金-115年6月.pdf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3" t="n">
        <x:v>1.1372</x:v>
      </x:c>
      <x:c r="J92" s="43" t="n">
        <x:v>0.1681</x:v>
      </x:c>
      <x:c r="K92" s="31" t="str">
        <x:v>新臺幣元</x:v>
      </x:c>
      <x:c r="L92" s="32" t="str">
        <x:v>勞工退休基金-115年6月.pdf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3" t="n">
        <x:v>2.1261</x:v>
      </x:c>
      <x:c r="J93" s="43" t="n">
        <x:v>0.1681</x:v>
      </x:c>
      <x:c r="K93" s="31" t="str">
        <x:v>新臺幣元</x:v>
      </x:c>
      <x:c r="L93" s="32" t="str">
        <x:v>勞工退休基金-115年6月.pdf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3" t="n">
        <x:v>0.43560000000000004</x:v>
      </x:c>
      <x:c r="J94" s="43" t="n">
        <x:v>0.1681</x:v>
      </x:c>
      <x:c r="K94" s="31" t="str">
        <x:v>新臺幣元</x:v>
      </x:c>
      <x:c r="L94" s="32" t="str">
        <x:v>勞工退休基金-115年6月.pdf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3" t="n">
        <x:v>1.3285</x:v>
      </x:c>
      <x:c r="J95" s="43" t="n">
        <x:v>0.1681</x:v>
      </x:c>
      <x:c r="K95" s="31" t="str">
        <x:v>新臺幣元</x:v>
      </x:c>
      <x:c r="L95" s="32" t="str">
        <x:v>勞工退休基金-115年6月.pdf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3" t="n">
        <x:v>1.5816</x:v>
      </x:c>
      <x:c r="J96" s="43" t="n">
        <x:v>0.1689</x:v>
      </x:c>
      <x:c r="K96" s="31" t="str">
        <x:v>新臺幣元</x:v>
      </x:c>
      <x:c r="L96" s="32" t="str">
        <x:v>勞工保險基金-115年6月.pdf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3" t="n">
        <x:v>1.4922</x:v>
      </x:c>
      <x:c r="J97" s="43" t="n">
        <x:v>0.12210000000000001</x:v>
      </x:c>
      <x:c r="K97" s="31" t="str">
        <x:v>新臺幣元</x:v>
      </x:c>
      <x:c r="L97" s="32" t="str">
        <x:v>勞工保險基金-115年6月.pdf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3" t="n">
        <x:v>1.5265</x:v>
      </x:c>
      <x:c r="J98" s="43" t="n">
        <x:v>0.1675</x:v>
      </x:c>
      <x:c r="K98" s="31" t="str">
        <x:v>新臺幣元</x:v>
      </x:c>
      <x:c r="L98" s="32" t="str">
        <x:v>勞工保險基金-115年6月.pdf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3" t="n">
        <x:v>1.6194</x:v>
      </x:c>
      <x:c r="J99" s="43" t="n">
        <x:v>0.1675</x:v>
      </x:c>
      <x:c r="K99" s="31" t="str">
        <x:v>新臺幣元</x:v>
      </x:c>
      <x:c r="L99" s="32" t="str">
        <x:v>勞工保險基金-115年6月.pdf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3" t="n">
        <x:v>1.63</x:v>
      </x:c>
      <x:c r="J100" s="43" t="n">
        <x:v>0.1675</x:v>
      </x:c>
      <x:c r="K100" s="31" t="str">
        <x:v>新臺幣元</x:v>
      </x:c>
      <x:c r="L100" s="32" t="str">
        <x:v>勞工保險基金-115年6月.pdf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3" t="n">
        <x:v>1.1815</x:v>
      </x:c>
      <x:c r="J101" s="43" t="n">
        <x:v>0.1675</x:v>
      </x:c>
      <x:c r="K101" s="31" t="str">
        <x:v>新臺幣元</x:v>
      </x:c>
      <x:c r="L101" s="32" t="str">
        <x:v>勞工保險基金-115年6月.pdf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3" t="n">
        <x:v>0.8889</x:v>
      </x:c>
      <x:c r="J102" s="43" t="n">
        <x:v>0.1675</x:v>
      </x:c>
      <x:c r="K102" s="31" t="str">
        <x:v>新臺幣元</x:v>
      </x:c>
      <x:c r="L102" s="32" t="str">
        <x:v>勞工保險基金-115年6月.pdf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3" t="n">
        <x:v>1.3153</x:v>
      </x:c>
      <x:c r="J103" s="43" t="n">
        <x:v>0.1675</x:v>
      </x:c>
      <x:c r="K103" s="31" t="str">
        <x:v>新臺幣元</x:v>
      </x:c>
      <x:c r="L103" s="32" t="str">
        <x:v>勞工保險基金-115年6月.pdf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3" t="n">
        <x:v>1.2519</x:v>
      </x:c>
      <x:c r="J104" s="43" t="n">
        <x:v>1.2554</x:v>
      </x:c>
      <x:c r="K104" s="31" t="str">
        <x:v>新臺幣元</x:v>
      </x:c>
      <x:c r="L104" s="32" t="str">
        <x:v>勞工保險基金-115年6月.pdf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3" t="n">
        <x:v>1.2381</x:v>
      </x:c>
      <x:c r="J105" s="43" t="n">
        <x:v>1.2554</x:v>
      </x:c>
      <x:c r="K105" s="31" t="str">
        <x:v>新臺幣元</x:v>
      </x:c>
      <x:c r="L105" s="32" t="str">
        <x:v>勞工保險基金-115年6月.pdf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3" t="n">
        <x:v>1.185</x:v>
      </x:c>
      <x:c r="J106" s="43" t="n">
        <x:v>1.2554</x:v>
      </x:c>
      <x:c r="K106" s="31" t="str">
        <x:v>新臺幣元</x:v>
      </x:c>
      <x:c r="L106" s="32" t="str">
        <x:v>勞工保險基金-115年6月.pdf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3" t="n">
        <x:v>1.2793</x:v>
      </x:c>
      <x:c r="J107" s="43" t="n">
        <x:v>1.2554</x:v>
      </x:c>
      <x:c r="K107" s="31" t="str">
        <x:v>新臺幣元</x:v>
      </x:c>
      <x:c r="L107" s="32" t="str">
        <x:v>勞工保險基金-115年6月.pdf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3" t="n">
        <x:v>1.1781</x:v>
      </x:c>
      <x:c r="J108" s="43" t="n">
        <x:v>1.1673</x:v>
      </x:c>
      <x:c r="K108" s="31" t="str">
        <x:v>新臺幣元</x:v>
      </x:c>
      <x:c r="L108" s="32" t="str">
        <x:v>國民年金保險基金-115年6月.pdf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3" t="n">
        <x:v>1.198</x:v>
      </x:c>
      <x:c r="J109" s="43" t="n">
        <x:v>1.1673</x:v>
      </x:c>
      <x:c r="K109" s="31" t="str">
        <x:v>新臺幣元</x:v>
      </x:c>
      <x:c r="L109" s="32" t="str">
        <x:v>國民年金保險基金-115年6月.pdf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3" t="n">
        <x:v>-0.047</x:v>
      </x:c>
      <x:c r="J110" s="43" t="n">
        <x:v>0.009000000000000001</x:v>
      </x:c>
      <x:c r="K110" s="31" t="str">
        <x:v>新臺幣元</x:v>
      </x:c>
      <x:c r="L110" s="32" t="str">
        <x:v>國民年金保險基金-115年6月.pdf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3" t="n">
        <x:v>-0.16670000000000001</x:v>
      </x:c>
      <x:c r="J111" s="43" t="n">
        <x:v>0.009000000000000001</x:v>
      </x:c>
      <x:c r="K111" s="31" t="str">
        <x:v>新臺幣元</x:v>
      </x:c>
      <x:c r="L111" s="32" t="str">
        <x:v>國民年金保險基金-115年6月.pdf</x:v>
      </x:c>
    </x:row>
    <x:row r="112">
      <x:c r="A112" s="38" t="n">
        <x:v>46204</x:v>
      </x:c>
      <x:c r="B112" s="34" t="str">
        <x:v>115年7月</x:v>
      </x:c>
      <x:c r="C112" s="34" t="str">
        <x:v>國民年金</x:v>
      </x:c>
      <x:c r="D112" s="34" t="str">
        <x:v>國內</x:v>
      </x:c>
      <x:c r="E112" s="34" t="str">
        <x:v>114年第一次委託經營</x:v>
      </x:c>
      <x:c r="F112" s="34" t="str">
        <x:v>野村</x:v>
      </x:c>
      <x:c r="G112" s="41" t="n">
        <x:v>400000000</x:v>
      </x:c>
      <x:c r="H112" s="41" t="n">
        <x:v>341538111</x:v>
      </x:c>
      <x:c r="I112" s="44" t="n">
        <x:v>-0.1462</x:v>
      </x:c>
      <x:c r="J112" s="44" t="n">
        <x:v>0.009000000000000001</x:v>
      </x:c>
      <x:c r="K112" s="34" t="str">
        <x:v>新臺幣元</x:v>
      </x:c>
      <x:c r="L112" s="35" t="str">
        <x:v>國民年金保險基金-115年6月.pdf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7b058e572abc475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7.329999923706055" hidden="0" customWidth="1"/>
    <x:col min="10" max="10" width="22.219999313354492" hidden="0" customWidth="1"/>
    <x:col min="11" max="11" width="6" hidden="0" customWidth="1"/>
    <x:col min="12" max="12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委任至今投資報酬率</x:v>
      </x:c>
      <x:c r="J3" s="16" t="str">
        <x:v>委任至今目標／指標報酬率</x:v>
      </x:c>
      <x:c r="K3" s="16" t="str">
        <x:v>單位</x:v>
      </x:c>
      <x:c r="L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42" t="n">
        <x:v>-0.003</x:v>
      </x:c>
      <x:c r="J4" s="42" t="n">
        <x:v>-0.0048</x:v>
      </x:c>
      <x:c r="K4" s="28" t="str">
        <x:v>美元</x:v>
      </x:c>
      <x:c r="L4" s="29" t="str">
        <x:v>勞工退休基金-115年6月.pdf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3" t="n">
        <x:v>-0.0031</x:v>
      </x:c>
      <x:c r="J5" s="43" t="n">
        <x:v>-0.0048</x:v>
      </x:c>
      <x:c r="K5" s="31" t="str">
        <x:v>美元</x:v>
      </x:c>
      <x:c r="L5" s="32" t="str">
        <x:v>勞工退休基金-115年6月.pdf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3" t="n">
        <x:v>-0.0496</x:v>
      </x:c>
      <x:c r="J6" s="43" t="n">
        <x:v>-0.07490000000000001</x:v>
      </x:c>
      <x:c r="K6" s="31" t="str">
        <x:v>美元</x:v>
      </x:c>
      <x:c r="L6" s="32" t="str">
        <x:v>勞工退休基金-115年6月.pdf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3" t="n">
        <x:v>0.8793000000000001</x:v>
      </x:c>
      <x:c r="J7" s="43" t="n">
        <x:v>0.6754000000000001</x:v>
      </x:c>
      <x:c r="K7" s="31" t="str">
        <x:v>美元</x:v>
      </x:c>
      <x:c r="L7" s="32" t="str">
        <x:v>勞工退休基金-115年6月.pdf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3" t="n">
        <x:v>0.6968000000000001</x:v>
      </x:c>
      <x:c r="J8" s="43" t="n">
        <x:v>0.6754000000000001</x:v>
      </x:c>
      <x:c r="K8" s="31" t="str">
        <x:v>美元</x:v>
      </x:c>
      <x:c r="L8" s="32" t="str">
        <x:v>勞工退休基金-115年6月.pdf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3" t="n">
        <x:v>0.9876999999999999</x:v>
      </x:c>
      <x:c r="J9" s="43" t="n">
        <x:v>0.882</x:v>
      </x:c>
      <x:c r="K9" s="31" t="str">
        <x:v>美元</x:v>
      </x:c>
      <x:c r="L9" s="32" t="str">
        <x:v>勞工退休基金-115年6月.pdf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3" t="n">
        <x:v>0.8826999999999999</x:v>
      </x:c>
      <x:c r="J10" s="43" t="n">
        <x:v>0.8704999999999999</x:v>
      </x:c>
      <x:c r="K10" s="31" t="str">
        <x:v>美元</x:v>
      </x:c>
      <x:c r="L10" s="32" t="str">
        <x:v>勞工退休基金-115年6月.pdf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3" t="n">
        <x:v>0.8973</x:v>
      </x:c>
      <x:c r="J11" s="43" t="n">
        <x:v>0.8704999999999999</x:v>
      </x:c>
      <x:c r="K11" s="31" t="str">
        <x:v>美元</x:v>
      </x:c>
      <x:c r="L11" s="32" t="str">
        <x:v>勞工退休基金-115年6月.pdf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3" t="n">
        <x:v>0.0183</x:v>
      </x:c>
      <x:c r="J12" s="43" t="n">
        <x:v>0.0174</x:v>
      </x:c>
      <x:c r="K12" s="31" t="str">
        <x:v>美元</x:v>
      </x:c>
      <x:c r="L12" s="32" t="str">
        <x:v>勞工退休基金-115年6月.pdf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3" t="n">
        <x:v>0.0146</x:v>
      </x:c>
      <x:c r="J13" s="43" t="n">
        <x:v>0.0174</x:v>
      </x:c>
      <x:c r="K13" s="31" t="str">
        <x:v>美元</x:v>
      </x:c>
      <x:c r="L13" s="32" t="str">
        <x:v>勞工退休基金-115年6月.pdf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3" t="n">
        <x:v>0.1306</x:v>
      </x:c>
      <x:c r="J14" s="43"/>
      <x:c r="K14" s="31" t="str">
        <x:v>美元</x:v>
      </x:c>
      <x:c r="L14" s="32" t="str">
        <x:v>勞工退休基金-115年6月.pdf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3" t="n">
        <x:v>0.08070000000000001</x:v>
      </x:c>
      <x:c r="J15" s="43"/>
      <x:c r="K15" s="31" t="str">
        <x:v>美元</x:v>
      </x:c>
      <x:c r="L15" s="32" t="str">
        <x:v>勞工退休基金-115年6月.pdf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3" t="n">
        <x:v>0.24969999999999998</x:v>
      </x:c>
      <x:c r="J16" s="43" t="n">
        <x:v>0.2728</x:v>
      </x:c>
      <x:c r="K16" s="31" t="str">
        <x:v>美元</x:v>
      </x:c>
      <x:c r="L16" s="32" t="str">
        <x:v>勞工退休基金-115年6月.pdf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3" t="n">
        <x:v>0.345</x:v>
      </x:c>
      <x:c r="J17" s="43" t="n">
        <x:v>0.3337</x:v>
      </x:c>
      <x:c r="K17" s="31" t="str">
        <x:v>美元</x:v>
      </x:c>
      <x:c r="L17" s="32" t="str">
        <x:v>勞工退休基金-115年6月.pdf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3" t="n">
        <x:v>0.3471</x:v>
      </x:c>
      <x:c r="J18" s="43" t="n">
        <x:v>0.3337</x:v>
      </x:c>
      <x:c r="K18" s="31" t="str">
        <x:v>美元</x:v>
      </x:c>
      <x:c r="L18" s="32" t="str">
        <x:v>勞工退休基金-115年6月.pdf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3" t="n">
        <x:v>0.1744</x:v>
      </x:c>
      <x:c r="J19" s="43" t="n">
        <x:v>0.5083</x:v>
      </x:c>
      <x:c r="K19" s="31" t="str">
        <x:v>美元</x:v>
      </x:c>
      <x:c r="L19" s="32" t="str">
        <x:v>勞工退休基金-115年6月.pdf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3" t="n">
        <x:v>0.5401</x:v>
      </x:c>
      <x:c r="J20" s="43" t="n">
        <x:v>0.5083</x:v>
      </x:c>
      <x:c r="K20" s="31" t="str">
        <x:v>美元</x:v>
      </x:c>
      <x:c r="L20" s="32" t="str">
        <x:v>勞工退休基金-115年6月.pdf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3" t="n">
        <x:v>0.5279</x:v>
      </x:c>
      <x:c r="J21" s="43" t="n">
        <x:v>0.5083</x:v>
      </x:c>
      <x:c r="K21" s="31" t="str">
        <x:v>美元</x:v>
      </x:c>
      <x:c r="L21" s="32" t="str">
        <x:v>勞工退休基金-115年6月.pdf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3" t="n">
        <x:v>0.1457</x:v>
      </x:c>
      <x:c r="J22" s="43" t="n">
        <x:v>0.1376</x:v>
      </x:c>
      <x:c r="K22" s="31" t="str">
        <x:v>美元</x:v>
      </x:c>
      <x:c r="L22" s="32" t="str">
        <x:v>勞工退休基金-115年6月.pdf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3" t="n">
        <x:v>0.1346</x:v>
      </x:c>
      <x:c r="J23" s="43" t="n">
        <x:v>0.1376</x:v>
      </x:c>
      <x:c r="K23" s="31" t="str">
        <x:v>美元</x:v>
      </x:c>
      <x:c r="L23" s="32" t="str">
        <x:v>勞工退休基金-115年6月.pdf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3" t="n">
        <x:v>0.1351</x:v>
      </x:c>
      <x:c r="J24" s="43" t="n">
        <x:v>0.1376</x:v>
      </x:c>
      <x:c r="K24" s="31" t="str">
        <x:v>美元</x:v>
      </x:c>
      <x:c r="L24" s="32" t="str">
        <x:v>勞工退休基金-115年6月.pdf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3" t="n">
        <x:v>0.2121</x:v>
      </x:c>
      <x:c r="J25" s="43" t="n">
        <x:v>0.21989999999999998</x:v>
      </x:c>
      <x:c r="K25" s="31" t="str">
        <x:v>美元</x:v>
      </x:c>
      <x:c r="L25" s="32" t="str">
        <x:v>勞工退休基金-115年6月.pdf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3" t="n">
        <x:v>0.20559999999999998</x:v>
      </x:c>
      <x:c r="J26" s="43" t="n">
        <x:v>0.21989999999999998</x:v>
      </x:c>
      <x:c r="K26" s="31" t="str">
        <x:v>美元</x:v>
      </x:c>
      <x:c r="L26" s="32" t="str">
        <x:v>勞工退休基金-115年6月.pdf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3" t="n">
        <x:v>0.209</x:v>
      </x:c>
      <x:c r="J27" s="43" t="n">
        <x:v>0.21989999999999998</x:v>
      </x:c>
      <x:c r="K27" s="31" t="str">
        <x:v>美元</x:v>
      </x:c>
      <x:c r="L27" s="32" t="str">
        <x:v>勞工退休基金-115年6月.pdf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3" t="n">
        <x:v>0.1375</x:v>
      </x:c>
      <x:c r="J28" s="43" t="n">
        <x:v>0.1247</x:v>
      </x:c>
      <x:c r="K28" s="31" t="str">
        <x:v>美元</x:v>
      </x:c>
      <x:c r="L28" s="32" t="str">
        <x:v>勞工退休基金-115年6月.pdf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3" t="n">
        <x:v>0.1007</x:v>
      </x:c>
      <x:c r="J29" s="43" t="n">
        <x:v>0.1247</x:v>
      </x:c>
      <x:c r="K29" s="31" t="str">
        <x:v>美元</x:v>
      </x:c>
      <x:c r="L29" s="32" t="str">
        <x:v>勞工退休基金-115年6月.pdf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3" t="n">
        <x:v>0.7456</x:v>
      </x:c>
      <x:c r="J30" s="43" t="n">
        <x:v>0.6866</x:v>
      </x:c>
      <x:c r="K30" s="31" t="str">
        <x:v>美元</x:v>
      </x:c>
      <x:c r="L30" s="32" t="str">
        <x:v>勞工退休基金-115年6月.pdf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3" t="n">
        <x:v>0.9170999999999999</x:v>
      </x:c>
      <x:c r="J31" s="43" t="n">
        <x:v>0.914</x:v>
      </x:c>
      <x:c r="K31" s="31" t="str">
        <x:v>美元</x:v>
      </x:c>
      <x:c r="L31" s="32" t="str">
        <x:v>勞工退休基金-115年6月.pdf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3" t="n">
        <x:v>0.9606999999999999</x:v>
      </x:c>
      <x:c r="J32" s="43" t="n">
        <x:v>0.914</x:v>
      </x:c>
      <x:c r="K32" s="31" t="str">
        <x:v>美元</x:v>
      </x:c>
      <x:c r="L32" s="32" t="str">
        <x:v>勞工退休基金-115年6月.pdf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3" t="n">
        <x:v>0.9578</x:v>
      </x:c>
      <x:c r="J33" s="43" t="n">
        <x:v>0.914</x:v>
      </x:c>
      <x:c r="K33" s="31" t="str">
        <x:v>美元</x:v>
      </x:c>
      <x:c r="L33" s="32" t="str">
        <x:v>勞工退休基金-115年6月.pdf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3" t="n">
        <x:v>0.9377</x:v>
      </x:c>
      <x:c r="J34" s="43" t="n">
        <x:v>0.914</x:v>
      </x:c>
      <x:c r="K34" s="31" t="str">
        <x:v>美元</x:v>
      </x:c>
      <x:c r="L34" s="32" t="str">
        <x:v>勞工退休基金-115年6月.pdf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3" t="n">
        <x:v>0.22469999999999998</x:v>
      </x:c>
      <x:c r="J35" s="43"/>
      <x:c r="K35" s="31" t="str">
        <x:v>美元</x:v>
      </x:c>
      <x:c r="L35" s="32" t="str">
        <x:v>勞工退休基金-115年6月.pdf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3" t="n">
        <x:v>0.2735</x:v>
      </x:c>
      <x:c r="J36" s="43"/>
      <x:c r="K36" s="31" t="str">
        <x:v>美元</x:v>
      </x:c>
      <x:c r="L36" s="32" t="str">
        <x:v>勞工退休基金-115年6月.pdf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3" t="n">
        <x:v>0.2384</x:v>
      </x:c>
      <x:c r="J37" s="43"/>
      <x:c r="K37" s="31" t="str">
        <x:v>美元</x:v>
      </x:c>
      <x:c r="L37" s="32" t="str">
        <x:v>勞工退休基金-115年6月.pdf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3" t="n">
        <x:v>0.6008</x:v>
      </x:c>
      <x:c r="J38" s="43" t="n">
        <x:v>0.4412</x:v>
      </x:c>
      <x:c r="K38" s="31" t="str">
        <x:v>美元</x:v>
      </x:c>
      <x:c r="L38" s="32" t="str">
        <x:v>勞工退休基金-115年6月.pdf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3" t="n">
        <x:v>0.3544</x:v>
      </x:c>
      <x:c r="J39" s="43" t="n">
        <x:v>0.4412</x:v>
      </x:c>
      <x:c r="K39" s="31" t="str">
        <x:v>美元</x:v>
      </x:c>
      <x:c r="L39" s="32" t="str">
        <x:v>勞工退休基金-115年6月.pdf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3" t="n">
        <x:v>0.457</x:v>
      </x:c>
      <x:c r="J40" s="43" t="n">
        <x:v>0.4412</x:v>
      </x:c>
      <x:c r="K40" s="31" t="str">
        <x:v>美元</x:v>
      </x:c>
      <x:c r="L40" s="32" t="str">
        <x:v>勞工退休基金-115年6月.pdf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3" t="n">
        <x:v>0.4711</x:v>
      </x:c>
      <x:c r="J41" s="43" t="n">
        <x:v>0.4412</x:v>
      </x:c>
      <x:c r="K41" s="31" t="str">
        <x:v>美元</x:v>
      </x:c>
      <x:c r="L41" s="32" t="str">
        <x:v>勞工退休基金-115年6月.pdf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3" t="n">
        <x:v>0.42229999999999995</x:v>
      </x:c>
      <x:c r="J42" s="43" t="n">
        <x:v>0.4412</x:v>
      </x:c>
      <x:c r="K42" s="31" t="str">
        <x:v>美元</x:v>
      </x:c>
      <x:c r="L42" s="32" t="str">
        <x:v>勞工退休基金-115年6月.pdf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3" t="n">
        <x:v>0.3882</x:v>
      </x:c>
      <x:c r="J43" s="43" t="n">
        <x:v>0.4412</x:v>
      </x:c>
      <x:c r="K43" s="31" t="str">
        <x:v>美元</x:v>
      </x:c>
      <x:c r="L43" s="32" t="str">
        <x:v>勞工退休基金-115年6月.pdf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3" t="n">
        <x:v>0.40740000000000004</x:v>
      </x:c>
      <x:c r="J44" s="43" t="n">
        <x:v>0.4412</x:v>
      </x:c>
      <x:c r="K44" s="31" t="str">
        <x:v>美元</x:v>
      </x:c>
      <x:c r="L44" s="32" t="str">
        <x:v>勞工退休基金-115年6月.pdf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3" t="n">
        <x:v>-0.009000000000000001</x:v>
      </x:c>
      <x:c r="J45" s="43" t="n">
        <x:v>-0.0070999999999999995</x:v>
      </x:c>
      <x:c r="K45" s="31" t="str">
        <x:v>美元</x:v>
      </x:c>
      <x:c r="L45" s="32" t="str">
        <x:v>勞工退休基金-115年6月.pdf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3" t="n">
        <x:v>-0.0073</x:v>
      </x:c>
      <x:c r="J46" s="43" t="n">
        <x:v>-0.0070999999999999995</x:v>
      </x:c>
      <x:c r="K46" s="31" t="str">
        <x:v>美元</x:v>
      </x:c>
      <x:c r="L46" s="32" t="str">
        <x:v>勞工退休基金-115年6月.pdf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3" t="n">
        <x:v>-0.0089</x:v>
      </x:c>
      <x:c r="J47" s="43" t="n">
        <x:v>-0.0070999999999999995</x:v>
      </x:c>
      <x:c r="K47" s="31" t="str">
        <x:v>美元</x:v>
      </x:c>
      <x:c r="L47" s="32" t="str">
        <x:v>勞工退休基金-115年6月.pdf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3" t="n">
        <x:v>0.3861</x:v>
      </x:c>
      <x:c r="J48" s="43" t="n">
        <x:v>0.39909999999999995</x:v>
      </x:c>
      <x:c r="K48" s="31" t="str">
        <x:v>美元</x:v>
      </x:c>
      <x:c r="L48" s="32" t="str">
        <x:v>勞工退休基金-115年6月.pdf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3" t="n">
        <x:v>0.5249</x:v>
      </x:c>
      <x:c r="J49" s="43" t="n">
        <x:v>0.39909999999999995</x:v>
      </x:c>
      <x:c r="K49" s="31" t="str">
        <x:v>美元</x:v>
      </x:c>
      <x:c r="L49" s="32" t="str">
        <x:v>勞工退休基金-115年6月.pdf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3" t="n">
        <x:v>0.3725</x:v>
      </x:c>
      <x:c r="J50" s="43" t="n">
        <x:v>0.39909999999999995</x:v>
      </x:c>
      <x:c r="K50" s="31" t="str">
        <x:v>美元</x:v>
      </x:c>
      <x:c r="L50" s="32" t="str">
        <x:v>勞工退休基金-115年6月.pdf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3" t="n">
        <x:v>0.395</x:v>
      </x:c>
      <x:c r="J51" s="43" t="n">
        <x:v>0.39909999999999995</x:v>
      </x:c>
      <x:c r="K51" s="31" t="str">
        <x:v>美元</x:v>
      </x:c>
      <x:c r="L51" s="32" t="str">
        <x:v>勞工退休基金-115年6月.pdf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3" t="n">
        <x:v>0.2842</x:v>
      </x:c>
      <x:c r="J52" s="43"/>
      <x:c r="K52" s="31" t="str">
        <x:v>美元</x:v>
      </x:c>
      <x:c r="L52" s="32" t="str">
        <x:v>勞工退休基金-115年6月.pdf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3" t="n">
        <x:v>0.2163</x:v>
      </x:c>
      <x:c r="J53" s="43"/>
      <x:c r="K53" s="31" t="str">
        <x:v>美元</x:v>
      </x:c>
      <x:c r="L53" s="32" t="str">
        <x:v>勞工退休基金-115年6月.pdf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3" t="n">
        <x:v>0.2234</x:v>
      </x:c>
      <x:c r="J54" s="43"/>
      <x:c r="K54" s="31" t="str">
        <x:v>美元</x:v>
      </x:c>
      <x:c r="L54" s="32" t="str">
        <x:v>勞工退休基金-115年6月.pdf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3" t="n">
        <x:v>0.3411</x:v>
      </x:c>
      <x:c r="J55" s="43"/>
      <x:c r="K55" s="31" t="str">
        <x:v>美元</x:v>
      </x:c>
      <x:c r="L55" s="32" t="str">
        <x:v>勞工退休基金-115年6月.pdf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3" t="n">
        <x:v>0.2576</x:v>
      </x:c>
      <x:c r="J56" s="43"/>
      <x:c r="K56" s="31" t="str">
        <x:v>美元</x:v>
      </x:c>
      <x:c r="L56" s="32" t="str">
        <x:v>勞工退休基金-115年6月.pdf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3" t="n">
        <x:v>0.8184999999999999</x:v>
      </x:c>
      <x:c r="J57" s="43"/>
      <x:c r="K57" s="31" t="str">
        <x:v>美元</x:v>
      </x:c>
      <x:c r="L57" s="32" t="str">
        <x:v>勞工退休基金-115年6月.pdf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3" t="n">
        <x:v>0.7273000000000001</x:v>
      </x:c>
      <x:c r="J58" s="43"/>
      <x:c r="K58" s="31" t="str">
        <x:v>美元</x:v>
      </x:c>
      <x:c r="L58" s="32" t="str">
        <x:v>勞工退休基金-115年6月.pdf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3" t="n">
        <x:v>0.7391</x:v>
      </x:c>
      <x:c r="J59" s="43"/>
      <x:c r="K59" s="31" t="str">
        <x:v>美元</x:v>
      </x:c>
      <x:c r="L59" s="32" t="str">
        <x:v>勞工退休基金-115年6月.pdf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3" t="n">
        <x:v>0.7005</x:v>
      </x:c>
      <x:c r="J60" s="43"/>
      <x:c r="K60" s="31" t="str">
        <x:v>美元</x:v>
      </x:c>
      <x:c r="L60" s="32" t="str">
        <x:v>勞工退休基金-115年6月.pdf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3" t="n">
        <x:v>0.8192</x:v>
      </x:c>
      <x:c r="J61" s="43"/>
      <x:c r="K61" s="31" t="str">
        <x:v>美元</x:v>
      </x:c>
      <x:c r="L61" s="32" t="str">
        <x:v>勞工退休基金-115年6月.pdf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3" t="n">
        <x:v>0.20929999999999999</x:v>
      </x:c>
      <x:c r="J62" s="43"/>
      <x:c r="K62" s="31" t="str">
        <x:v>美元</x:v>
      </x:c>
      <x:c r="L62" s="32" t="str">
        <x:v>勞工退休基金-115年6月.pdf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3" t="n">
        <x:v>0.19640000000000002</x:v>
      </x:c>
      <x:c r="J63" s="43"/>
      <x:c r="K63" s="31" t="str">
        <x:v>美元</x:v>
      </x:c>
      <x:c r="L63" s="32" t="str">
        <x:v>勞工退休基金-115年6月.pdf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3" t="n">
        <x:v>0.2073</x:v>
      </x:c>
      <x:c r="J64" s="43"/>
      <x:c r="K64" s="31" t="str">
        <x:v>美元</x:v>
      </x:c>
      <x:c r="L64" s="32" t="str">
        <x:v>勞工退休基金-115年6月.pdf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3" t="n">
        <x:v>0.21350000000000002</x:v>
      </x:c>
      <x:c r="J65" s="43"/>
      <x:c r="K65" s="31" t="str">
        <x:v>美元</x:v>
      </x:c>
      <x:c r="L65" s="32" t="str">
        <x:v>勞工退休基金-115年6月.pdf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3" t="n">
        <x:v>0.126</x:v>
      </x:c>
      <x:c r="J66" s="43"/>
      <x:c r="K66" s="31" t="str">
        <x:v>美元</x:v>
      </x:c>
      <x:c r="L66" s="32" t="str">
        <x:v>勞工退休基金-115年6月.pdf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3" t="n">
        <x:v>0.177</x:v>
      </x:c>
      <x:c r="J67" s="43"/>
      <x:c r="K67" s="31" t="str">
        <x:v>美元</x:v>
      </x:c>
      <x:c r="L67" s="32" t="str">
        <x:v>勞工退休基金-115年6月.pdf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3" t="n">
        <x:v>0.38880000000000003</x:v>
      </x:c>
      <x:c r="J68" s="43" t="n">
        <x:v>0.4351</x:v>
      </x:c>
      <x:c r="K68" s="31" t="str">
        <x:v>美元</x:v>
      </x:c>
      <x:c r="L68" s="32" t="str">
        <x:v>勞工退休基金-115年6月.pdf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3" t="n">
        <x:v>0.433</x:v>
      </x:c>
      <x:c r="J69" s="43" t="n">
        <x:v>0.4351</x:v>
      </x:c>
      <x:c r="K69" s="31" t="str">
        <x:v>美元</x:v>
      </x:c>
      <x:c r="L69" s="32" t="str">
        <x:v>勞工退休基金-115年6月.pdf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3" t="n">
        <x:v>0.44060000000000005</x:v>
      </x:c>
      <x:c r="J70" s="43" t="n">
        <x:v>0.4351</x:v>
      </x:c>
      <x:c r="K70" s="31" t="str">
        <x:v>美元</x:v>
      </x:c>
      <x:c r="L70" s="32" t="str">
        <x:v>勞工退休基金-115年6月.pdf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3" t="n">
        <x:v>0.4384</x:v>
      </x:c>
      <x:c r="J71" s="43" t="n">
        <x:v>0.4351</x:v>
      </x:c>
      <x:c r="K71" s="31" t="str">
        <x:v>美元</x:v>
      </x:c>
      <x:c r="L71" s="32" t="str">
        <x:v>勞工退休基金-115年6月.pdf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3" t="n">
        <x:v>0.15439999999999998</x:v>
      </x:c>
      <x:c r="J72" s="43" t="n">
        <x:v>0.1201</x:v>
      </x:c>
      <x:c r="K72" s="31" t="str">
        <x:v>美元</x:v>
      </x:c>
      <x:c r="L72" s="32" t="str">
        <x:v>勞工退休基金-115年6月.pdf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3" t="n">
        <x:v>0.1727</x:v>
      </x:c>
      <x:c r="J73" s="43" t="n">
        <x:v>0.1201</x:v>
      </x:c>
      <x:c r="K73" s="31" t="str">
        <x:v>美元</x:v>
      </x:c>
      <x:c r="L73" s="32" t="str">
        <x:v>勞工退休基金-115年6月.pdf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3" t="n">
        <x:v>0.1631</x:v>
      </x:c>
      <x:c r="J74" s="43" t="n">
        <x:v>0.1201</x:v>
      </x:c>
      <x:c r="K74" s="31" t="str">
        <x:v>美元</x:v>
      </x:c>
      <x:c r="L74" s="32" t="str">
        <x:v>勞工退休基金-115年6月.pdf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3" t="n">
        <x:v>0.15960000000000002</x:v>
      </x:c>
      <x:c r="J75" s="43" t="n">
        <x:v>0.1201</x:v>
      </x:c>
      <x:c r="K75" s="31" t="str">
        <x:v>美元</x:v>
      </x:c>
      <x:c r="L75" s="32" t="str">
        <x:v>勞工退休基金-115年6月.pdf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3" t="n">
        <x:v>0.1117</x:v>
      </x:c>
      <x:c r="J76" s="43" t="n">
        <x:v>0.1043</x:v>
      </x:c>
      <x:c r="K76" s="31" t="str">
        <x:v>美元</x:v>
      </x:c>
      <x:c r="L76" s="32" t="str">
        <x:v>勞工退休基金-115年6月.pdf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3" t="n">
        <x:v>0.1032</x:v>
      </x:c>
      <x:c r="J77" s="43" t="n">
        <x:v>0.1043</x:v>
      </x:c>
      <x:c r="K77" s="31" t="str">
        <x:v>美元</x:v>
      </x:c>
      <x:c r="L77" s="32" t="str">
        <x:v>勞工退休基金-115年6月.pdf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3" t="n">
        <x:v>0.1047</x:v>
      </x:c>
      <x:c r="J78" s="43" t="n">
        <x:v>0.1043</x:v>
      </x:c>
      <x:c r="K78" s="31" t="str">
        <x:v>美元</x:v>
      </x:c>
      <x:c r="L78" s="32" t="str">
        <x:v>勞工退休基金-115年6月.pdf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3" t="n">
        <x:v>0.1054</x:v>
      </x:c>
      <x:c r="J79" s="43" t="n">
        <x:v>0.1043</x:v>
      </x:c>
      <x:c r="K79" s="31" t="str">
        <x:v>美元</x:v>
      </x:c>
      <x:c r="L79" s="32" t="str">
        <x:v>勞工退休基金-115年6月.pdf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3" t="n">
        <x:v>0.3284</x:v>
      </x:c>
      <x:c r="J80" s="43" t="n">
        <x:v>0.2753</x:v>
      </x:c>
      <x:c r="K80" s="31" t="str">
        <x:v>美元</x:v>
      </x:c>
      <x:c r="L80" s="32" t="str">
        <x:v>勞工退休基金-115年6月.pdf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3" t="n">
        <x:v>-0.047599999999999996</x:v>
      </x:c>
      <x:c r="J81" s="43" t="n">
        <x:v>-0.07490000000000001</x:v>
      </x:c>
      <x:c r="K81" s="31" t="str">
        <x:v>美元</x:v>
      </x:c>
      <x:c r="L81" s="32" t="str">
        <x:v>勞工退休基金-115年6月.pdf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3" t="n">
        <x:v>-0.07769999999999999</x:v>
      </x:c>
      <x:c r="J82" s="43" t="n">
        <x:v>-0.07490000000000001</x:v>
      </x:c>
      <x:c r="K82" s="31" t="str">
        <x:v>美元</x:v>
      </x:c>
      <x:c r="L82" s="32" t="str">
        <x:v>勞工退休基金-115年6月.pdf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3" t="n">
        <x:v>0.8691</x:v>
      </x:c>
      <x:c r="J83" s="43" t="n">
        <x:v>0.6754000000000001</x:v>
      </x:c>
      <x:c r="K83" s="31" t="str">
        <x:v>美元</x:v>
      </x:c>
      <x:c r="L83" s="32" t="str">
        <x:v>勞工退休基金-115年6月.pdf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3" t="n">
        <x:v>0.9747</x:v>
      </x:c>
      <x:c r="J84" s="43"/>
      <x:c r="K84" s="31" t="str">
        <x:v>美元</x:v>
      </x:c>
      <x:c r="L84" s="32" t="str">
        <x:v>勞工退休基金-115年6月.pdf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3" t="n">
        <x:v>0.0151</x:v>
      </x:c>
      <x:c r="J85" s="43" t="n">
        <x:v>0.0174</x:v>
      </x:c>
      <x:c r="K85" s="31" t="str">
        <x:v>美元</x:v>
      </x:c>
      <x:c r="L85" s="32" t="str">
        <x:v>勞工退休基金-115年6月.pdf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3" t="n">
        <x:v>0.018000000000000002</x:v>
      </x:c>
      <x:c r="J86" s="43" t="n">
        <x:v>0.0174</x:v>
      </x:c>
      <x:c r="K86" s="31" t="str">
        <x:v>美元</x:v>
      </x:c>
      <x:c r="L86" s="32" t="str">
        <x:v>勞工退休基金-115年6月.pdf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瑞銀</x:v>
      </x:c>
      <x:c r="G87" s="40" t="n">
        <x:v>361201485</x:v>
      </x:c>
      <x:c r="H87" s="40" t="n">
        <x:v>367521178</x:v>
      </x:c>
      <x:c r="I87" s="43" t="n">
        <x:v>0.0175</x:v>
      </x:c>
      <x:c r="J87" s="43" t="n">
        <x:v>0.0174</x:v>
      </x:c>
      <x:c r="K87" s="31" t="str">
        <x:v>美元</x:v>
      </x:c>
      <x:c r="L87" s="32" t="str">
        <x:v>勞工退休基金-115年6月.pdf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3" t="n">
        <x:v>0.016</x:v>
      </x:c>
      <x:c r="J88" s="43" t="n">
        <x:v>0.0174</x:v>
      </x:c>
      <x:c r="K88" s="31" t="str">
        <x:v>美元</x:v>
      </x:c>
      <x:c r="L88" s="32" t="str">
        <x:v>勞工退休基金-115年6月.pdf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3" t="n">
        <x:v>0.34740000000000004</x:v>
      </x:c>
      <x:c r="J89" s="43" t="n">
        <x:v>0.3337</x:v>
      </x:c>
      <x:c r="K89" s="31" t="str">
        <x:v>美元</x:v>
      </x:c>
      <x:c r="L89" s="32" t="str">
        <x:v>勞工退休基金-115年6月.pdf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3" t="n">
        <x:v>0.17370000000000002</x:v>
      </x:c>
      <x:c r="J90" s="43" t="n">
        <x:v>0.5083</x:v>
      </x:c>
      <x:c r="K90" s="31" t="str">
        <x:v>美元</x:v>
      </x:c>
      <x:c r="L90" s="32" t="str">
        <x:v>勞工退休基金-115年6月.pdf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3" t="n">
        <x:v>0.5386</x:v>
      </x:c>
      <x:c r="J91" s="43" t="n">
        <x:v>0.5083</x:v>
      </x:c>
      <x:c r="K91" s="31" t="str">
        <x:v>美元</x:v>
      </x:c>
      <x:c r="L91" s="32" t="str">
        <x:v>勞工退休基金-115年6月.pdf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3" t="n">
        <x:v>0.5278</x:v>
      </x:c>
      <x:c r="J92" s="43" t="n">
        <x:v>0.5083</x:v>
      </x:c>
      <x:c r="K92" s="31" t="str">
        <x:v>美元</x:v>
      </x:c>
      <x:c r="L92" s="32" t="str">
        <x:v>勞工退休基金-115年6月.pdf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3" t="n">
        <x:v>0.4548</x:v>
      </x:c>
      <x:c r="J93" s="43" t="n">
        <x:v>0.4003</x:v>
      </x:c>
      <x:c r="K93" s="31" t="str">
        <x:v>美元</x:v>
      </x:c>
      <x:c r="L93" s="32" t="str">
        <x:v>勞工退休基金-115年6月.pdf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3" t="n">
        <x:v>0.13</x:v>
      </x:c>
      <x:c r="J94" s="43"/>
      <x:c r="K94" s="31" t="str">
        <x:v>美元</x:v>
      </x:c>
      <x:c r="L94" s="32" t="str">
        <x:v>勞工退休基金-115年6月.pdf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3" t="n">
        <x:v>-0.001</x:v>
      </x:c>
      <x:c r="J95" s="43"/>
      <x:c r="K95" s="31" t="str">
        <x:v>美元</x:v>
      </x:c>
      <x:c r="L95" s="32" t="str">
        <x:v>勞工退休基金-115年6月.pdf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3" t="n">
        <x:v>0.0049</x:v>
      </x:c>
      <x:c r="J96" s="43"/>
      <x:c r="K96" s="31" t="str">
        <x:v>美元</x:v>
      </x:c>
      <x:c r="L96" s="32" t="str">
        <x:v>勞工退休基金-115年6月.pdf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3" t="n">
        <x:v>0.0070999999999999995</x:v>
      </x:c>
      <x:c r="J97" s="43"/>
      <x:c r="K97" s="31" t="str">
        <x:v>美元</x:v>
      </x:c>
      <x:c r="L97" s="32" t="str">
        <x:v>勞工退休基金-115年6月.pdf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3" t="n">
        <x:v>0.9107999999999999</x:v>
      </x:c>
      <x:c r="J98" s="43" t="n">
        <x:v>0.914</x:v>
      </x:c>
      <x:c r="K98" s="31" t="str">
        <x:v>美元</x:v>
      </x:c>
      <x:c r="L98" s="32" t="str">
        <x:v>勞工退休基金-115年6月.pdf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3" t="n">
        <x:v>0.9586</x:v>
      </x:c>
      <x:c r="J99" s="43" t="n">
        <x:v>0.914</x:v>
      </x:c>
      <x:c r="K99" s="31" t="str">
        <x:v>美元</x:v>
      </x:c>
      <x:c r="L99" s="32" t="str">
        <x:v>勞工退休基金-115年6月.pdf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3" t="n">
        <x:v>0.9547</x:v>
      </x:c>
      <x:c r="J100" s="43" t="n">
        <x:v>0.914</x:v>
      </x:c>
      <x:c r="K100" s="31" t="str">
        <x:v>美元</x:v>
      </x:c>
      <x:c r="L100" s="32" t="str">
        <x:v>勞工退休基金-115年6月.pdf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3" t="n">
        <x:v>0.9358</x:v>
      </x:c>
      <x:c r="J101" s="43" t="n">
        <x:v>0.914</x:v>
      </x:c>
      <x:c r="K101" s="31" t="str">
        <x:v>美元</x:v>
      </x:c>
      <x:c r="L101" s="32" t="str">
        <x:v>勞工退休基金-115年6月.pdf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3" t="n">
        <x:v>0.2243</x:v>
      </x:c>
      <x:c r="J102" s="43"/>
      <x:c r="K102" s="31" t="str">
        <x:v>美元</x:v>
      </x:c>
      <x:c r="L102" s="32" t="str">
        <x:v>勞工退休基金-115年6月.pdf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3" t="n">
        <x:v>0.2789</x:v>
      </x:c>
      <x:c r="J103" s="43"/>
      <x:c r="K103" s="31" t="str">
        <x:v>美元</x:v>
      </x:c>
      <x:c r="L103" s="32" t="str">
        <x:v>勞工退休基金-115年6月.pdf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3" t="n">
        <x:v>0.247</x:v>
      </x:c>
      <x:c r="J104" s="43"/>
      <x:c r="K104" s="31" t="str">
        <x:v>美元</x:v>
      </x:c>
      <x:c r="L104" s="32" t="str">
        <x:v>勞工退休基金-115年6月.pdf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3" t="n">
        <x:v>0.6017</x:v>
      </x:c>
      <x:c r="J105" s="43"/>
      <x:c r="K105" s="31" t="str">
        <x:v>美元</x:v>
      </x:c>
      <x:c r="L105" s="32" t="str">
        <x:v>勞工退休基金-115年6月.pdf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3" t="n">
        <x:v>0.3539</x:v>
      </x:c>
      <x:c r="J106" s="43"/>
      <x:c r="K106" s="31" t="str">
        <x:v>美元</x:v>
      </x:c>
      <x:c r="L106" s="32" t="str">
        <x:v>勞工退休基金-115年6月.pdf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3" t="n">
        <x:v>0.4579</x:v>
      </x:c>
      <x:c r="J107" s="43"/>
      <x:c r="K107" s="31" t="str">
        <x:v>美元</x:v>
      </x:c>
      <x:c r="L107" s="32" t="str">
        <x:v>勞工退休基金-115年6月.pdf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3" t="n">
        <x:v>0.3895</x:v>
      </x:c>
      <x:c r="J108" s="43" t="n">
        <x:v>0.39909999999999995</x:v>
      </x:c>
      <x:c r="K108" s="31" t="str">
        <x:v>美元</x:v>
      </x:c>
      <x:c r="L108" s="32" t="str">
        <x:v>勞工退休基金-115年6月.pdf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3" t="n">
        <x:v>0.5423</x:v>
      </x:c>
      <x:c r="J109" s="43" t="n">
        <x:v>0.39909999999999995</x:v>
      </x:c>
      <x:c r="K109" s="31" t="str">
        <x:v>美元</x:v>
      </x:c>
      <x:c r="L109" s="32" t="str">
        <x:v>勞工退休基金-115年6月.pdf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3" t="n">
        <x:v>0.38189999999999996</x:v>
      </x:c>
      <x:c r="J110" s="43" t="n">
        <x:v>0.39909999999999995</x:v>
      </x:c>
      <x:c r="K110" s="31" t="str">
        <x:v>美元</x:v>
      </x:c>
      <x:c r="L110" s="32" t="str">
        <x:v>勞工退休基金-115年6月.pdf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3" t="n">
        <x:v>0.40380000000000005</x:v>
      </x:c>
      <x:c r="J111" s="43" t="n">
        <x:v>0.39909999999999995</x:v>
      </x:c>
      <x:c r="K111" s="31" t="str">
        <x:v>美元</x:v>
      </x:c>
      <x:c r="L111" s="32" t="str">
        <x:v>勞工退休基金-115年6月.pdf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3" t="n">
        <x:v>0.2121</x:v>
      </x:c>
      <x:c r="J112" s="43" t="n">
        <x:v>0.6374</x:v>
      </x:c>
      <x:c r="K112" s="31" t="str">
        <x:v>美元</x:v>
      </x:c>
      <x:c r="L112" s="32" t="str">
        <x:v>勞工保險基金-115年6月.pdf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3" t="n">
        <x:v>0.3655</x:v>
      </x:c>
      <x:c r="J113" s="43" t="n">
        <x:v>0.36829999999999996</x:v>
      </x:c>
      <x:c r="K113" s="31" t="str">
        <x:v>美元</x:v>
      </x:c>
      <x:c r="L113" s="32" t="str">
        <x:v>勞工保險基金-115年6月.pdf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3" t="n">
        <x:v>0.0716</x:v>
      </x:c>
      <x:c r="J114" s="43" t="n">
        <x:v>0.0633</x:v>
      </x:c>
      <x:c r="K114" s="31" t="str">
        <x:v>美元</x:v>
      </x:c>
      <x:c r="L114" s="32" t="str">
        <x:v>勞工保險基金-115年6月.pdf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3" t="n">
        <x:v>0.0672</x:v>
      </x:c>
      <x:c r="J115" s="43" t="n">
        <x:v>0.0633</x:v>
      </x:c>
      <x:c r="K115" s="31" t="str">
        <x:v>美元</x:v>
      </x:c>
      <x:c r="L115" s="32" t="str">
        <x:v>勞工保險基金-115年6月.pdf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3" t="n">
        <x:v>0.2119</x:v>
      </x:c>
      <x:c r="J116" s="43" t="n">
        <x:v>0.21989999999999998</x:v>
      </x:c>
      <x:c r="K116" s="31" t="str">
        <x:v>美元</x:v>
      </x:c>
      <x:c r="L116" s="32" t="str">
        <x:v>勞工保險基金-115年6月.pdf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3" t="n">
        <x:v>0.2057</x:v>
      </x:c>
      <x:c r="J117" s="43" t="n">
        <x:v>0.21989999999999998</x:v>
      </x:c>
      <x:c r="K117" s="31" t="str">
        <x:v>美元</x:v>
      </x:c>
      <x:c r="L117" s="32" t="str">
        <x:v>勞工保險基金-115年6月.pdf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3" t="n">
        <x:v>0.20929999999999999</x:v>
      </x:c>
      <x:c r="J118" s="43" t="n">
        <x:v>0.21989999999999998</x:v>
      </x:c>
      <x:c r="K118" s="31" t="str">
        <x:v>美元</x:v>
      </x:c>
      <x:c r="L118" s="32" t="str">
        <x:v>勞工保險基金-115年6月.pdf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3" t="n">
        <x:v>0.11720000000000001</x:v>
      </x:c>
      <x:c r="J119" s="43" t="n">
        <x:v>0.1247</x:v>
      </x:c>
      <x:c r="K119" s="31" t="str">
        <x:v>美元</x:v>
      </x:c>
      <x:c r="L119" s="32" t="str">
        <x:v>勞工保險基金-115年6月.pdf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3" t="n">
        <x:v>0.1374</x:v>
      </x:c>
      <x:c r="J120" s="43" t="n">
        <x:v>0.1247</x:v>
      </x:c>
      <x:c r="K120" s="31" t="str">
        <x:v>美元</x:v>
      </x:c>
      <x:c r="L120" s="32" t="str">
        <x:v>勞工保險基金-115年6月.pdf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3" t="n">
        <x:v>0.1007</x:v>
      </x:c>
      <x:c r="J121" s="43" t="n">
        <x:v>0.1247</x:v>
      </x:c>
      <x:c r="K121" s="31" t="str">
        <x:v>美元</x:v>
      </x:c>
      <x:c r="L121" s="32" t="str">
        <x:v>勞工保險基金-115年6月.pdf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3" t="n">
        <x:v>0.1392</x:v>
      </x:c>
      <x:c r="J122" s="43" t="n">
        <x:v>0.1307</x:v>
      </x:c>
      <x:c r="K122" s="31" t="str">
        <x:v>美元</x:v>
      </x:c>
      <x:c r="L122" s="32" t="str">
        <x:v>勞工保險基金-115年6月.pdf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信安環球</x:v>
      </x:c>
      <x:c r="G123" s="40" t="n">
        <x:v>425091462</x:v>
      </x:c>
      <x:c r="H123" s="40" t="n">
        <x:v>478192278</x:v>
      </x:c>
      <x:c r="I123" s="43" t="n">
        <x:v>0.1249</x:v>
      </x:c>
      <x:c r="J123" s="43" t="n">
        <x:v>0.1307</x:v>
      </x:c>
      <x:c r="K123" s="31" t="str">
        <x:v>美元</x:v>
      </x:c>
      <x:c r="L123" s="32" t="str">
        <x:v>勞工保險基金-115年6月.pdf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3" t="n">
        <x:v>0.0058</x:v>
      </x:c>
      <x:c r="J124" s="43"/>
      <x:c r="K124" s="31" t="str">
        <x:v>美元</x:v>
      </x:c>
      <x:c r="L124" s="32" t="str">
        <x:v>勞工保險基金-115年6月.pdf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3" t="n">
        <x:v>0.008</x:v>
      </x:c>
      <x:c r="J125" s="43"/>
      <x:c r="K125" s="31" t="str">
        <x:v>美元</x:v>
      </x:c>
      <x:c r="L125" s="32" t="str">
        <x:v>勞工保險基金-115年6月.pdf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3" t="n">
        <x:v>0.755</x:v>
      </x:c>
      <x:c r="J126" s="43" t="n">
        <x:v>0.6866</x:v>
      </x:c>
      <x:c r="K126" s="31" t="str">
        <x:v>美元</x:v>
      </x:c>
      <x:c r="L126" s="32" t="str">
        <x:v>勞工保險基金-115年6月.pdf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3" t="n">
        <x:v>0.2249</x:v>
      </x:c>
      <x:c r="J127" s="43"/>
      <x:c r="K127" s="31" t="str">
        <x:v>美元</x:v>
      </x:c>
      <x:c r="L127" s="32" t="str">
        <x:v>勞工保險基金-115年6月.pdf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3" t="n">
        <x:v>0.2776</x:v>
      </x:c>
      <x:c r="J128" s="43"/>
      <x:c r="K128" s="31" t="str">
        <x:v>美元</x:v>
      </x:c>
      <x:c r="L128" s="32" t="str">
        <x:v>勞工保險基金-115年6月.pdf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3" t="n">
        <x:v>0.24670000000000003</x:v>
      </x:c>
      <x:c r="J129" s="43"/>
      <x:c r="K129" s="31" t="str">
        <x:v>美元</x:v>
      </x:c>
      <x:c r="L129" s="32" t="str">
        <x:v>勞工保險基金-115年6月.pdf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3" t="n">
        <x:v>0.2122</x:v>
      </x:c>
      <x:c r="J130" s="43" t="n">
        <x:v>0.21989999999999998</x:v>
      </x:c>
      <x:c r="K130" s="31" t="str">
        <x:v>美元</x:v>
      </x:c>
      <x:c r="L130" s="32" t="str">
        <x:v>國民年金保險基金-115年6月.pdf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3" t="n">
        <x:v>0.2054</x:v>
      </x:c>
      <x:c r="J131" s="43" t="n">
        <x:v>0.21989999999999998</x:v>
      </x:c>
      <x:c r="K131" s="31" t="str">
        <x:v>美元</x:v>
      </x:c>
      <x:c r="L131" s="32" t="str">
        <x:v>國民年金保險基金-115年6月.pdf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3" t="n">
        <x:v>0.1391</x:v>
      </x:c>
      <x:c r="J132" s="43" t="n">
        <x:v>0.1307</x:v>
      </x:c>
      <x:c r="K132" s="31" t="str">
        <x:v>美元</x:v>
      </x:c>
      <x:c r="L132" s="32" t="str">
        <x:v>國民年金保險基金-115年6月.pdf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3" t="n">
        <x:v>-0.0134</x:v>
      </x:c>
      <x:c r="J133" s="43" t="n">
        <x:v>-0.0173</x:v>
      </x:c>
      <x:c r="K133" s="31" t="str">
        <x:v>美元</x:v>
      </x:c>
      <x:c r="L133" s="32" t="str">
        <x:v>國民年金保險基金-115年6月.pdf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3" t="n">
        <x:v>0.7531</x:v>
      </x:c>
      <x:c r="J134" s="43" t="n">
        <x:v>0.6866</x:v>
      </x:c>
      <x:c r="K134" s="31" t="str">
        <x:v>美元</x:v>
      </x:c>
      <x:c r="L134" s="32" t="str">
        <x:v>國民年金保險基金-115年6月.pdf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3" t="n">
        <x:v>0.9148000000000001</x:v>
      </x:c>
      <x:c r="J135" s="43" t="n">
        <x:v>0.914</x:v>
      </x:c>
      <x:c r="K135" s="31" t="str">
        <x:v>美元</x:v>
      </x:c>
      <x:c r="L135" s="32" t="str">
        <x:v>國民年金保險基金-115年6月.pdf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3" t="n">
        <x:v>0.9578</x:v>
      </x:c>
      <x:c r="J136" s="43" t="n">
        <x:v>0.914</x:v>
      </x:c>
      <x:c r="K136" s="31" t="str">
        <x:v>美元</x:v>
      </x:c>
      <x:c r="L136" s="32" t="str">
        <x:v>國民年金保險基金-115年6月.pdf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3" t="n">
        <x:v>0.9549</x:v>
      </x:c>
      <x:c r="J137" s="43" t="n">
        <x:v>0.914</x:v>
      </x:c>
      <x:c r="K137" s="31" t="str">
        <x:v>美元</x:v>
      </x:c>
      <x:c r="L137" s="32" t="str">
        <x:v>國民年金保險基金-115年6月.pdf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3" t="n">
        <x:v>0.9399</x:v>
      </x:c>
      <x:c r="J138" s="43" t="n">
        <x:v>0.914</x:v>
      </x:c>
      <x:c r="K138" s="31" t="str">
        <x:v>美元</x:v>
      </x:c>
      <x:c r="L138" s="32" t="str">
        <x:v>國民年金保險基金-115年6月.pdf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3" t="n">
        <x:v>0.22469999999999998</x:v>
      </x:c>
      <x:c r="J139" s="43"/>
      <x:c r="K139" s="31" t="str">
        <x:v>美元</x:v>
      </x:c>
      <x:c r="L139" s="32" t="str">
        <x:v>國民年金保險基金-115年6月.pdf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3" t="n">
        <x:v>0.2867</x:v>
      </x:c>
      <x:c r="J140" s="43"/>
      <x:c r="K140" s="31" t="str">
        <x:v>美元</x:v>
      </x:c>
      <x:c r="L140" s="32" t="str">
        <x:v>國民年金保險基金-115年6月.pdf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3" t="n">
        <x:v>0.2432</x:v>
      </x:c>
      <x:c r="J141" s="43"/>
      <x:c r="K141" s="31" t="str">
        <x:v>美元</x:v>
      </x:c>
      <x:c r="L141" s="32" t="str">
        <x:v>國民年金保險基金-115年6月.pdf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3" t="n">
        <x:v>0.6015999999999999</x:v>
      </x:c>
      <x:c r="J142" s="43"/>
      <x:c r="K142" s="31" t="str">
        <x:v>美元</x:v>
      </x:c>
      <x:c r="L142" s="32" t="str">
        <x:v>國民年金保險基金-115年6月.pdf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3" t="n">
        <x:v>0.3544</x:v>
      </x:c>
      <x:c r="J143" s="43"/>
      <x:c r="K143" s="31" t="str">
        <x:v>美元</x:v>
      </x:c>
      <x:c r="L143" s="32" t="str">
        <x:v>國民年金保險基金-115年6月.pdf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3" t="n">
        <x:v>0.4575</x:v>
      </x:c>
      <x:c r="J144" s="43"/>
      <x:c r="K144" s="31" t="str">
        <x:v>美元</x:v>
      </x:c>
      <x:c r="L144" s="32" t="str">
        <x:v>國民年金保險基金-115年6月.pdf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3" t="n">
        <x:v>0.4728</x:v>
      </x:c>
      <x:c r="J145" s="43"/>
      <x:c r="K145" s="31" t="str">
        <x:v>美元</x:v>
      </x:c>
      <x:c r="L145" s="32" t="str">
        <x:v>國民年金保險基金-115年6月.pdf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3" t="n">
        <x:v>-0.009399999999999999</x:v>
      </x:c>
      <x:c r="J146" s="43" t="n">
        <x:v>-0.0070999999999999995</x:v>
      </x:c>
      <x:c r="K146" s="31" t="str">
        <x:v>美元</x:v>
      </x:c>
      <x:c r="L146" s="32" t="str">
        <x:v>國民年金保險基金-115年6月.pdf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3" t="n">
        <x:v>-0.0077</x:v>
      </x:c>
      <x:c r="J147" s="43" t="n">
        <x:v>-0.0070999999999999995</x:v>
      </x:c>
      <x:c r="K147" s="31" t="str">
        <x:v>美元</x:v>
      </x:c>
      <x:c r="L147" s="32" t="str">
        <x:v>國民年金保險基金-115年6月.pdf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3" t="n">
        <x:v>-0.0089</x:v>
      </x:c>
      <x:c r="J148" s="43" t="n">
        <x:v>-0.0070999999999999995</x:v>
      </x:c>
      <x:c r="K148" s="31" t="str">
        <x:v>美元</x:v>
      </x:c>
      <x:c r="L148" s="32" t="str">
        <x:v>國民年金保險基金-115年6月.pdf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3" t="n">
        <x:v>0.2807</x:v>
      </x:c>
      <x:c r="J149" s="43"/>
      <x:c r="K149" s="31" t="str">
        <x:v>美元</x:v>
      </x:c>
      <x:c r="L149" s="32" t="str">
        <x:v>國民年金保險基金-115年6月.pdf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3" t="n">
        <x:v>0.21559999999999999</x:v>
      </x:c>
      <x:c r="J150" s="43"/>
      <x:c r="K150" s="31" t="str">
        <x:v>美元</x:v>
      </x:c>
      <x:c r="L150" s="32" t="str">
        <x:v>國民年金保險基金-115年6月.pdf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3" t="n">
        <x:v>0.22719999999999999</x:v>
      </x:c>
      <x:c r="J151" s="43"/>
      <x:c r="K151" s="31" t="str">
        <x:v>美元</x:v>
      </x:c>
      <x:c r="L151" s="32" t="str">
        <x:v>國民年金保險基金-115年6月.pdf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3" t="n">
        <x:v>0.3414</x:v>
      </x:c>
      <x:c r="J152" s="43"/>
      <x:c r="K152" s="31" t="str">
        <x:v>美元</x:v>
      </x:c>
      <x:c r="L152" s="32" t="str">
        <x:v>國民年金保險基金-115年6月.pdf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3" t="n">
        <x:v>0.2609</x:v>
      </x:c>
      <x:c r="J153" s="43"/>
      <x:c r="K153" s="31" t="str">
        <x:v>美元</x:v>
      </x:c>
      <x:c r="L153" s="32" t="str">
        <x:v>國民年金保險基金-115年6月.pdf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3" t="n">
        <x:v>0.8256</x:v>
      </x:c>
      <x:c r="J154" s="43" t="n">
        <x:v>0.7315</x:v>
      </x:c>
      <x:c r="K154" s="31" t="str">
        <x:v>美元</x:v>
      </x:c>
      <x:c r="L154" s="32" t="str">
        <x:v>國民年金保險基金-115年6月.pdf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3" t="n">
        <x:v>0.7273999999999999</x:v>
      </x:c>
      <x:c r="J155" s="43" t="n">
        <x:v>0.7315</x:v>
      </x:c>
      <x:c r="K155" s="31" t="str">
        <x:v>美元</x:v>
      </x:c>
      <x:c r="L155" s="32" t="str">
        <x:v>國民年金保險基金-115年6月.pdf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3" t="n">
        <x:v>0.7509999999999999</x:v>
      </x:c>
      <x:c r="J156" s="43" t="n">
        <x:v>0.7315</x:v>
      </x:c>
      <x:c r="K156" s="31" t="str">
        <x:v>美元</x:v>
      </x:c>
      <x:c r="L156" s="32" t="str">
        <x:v>國民年金保險基金-115年6月.pdf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3" t="n">
        <x:v>0.7115</x:v>
      </x:c>
      <x:c r="J157" s="43" t="n">
        <x:v>0.7315</x:v>
      </x:c>
      <x:c r="K157" s="31" t="str">
        <x:v>美元</x:v>
      </x:c>
      <x:c r="L157" s="32" t="str">
        <x:v>國民年金保險基金-115年6月.pdf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3" t="n">
        <x:v>0.8206</x:v>
      </x:c>
      <x:c r="J158" s="43" t="n">
        <x:v>0.7315</x:v>
      </x:c>
      <x:c r="K158" s="31" t="str">
        <x:v>美元</x:v>
      </x:c>
      <x:c r="L158" s="32" t="str">
        <x:v>國民年金保險基金-115年6月.pdf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3" t="n">
        <x:v>0.39659999999999995</x:v>
      </x:c>
      <x:c r="J159" s="43" t="n">
        <x:v>0.4351</x:v>
      </x:c>
      <x:c r="K159" s="31" t="str">
        <x:v>美元</x:v>
      </x:c>
      <x:c r="L159" s="32" t="str">
        <x:v>國民年金保險基金-115年6月.pdf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3" t="n">
        <x:v>0.4346</x:v>
      </x:c>
      <x:c r="J160" s="43" t="n">
        <x:v>0.4351</x:v>
      </x:c>
      <x:c r="K160" s="31" t="str">
        <x:v>美元</x:v>
      </x:c>
      <x:c r="L160" s="32" t="str">
        <x:v>國民年金保險基金-115年6月.pdf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3" t="n">
        <x:v>0.44329999999999997</x:v>
      </x:c>
      <x:c r="J161" s="43" t="n">
        <x:v>0.4351</x:v>
      </x:c>
      <x:c r="K161" s="31" t="str">
        <x:v>美元</x:v>
      </x:c>
      <x:c r="L161" s="32" t="str">
        <x:v>國民年金保險基金-115年6月.pdf</x:v>
      </x:c>
    </x:row>
    <x:row r="162">
      <x:c r="A162" s="38" t="n">
        <x:v>46204</x:v>
      </x:c>
      <x:c r="B162" s="34" t="str">
        <x:v>115年7月</x:v>
      </x:c>
      <x:c r="C162" s="34" t="str">
        <x:v>國民年金</x:v>
      </x:c>
      <x:c r="D162" s="34" t="str">
        <x:v>國外</x:v>
      </x:c>
      <x:c r="E162" s="34" t="str">
        <x:v>112-1全球被動股票型</x:v>
      </x:c>
      <x:c r="F162" s="34" t="str">
        <x:v>北美信託</x:v>
      </x:c>
      <x:c r="G162" s="41" t="n">
        <x:v>100000000</x:v>
      </x:c>
      <x:c r="H162" s="41" t="n">
        <x:v>136973911</x:v>
      </x:c>
      <x:c r="I162" s="44" t="n">
        <x:v>0.4372</x:v>
      </x:c>
      <x:c r="J162" s="44" t="n">
        <x:v>0.4351</x:v>
      </x:c>
      <x:c r="K162" s="34" t="str">
        <x:v>美元</x:v>
      </x:c>
      <x:c r="L162" s="35" t="str">
        <x:v>國民年金保險基金-115年6月.pdf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d8486db39e2d409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SUMIFS('國內委外明細'!$G$4:$G$112,'國內委外明細'!$A$4:$A$112,A4,'國內委外明細'!$C$4:$C$112,C4,'國內委外明細'!$E$4:$E$112,E4)</x:f>
        <x:v>53037175831</x:v>
      </x:c>
      <x:c r="G4" s="39" t="n">
        <x:f>SUMIFS('國內委外明細'!$H$4:$H$112,'國內委外明細'!$A$4:$A$112,A4,'國內委外明細'!$C$4:$C$112,C4,'國內委外明細'!$E$4:$E$112,E4)</x:f>
        <x:v>103171495458</x:v>
      </x:c>
      <x:c r="H4" s="42" t="n">
        <x:f>IFERROR(G4/F4-1,0)</x:f>
        <x:v>0.9452675192727118</x:v>
      </x:c>
      <x:c r="I4" s="42" t="e">
        <x:f>AVERAGEIFS('國內委外明細'!$J$4:$J$112,'國內委外明細'!$A$4:$A$112,A4,'國內委外明細'!$C$4:$C$112,C4,'國內委外明細'!$E$4:$E$112,E4)</x:f>
        <x:v>e.reduce is not a function</x:v>
      </x:c>
      <x:c r="J4" s="28" t="str">
        <x:v>新臺幣元</x:v>
      </x:c>
      <x:c r="K4" s="29" t="str">
        <x:v>勞工退休基金-115年6月.pdf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SUMIFS('國內委外明細'!$G$4:$G$112,'國內委外明細'!$A$4:$A$112,A5,'國內委外明細'!$C$4:$C$112,C5,'國內委外明細'!$E$4:$E$112,E5)</x:f>
        <x:v>6829066771</x:v>
      </x:c>
      <x:c r="G5" s="40" t="n">
        <x:f>SUMIFS('國內委外明細'!$H$4:$H$112,'國內委外明細'!$A$4:$A$112,A5,'國內委外明細'!$C$4:$C$112,C5,'國內委外明細'!$E$4:$E$112,E5)</x:f>
        <x:v>23175252518</x:v>
      </x:c>
      <x:c r="H5" s="43" t="n">
        <x:f>IFERROR(G5/F5-1,0)</x:f>
        <x:v>2.39361925943014</x:v>
      </x:c>
      <x:c r="I5" s="43" t="e">
        <x:f>AVERAGEIFS('國內委外明細'!$J$4:$J$112,'國內委外明細'!$A$4:$A$112,A5,'國內委外明細'!$C$4:$C$112,C5,'國內委外明細'!$E$4:$E$112,E5)</x:f>
        <x:v>e.reduce is not a function</x:v>
      </x:c>
      <x:c r="J5" s="31" t="str">
        <x:v>新臺幣元</x:v>
      </x:c>
      <x:c r="K5" s="32" t="str">
        <x:v>勞工退休基金-115年6月.pdf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SUMIFS('國內委外明細'!$G$4:$G$112,'國內委外明細'!$A$4:$A$112,A6,'國內委外明細'!$C$4:$C$112,C6,'國內委外明細'!$E$4:$E$112,E6)</x:f>
        <x:v>32885766711</x:v>
      </x:c>
      <x:c r="G6" s="40" t="n">
        <x:f>SUMIFS('國內委外明細'!$H$4:$H$112,'國內委外明細'!$A$4:$A$112,A6,'國內委外明細'!$C$4:$C$112,C6,'國內委外明細'!$E$4:$E$112,E6)</x:f>
        <x:v>70889865371</x:v>
      </x:c>
      <x:c r="H6" s="43" t="n">
        <x:f>IFERROR(G6/F6-1,0)</x:f>
        <x:v>1.1556397329574186</x:v>
      </x:c>
      <x:c r="I6" s="43" t="e">
        <x:f>AVERAGEIFS('國內委外明細'!$J$4:$J$112,'國內委外明細'!$A$4:$A$112,A6,'國內委外明細'!$C$4:$C$112,C6,'國內委外明細'!$E$4:$E$112,E6)</x:f>
        <x:v>e.reduce is not a function</x:v>
      </x:c>
      <x:c r="J6" s="31" t="str">
        <x:v>新臺幣元</x:v>
      </x:c>
      <x:c r="K6" s="32" t="str">
        <x:v>勞工退休基金-115年6月.pdf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SUMIFS('國內委外明細'!$G$4:$G$112,'國內委外明細'!$A$4:$A$112,A7,'國內委外明細'!$C$4:$C$112,C7,'國內委外明細'!$E$4:$E$112,E7)</x:f>
        <x:v>10445113310</x:v>
      </x:c>
      <x:c r="G7" s="40" t="n">
        <x:f>SUMIFS('國內委外明細'!$H$4:$H$112,'國內委外明細'!$A$4:$A$112,A7,'國內委外明細'!$C$4:$C$112,C7,'國內委外明細'!$E$4:$E$112,E7)</x:f>
        <x:v>26081939969</x:v>
      </x:c>
      <x:c r="H7" s="43" t="n">
        <x:f>IFERROR(G7/F7-1,0)</x:f>
        <x:v>1.4970471066148732</x:v>
      </x:c>
      <x:c r="I7" s="43" t="e">
        <x:f>AVERAGEIFS('國內委外明細'!$J$4:$J$112,'國內委外明細'!$A$4:$A$112,A7,'國內委外明細'!$C$4:$C$112,C7,'國內委外明細'!$E$4:$E$112,E7)</x:f>
        <x:v>e.reduce is not a function</x:v>
      </x:c>
      <x:c r="J7" s="31" t="str">
        <x:v>新臺幣元</x:v>
      </x:c>
      <x:c r="K7" s="32" t="str">
        <x:v>勞工退休基金-115年6月.pdf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SUMIFS('國內委外明細'!$G$4:$G$112,'國內委外明細'!$A$4:$A$112,A8,'國內委外明細'!$C$4:$C$112,C8,'國內委外明細'!$E$4:$E$112,E8)</x:f>
        <x:v>29101525086</x:v>
      </x:c>
      <x:c r="G8" s="40" t="n">
        <x:f>SUMIFS('國內委外明細'!$H$4:$H$112,'國內委外明細'!$A$4:$A$112,A8,'國內委外明細'!$C$4:$C$112,C8,'國內委外明細'!$E$4:$E$112,E8)</x:f>
        <x:v>79596508766</x:v>
      </x:c>
      <x:c r="H8" s="43" t="n">
        <x:f>IFERROR(G8/F8-1,0)</x:f>
        <x:v>1.7351318712946715</x:v>
      </x:c>
      <x:c r="I8" s="43" t="e">
        <x:f>AVERAGEIFS('國內委外明細'!$J$4:$J$112,'國內委外明細'!$A$4:$A$112,A8,'國內委外明細'!$C$4:$C$112,C8,'國內委外明細'!$E$4:$E$112,E8)</x:f>
        <x:v>e.reduce is not a function</x:v>
      </x:c>
      <x:c r="J8" s="31" t="str">
        <x:v>新臺幣元</x:v>
      </x:c>
      <x:c r="K8" s="32" t="str">
        <x:v>勞工退休基金-115年6月.pdf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SUMIFS('國內委外明細'!$G$4:$G$112,'國內委外明細'!$A$4:$A$112,A9,'國內委外明細'!$C$4:$C$112,C9,'國內委外明細'!$E$4:$E$112,E9)</x:f>
        <x:v>36111506461</x:v>
      </x:c>
      <x:c r="G9" s="40" t="n">
        <x:f>SUMIFS('國內委外明細'!$H$4:$H$112,'國內委外明細'!$A$4:$A$112,A9,'國內委外明細'!$C$4:$C$112,C9,'國內委外明細'!$E$4:$E$112,E9)</x:f>
        <x:v>79382079707</x:v>
      </x:c>
      <x:c r="H9" s="43" t="n">
        <x:f>IFERROR(G9/F9-1,0)</x:f>
        <x:v>1.1982489097410465</x:v>
      </x:c>
      <x:c r="I9" s="43" t="e">
        <x:f>AVERAGEIFS('國內委外明細'!$J$4:$J$112,'國內委外明細'!$A$4:$A$112,A9,'國內委外明細'!$C$4:$C$112,C9,'國內委外明細'!$E$4:$E$112,E9)</x:f>
        <x:v>e.reduce is not a function</x:v>
      </x:c>
      <x:c r="J9" s="31" t="str">
        <x:v>新臺幣元</x:v>
      </x:c>
      <x:c r="K9" s="32" t="str">
        <x:v>勞工退休基金-115年6月.pdf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SUMIFS('國內委外明細'!$G$4:$G$112,'國內委外明細'!$A$4:$A$112,A10,'國內委外明細'!$C$4:$C$112,C10,'國內委外明細'!$E$4:$E$112,E10)</x:f>
        <x:v>76571095398</x:v>
      </x:c>
      <x:c r="G10" s="40" t="n">
        <x:f>SUMIFS('國內委外明細'!$H$4:$H$112,'國內委外明細'!$A$4:$A$112,A10,'國內委外明細'!$C$4:$C$112,C10,'國內委外明細'!$E$4:$E$112,E10)</x:f>
        <x:v>112233837655</x:v>
      </x:c>
      <x:c r="H10" s="43" t="n">
        <x:f>IFERROR(G10/F10-1,0)</x:f>
        <x:v>0.4657467948137972</x:v>
      </x:c>
      <x:c r="I10" s="43" t="e">
        <x:f>AVERAGEIFS('國內委外明細'!$J$4:$J$112,'國內委外明細'!$A$4:$A$112,A10,'國內委外明細'!$C$4:$C$112,C10,'國內委外明細'!$E$4:$E$112,E10)</x:f>
        <x:v>e.reduce is not a function</x:v>
      </x:c>
      <x:c r="J10" s="31" t="str">
        <x:v>新臺幣元</x:v>
      </x:c>
      <x:c r="K10" s="32" t="str">
        <x:v>勞工退休基金-115年6月.pdf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SUMIFS('國內委外明細'!$G$4:$G$112,'國內委外明細'!$A$4:$A$112,A11,'國內委外明細'!$C$4:$C$112,C11,'國內委外明細'!$E$4:$E$112,E11)</x:f>
        <x:v>15841461125</x:v>
      </x:c>
      <x:c r="G11" s="40" t="n">
        <x:f>SUMIFS('國內委外明細'!$H$4:$H$112,'國內委外明細'!$A$4:$A$112,A11,'國內委外明細'!$C$4:$C$112,C11,'國內委外明細'!$E$4:$E$112,E11)</x:f>
        <x:v>41322318010</x:v>
      </x:c>
      <x:c r="H11" s="43" t="n">
        <x:f>IFERROR(G11/F11-1,0)</x:f>
        <x:v>1.6084915831903732</x:v>
      </x:c>
      <x:c r="I11" s="43" t="e">
        <x:f>AVERAGEIFS('國內委外明細'!$J$4:$J$112,'國內委外明細'!$A$4:$A$112,A11,'國內委外明細'!$C$4:$C$112,C11,'國內委外明細'!$E$4:$E$112,E11)</x:f>
        <x:v>e.reduce is not a function</x:v>
      </x:c>
      <x:c r="J11" s="31" t="str">
        <x:v>新臺幣元</x:v>
      </x:c>
      <x:c r="K11" s="32" t="str">
        <x:v>勞工退休基金-115年6月.pdf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SUMIFS('國內委外明細'!$G$4:$G$112,'國內委外明細'!$A$4:$A$112,A12,'國內委外明細'!$C$4:$C$112,C12,'國內委外明細'!$E$4:$E$112,E12)</x:f>
        <x:v>104334684805</x:v>
      </x:c>
      <x:c r="G12" s="40" t="n">
        <x:f>SUMIFS('國內委外明細'!$H$4:$H$112,'國內委外明細'!$A$4:$A$112,A12,'國內委外明細'!$C$4:$C$112,C12,'國內委外明細'!$E$4:$E$112,E12)</x:f>
        <x:v>177419555368</x:v>
      </x:c>
      <x:c r="H12" s="43" t="n">
        <x:f>IFERROR(G12/F12-1,0)</x:f>
        <x:v>0.7004848933946994</x:v>
      </x:c>
      <x:c r="I12" s="43" t="e">
        <x:f>AVERAGEIFS('國內委外明細'!$J$4:$J$112,'國內委外明細'!$A$4:$A$112,A12,'國內委外明細'!$C$4:$C$112,C12,'國內委外明細'!$E$4:$E$112,E12)</x:f>
        <x:v>e.reduce is not a function</x:v>
      </x:c>
      <x:c r="J12" s="31" t="str">
        <x:v>新臺幣元</x:v>
      </x:c>
      <x:c r="K12" s="32" t="str">
        <x:v>勞工退休基金-115年6月.pdf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SUMIFS('國內委外明細'!$G$4:$G$112,'國內委外明細'!$A$4:$A$112,A13,'國內委外明細'!$C$4:$C$112,C13,'國內委外明細'!$E$4:$E$112,E13)</x:f>
        <x:v>8400360408</x:v>
      </x:c>
      <x:c r="G13" s="40" t="n">
        <x:f>SUMIFS('國內委外明細'!$H$4:$H$112,'國內委外明細'!$A$4:$A$112,A13,'國內委外明細'!$C$4:$C$112,C13,'國內委外明細'!$E$4:$E$112,E13)</x:f>
        <x:v>20855965375</x:v>
      </x:c>
      <x:c r="H13" s="43" t="n">
        <x:f>IFERROR(G13/F13-1,0)</x:f>
        <x:v>1.482746496821497</x:v>
      </x:c>
      <x:c r="I13" s="43" t="e">
        <x:f>AVERAGEIFS('國內委外明細'!$J$4:$J$112,'國內委外明細'!$A$4:$A$112,A13,'國內委外明細'!$C$4:$C$112,C13,'國內委外明細'!$E$4:$E$112,E13)</x:f>
        <x:v>e.reduce is not a function</x:v>
      </x:c>
      <x:c r="J13" s="31" t="str">
        <x:v>新臺幣元</x:v>
      </x:c>
      <x:c r="K13" s="32" t="str">
        <x:v>勞工退休基金-115年6月.pdf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SUMIFS('國內委外明細'!$G$4:$G$112,'國內委外明細'!$A$4:$A$112,A14,'國內委外明細'!$C$4:$C$112,C14,'國內委外明細'!$E$4:$E$112,E14)</x:f>
        <x:v>33586323826</x:v>
      </x:c>
      <x:c r="G14" s="40" t="n">
        <x:f>SUMIFS('國內委外明細'!$H$4:$H$112,'國內委外明細'!$A$4:$A$112,A14,'國內委外明細'!$C$4:$C$112,C14,'國內委外明細'!$E$4:$E$112,E14)</x:f>
        <x:v>87930443646</x:v>
      </x:c>
      <x:c r="H14" s="43" t="n">
        <x:f>IFERROR(G14/F14-1,0)</x:f>
        <x:v>1.6180431089016918</x:v>
      </x:c>
      <x:c r="I14" s="43" t="e">
        <x:f>AVERAGEIFS('國內委外明細'!$J$4:$J$112,'國內委外明細'!$A$4:$A$112,A14,'國內委外明細'!$C$4:$C$112,C14,'國內委外明細'!$E$4:$E$112,E14)</x:f>
        <x:v>e.reduce is not a function</x:v>
      </x:c>
      <x:c r="J14" s="31" t="str">
        <x:v>新臺幣元</x:v>
      </x:c>
      <x:c r="K14" s="32" t="str">
        <x:v>勞工退休基金-115年6月.pdf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SUMIFS('國內委外明細'!$G$4:$G$112,'國內委外明細'!$A$4:$A$112,A15,'國內委外明細'!$C$4:$C$112,C15,'國內委外明細'!$E$4:$E$112,E15)</x:f>
        <x:v>65190086308</x:v>
      </x:c>
      <x:c r="G15" s="40" t="n">
        <x:f>SUMIFS('國內委外明細'!$H$4:$H$112,'國內委外明細'!$A$4:$A$112,A15,'國內委外明細'!$C$4:$C$112,C15,'國內委外明細'!$E$4:$E$112,E15)</x:f>
        <x:v>206276972170</x:v>
      </x:c>
      <x:c r="H15" s="43" t="n">
        <x:f>IFERROR(G15/F15-1,0)</x:f>
        <x:v>2.1642383658676962</x:v>
      </x:c>
      <x:c r="I15" s="43" t="e">
        <x:f>AVERAGEIFS('國內委外明細'!$J$4:$J$112,'國內委外明細'!$A$4:$A$112,A15,'國內委外明細'!$C$4:$C$112,C15,'國內委外明細'!$E$4:$E$112,E15)</x:f>
        <x:v>e.reduce is not a function</x:v>
      </x:c>
      <x:c r="J15" s="31" t="str">
        <x:v>新臺幣元</x:v>
      </x:c>
      <x:c r="K15" s="32" t="str">
        <x:v>勞工退休基金-115年6月.pdf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SUMIFS('國內委外明細'!$G$4:$G$112,'國內委外明細'!$A$4:$A$112,A16,'國內委外明細'!$C$4:$C$112,C16,'國內委外明細'!$E$4:$E$112,E16)</x:f>
        <x:v>88436800197</x:v>
      </x:c>
      <x:c r="G16" s="40" t="n">
        <x:f>SUMIFS('國內委外明細'!$H$4:$H$112,'國內委外明細'!$A$4:$A$112,A16,'國內委外明細'!$C$4:$C$112,C16,'國內委外明細'!$E$4:$E$112,E16)</x:f>
        <x:v>209044914162</x:v>
      </x:c>
      <x:c r="H16" s="43" t="n">
        <x:f>IFERROR(G16/F16-1,0)</x:f>
        <x:v>1.3637774512005842</x:v>
      </x:c>
      <x:c r="I16" s="43" t="e">
        <x:f>AVERAGEIFS('國內委外明細'!$J$4:$J$112,'國內委外明細'!$A$4:$A$112,A16,'國內委外明細'!$C$4:$C$112,C16,'國內委外明細'!$E$4:$E$112,E16)</x:f>
        <x:v>e.reduce is not a function</x:v>
      </x:c>
      <x:c r="J16" s="31" t="str">
        <x:v>新臺幣元</x:v>
      </x:c>
      <x:c r="K16" s="32" t="str">
        <x:v>勞工退休基金-115年6月.pdf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SUMIFS('國內委外明細'!$G$4:$G$112,'國內委外明細'!$A$4:$A$112,A17,'國內委外明細'!$C$4:$C$112,C17,'國內委外明細'!$E$4:$E$112,E17)</x:f>
        <x:v>119530956409</x:v>
      </x:c>
      <x:c r="G17" s="40" t="n">
        <x:f>SUMIFS('國內委外明細'!$H$4:$H$112,'國內委外明細'!$A$4:$A$112,A17,'國內委外明細'!$C$4:$C$112,C17,'國內委外明細'!$E$4:$E$112,E17)</x:f>
        <x:v>107079222546</x:v>
      </x:c>
      <x:c r="H17" s="43" t="n">
        <x:f>IFERROR(G17/F17-1,0)</x:f>
        <x:v>-0.10417162413052072</x:v>
      </x:c>
      <x:c r="I17" s="43" t="e">
        <x:f>AVERAGEIFS('國內委外明細'!$J$4:$J$112,'國內委外明細'!$A$4:$A$112,A17,'國內委外明細'!$C$4:$C$112,C17,'國內委外明細'!$E$4:$E$112,E17)</x:f>
        <x:v>e.reduce is not a function</x:v>
      </x:c>
      <x:c r="J17" s="31" t="str">
        <x:v>新臺幣元</x:v>
      </x:c>
      <x:c r="K17" s="32" t="str">
        <x:v>勞工退休基金-115年6月.pdf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SUMIFS('國內委外明細'!$G$4:$G$112,'國內委外明細'!$A$4:$A$112,A18,'國內委外明細'!$C$4:$C$112,C18,'國內委外明細'!$E$4:$E$112,E18)</x:f>
        <x:v>15000000000</x:v>
      </x:c>
      <x:c r="G18" s="40" t="n">
        <x:f>SUMIFS('國內委外明細'!$H$4:$H$112,'國內委外明細'!$A$4:$A$112,A18,'國內委外明細'!$C$4:$C$112,C18,'國內委外明細'!$E$4:$E$112,E18)</x:f>
        <x:v>35466347353</x:v>
      </x:c>
      <x:c r="H18" s="43" t="n">
        <x:f>IFERROR(G18/F18-1,0)</x:f>
        <x:v>1.3644231568666667</x:v>
      </x:c>
      <x:c r="I18" s="43" t="e">
        <x:f>AVERAGEIFS('國內委外明細'!$J$4:$J$112,'國內委外明細'!$A$4:$A$112,A18,'國內委外明細'!$C$4:$C$112,C18,'國內委外明細'!$E$4:$E$112,E18)</x:f>
        <x:v>e.reduce is not a function</x:v>
      </x:c>
      <x:c r="J18" s="31" t="str">
        <x:v>新臺幣元</x:v>
      </x:c>
      <x:c r="K18" s="32" t="str">
        <x:v>勞工退休基金-115年6月.pdf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SUMIFS('國內委外明細'!$G$4:$G$112,'國內委外明細'!$A$4:$A$112,A19,'國內委外明細'!$C$4:$C$112,C19,'國內委外明細'!$E$4:$E$112,E19)</x:f>
        <x:v>48000000000</x:v>
      </x:c>
      <x:c r="G19" s="40" t="n">
        <x:f>SUMIFS('國內委外明細'!$H$4:$H$112,'國內委外明細'!$A$4:$A$112,A19,'國內委外明細'!$C$4:$C$112,C19,'國內委外明細'!$E$4:$E$112,E19)</x:f>
        <x:v>121068103377</x:v>
      </x:c>
      <x:c r="H19" s="43" t="n">
        <x:f>IFERROR(G19/F19-1,0)</x:f>
        <x:v>1.5222521536875</x:v>
      </x:c>
      <x:c r="I19" s="43" t="e">
        <x:f>AVERAGEIFS('國內委外明細'!$J$4:$J$112,'國內委外明細'!$A$4:$A$112,A19,'國內委外明細'!$C$4:$C$112,C19,'國內委外明細'!$E$4:$E$112,E19)</x:f>
        <x:v>e.reduce is not a function</x:v>
      </x:c>
      <x:c r="J19" s="31" t="str">
        <x:v>新臺幣元</x:v>
      </x:c>
      <x:c r="K19" s="32" t="str">
        <x:v>勞工退休基金-115年6月.pdf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SUMIFS('國內委外明細'!$G$4:$G$112,'國內委外明細'!$A$4:$A$112,A20,'國內委外明細'!$C$4:$C$112,C20,'國內委外明細'!$E$4:$E$112,E20)</x:f>
        <x:v>49000000000</x:v>
      </x:c>
      <x:c r="G20" s="40" t="n">
        <x:f>SUMIFS('國內委外明細'!$H$4:$H$112,'國內委外明細'!$A$4:$A$112,A20,'國內委外明細'!$C$4:$C$112,C20,'國內委外明細'!$E$4:$E$112,E20)</x:f>
        <x:v>104747025433</x:v>
      </x:c>
      <x:c r="H20" s="43" t="n">
        <x:f>IFERROR(G20/F20-1,0)</x:f>
        <x:v>1.137694396591837</x:v>
      </x:c>
      <x:c r="I20" s="43" t="e">
        <x:f>AVERAGEIFS('國內委外明細'!$J$4:$J$112,'國內委外明細'!$A$4:$A$112,A20,'國內委外明細'!$C$4:$C$112,C20,'國內委外明細'!$E$4:$E$112,E20)</x:f>
        <x:v>e.reduce is not a function</x:v>
      </x:c>
      <x:c r="J20" s="31" t="str">
        <x:v>新臺幣元</x:v>
      </x:c>
      <x:c r="K20" s="32" t="str">
        <x:v>勞工退休基金-115年6月.pdf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SUMIFS('國內委外明細'!$G$4:$G$112,'國內委外明細'!$A$4:$A$112,A21,'國內委外明細'!$C$4:$C$112,C21,'國內委外明細'!$E$4:$E$112,E21)</x:f>
        <x:v>54000000000</x:v>
      </x:c>
      <x:c r="G21" s="40" t="n">
        <x:f>SUMIFS('國內委外明細'!$H$4:$H$112,'國內委外明細'!$A$4:$A$112,A21,'國內委外明細'!$C$4:$C$112,C21,'國內委外明細'!$E$4:$E$112,E21)</x:f>
        <x:v>77860989283</x:v>
      </x:c>
      <x:c r="H21" s="43" t="n">
        <x:f>IFERROR(G21/F21-1,0)</x:f>
        <x:v>0.4418701719074074</x:v>
      </x:c>
      <x:c r="I21" s="43" t="e">
        <x:f>AVERAGEIFS('國內委外明細'!$J$4:$J$112,'國內委外明細'!$A$4:$A$112,A21,'國內委外明細'!$C$4:$C$112,C21,'國內委外明細'!$E$4:$E$112,E21)</x:f>
        <x:v>e.reduce is not a function</x:v>
      </x:c>
      <x:c r="J21" s="31" t="str">
        <x:v>新臺幣元</x:v>
      </x:c>
      <x:c r="K21" s="32" t="str">
        <x:v>勞工退休基金-115年6月.pdf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SUMIFS('國內委外明細'!$G$4:$G$112,'國內委外明細'!$A$4:$A$112,A22,'國內委外明細'!$C$4:$C$112,C22,'國內委外明細'!$E$4:$E$112,E22)</x:f>
        <x:v>45000000000</x:v>
      </x:c>
      <x:c r="G22" s="40" t="n">
        <x:f>SUMIFS('國內委外明細'!$H$4:$H$112,'國內委外明細'!$A$4:$A$112,A22,'國內委外明細'!$C$4:$C$112,C22,'國內委外明細'!$E$4:$E$112,E22)</x:f>
        <x:v>64497067140</x:v>
      </x:c>
      <x:c r="H22" s="43" t="n">
        <x:f>IFERROR(G22/F22-1,0)</x:f>
        <x:v>0.4332681586666667</x:v>
      </x:c>
      <x:c r="I22" s="43" t="e">
        <x:f>AVERAGEIFS('國內委外明細'!$J$4:$J$112,'國內委外明細'!$A$4:$A$112,A22,'國內委外明細'!$C$4:$C$112,C22,'國內委外明細'!$E$4:$E$112,E22)</x:f>
        <x:v>e.reduce is not a function</x:v>
      </x:c>
      <x:c r="J22" s="31" t="str">
        <x:v>新臺幣元</x:v>
      </x:c>
      <x:c r="K22" s="32" t="str">
        <x:v>勞工退休基金-115年6月.pdf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SUMIFS('國內委外明細'!$G$4:$G$112,'國內委外明細'!$A$4:$A$112,A23,'國內委外明細'!$C$4:$C$112,C23,'國內委外明細'!$E$4:$E$112,E23)</x:f>
        <x:v>5000000000</x:v>
      </x:c>
      <x:c r="G23" s="40" t="n">
        <x:f>SUMIFS('國內委外明細'!$H$4:$H$112,'國內委外明細'!$A$4:$A$112,A23,'國內委外明細'!$C$4:$C$112,C23,'國內委外明細'!$E$4:$E$112,E23)</x:f>
        <x:v>4902240425</x:v>
      </x:c>
      <x:c r="H23" s="43" t="n">
        <x:f>IFERROR(G23/F23-1,0)</x:f>
        <x:v>-0.019551914999999975</x:v>
      </x:c>
      <x:c r="I23" s="43" t="e">
        <x:f>AVERAGEIFS('國內委外明細'!$J$4:$J$112,'國內委外明細'!$A$4:$A$112,A23,'國內委外明細'!$C$4:$C$112,C23,'國內委外明細'!$E$4:$E$112,E23)</x:f>
        <x:v>e.reduce is not a function</x:v>
      </x:c>
      <x:c r="J23" s="31" t="str">
        <x:v>新臺幣元</x:v>
      </x:c>
      <x:c r="K23" s="32" t="str">
        <x:v>勞工退休基金-115年6月.pdf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SUMIFS('國內委外明細'!$G$4:$G$112,'國內委外明細'!$A$4:$A$112,A24,'國內委外明細'!$C$4:$C$112,C24,'國內委外明細'!$E$4:$E$112,E24)</x:f>
        <x:v>29096385294</x:v>
      </x:c>
      <x:c r="G24" s="40" t="n">
        <x:f>SUMIFS('國內委外明細'!$H$4:$H$112,'國內委外明細'!$A$4:$A$112,A24,'國內委外明細'!$C$4:$C$112,C24,'國內委外明細'!$E$4:$E$112,E24)</x:f>
        <x:v>59111050605</x:v>
      </x:c>
      <x:c r="H24" s="43" t="n">
        <x:f>IFERROR(G24/F24-1,0)</x:f>
        <x:v>1.0315599346008577</x:v>
      </x:c>
      <x:c r="I24" s="43" t="e">
        <x:f>AVERAGEIFS('國內委外明細'!$J$4:$J$112,'國內委外明細'!$A$4:$A$112,A24,'國內委外明細'!$C$4:$C$112,C24,'國內委外明細'!$E$4:$E$112,E24)</x:f>
        <x:v>e.reduce is not a function</x:v>
      </x:c>
      <x:c r="J24" s="31" t="str">
        <x:v>新臺幣元</x:v>
      </x:c>
      <x:c r="K24" s="32" t="str">
        <x:v>勞工退休基金-115年6月.pdf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SUMIFS('國內委外明細'!$G$4:$G$112,'國內委外明細'!$A$4:$A$112,A25,'國內委外明細'!$C$4:$C$112,C25,'國內委外明細'!$E$4:$E$112,E25)</x:f>
        <x:v>6530798735</x:v>
      </x:c>
      <x:c r="G25" s="40" t="n">
        <x:f>SUMIFS('國內委外明細'!$H$4:$H$112,'國內委外明細'!$A$4:$A$112,A25,'國內委外明細'!$C$4:$C$112,C25,'國內委外明細'!$E$4:$E$112,E25)</x:f>
        <x:v>13425179562</x:v>
      </x:c>
      <x:c r="H25" s="43" t="n">
        <x:f>IFERROR(G25/F25-1,0)</x:f>
        <x:v>1.0556719180536804</x:v>
      </x:c>
      <x:c r="I25" s="43" t="e">
        <x:f>AVERAGEIFS('國內委外明細'!$J$4:$J$112,'國內委外明細'!$A$4:$A$112,A25,'國內委外明細'!$C$4:$C$112,C25,'國內委外明細'!$E$4:$E$112,E25)</x:f>
        <x:v>e.reduce is not a function</x:v>
      </x:c>
      <x:c r="J25" s="31" t="str">
        <x:v>新臺幣元</x:v>
      </x:c>
      <x:c r="K25" s="32" t="str">
        <x:v>勞工退休基金-115年6月.pdf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SUMIFS('國內委外明細'!$G$4:$G$112,'國內委外明細'!$A$4:$A$112,A26,'國內委外明細'!$C$4:$C$112,C26,'國內委外明細'!$E$4:$E$112,E26)</x:f>
        <x:v>27357530009</x:v>
      </x:c>
      <x:c r="G26" s="40" t="n">
        <x:f>SUMIFS('國內委外明細'!$H$4:$H$112,'國內委外明細'!$A$4:$A$112,A26,'國內委外明細'!$C$4:$C$112,C26,'國內委外明細'!$E$4:$E$112,E26)</x:f>
        <x:v>78465559204</x:v>
      </x:c>
      <x:c r="H26" s="43" t="n">
        <x:f>IFERROR(G26/F26-1,0)</x:f>
        <x:v>1.8681521752214705</x:v>
      </x:c>
      <x:c r="I26" s="43" t="e">
        <x:f>AVERAGEIFS('國內委外明細'!$J$4:$J$112,'國內委外明細'!$A$4:$A$112,A26,'國內委外明細'!$C$4:$C$112,C26,'國內委外明細'!$E$4:$E$112,E26)</x:f>
        <x:v>e.reduce is not a function</x:v>
      </x:c>
      <x:c r="J26" s="31" t="str">
        <x:v>新臺幣元</x:v>
      </x:c>
      <x:c r="K26" s="32" t="str">
        <x:v>勞工退休基金-115年6月.pdf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SUMIFS('國內委外明細'!$G$4:$G$112,'國內委外明細'!$A$4:$A$112,A27,'國內委外明細'!$C$4:$C$112,C27,'國內委外明細'!$E$4:$E$112,E27)</x:f>
        <x:v>7402055797</x:v>
      </x:c>
      <x:c r="G27" s="40" t="n">
        <x:f>SUMIFS('國內委外明細'!$H$4:$H$112,'國內委外明細'!$A$4:$A$112,A27,'國內委外明細'!$C$4:$C$112,C27,'國內委外明細'!$E$4:$E$112,E27)</x:f>
        <x:v>19860210266</x:v>
      </x:c>
      <x:c r="H27" s="43" t="n">
        <x:f>IFERROR(G27/F27-1,0)</x:f>
        <x:v>1.6830668142287175</x:v>
      </x:c>
      <x:c r="I27" s="43" t="e">
        <x:f>AVERAGEIFS('國內委外明細'!$J$4:$J$112,'國內委外明細'!$A$4:$A$112,A27,'國內委外明細'!$C$4:$C$112,C27,'國內委外明細'!$E$4:$E$112,E27)</x:f>
        <x:v>e.reduce is not a function</x:v>
      </x:c>
      <x:c r="J27" s="31" t="str">
        <x:v>新臺幣元</x:v>
      </x:c>
      <x:c r="K27" s="32" t="str">
        <x:v>勞工退休基金-115年6月.pdf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SUMIFS('國內委外明細'!$G$4:$G$112,'國內委外明細'!$A$4:$A$112,A28,'國內委外明細'!$C$4:$C$112,C28,'國內委外明細'!$E$4:$E$112,E28)</x:f>
        <x:v>28091526638</x:v>
      </x:c>
      <x:c r="G28" s="40" t="n">
        <x:f>SUMIFS('國內委外明細'!$H$4:$H$112,'國內委外明細'!$A$4:$A$112,A28,'國內委外明細'!$C$4:$C$112,C28,'國內委外明細'!$E$4:$E$112,E28)</x:f>
        <x:v>82795755047</x:v>
      </x:c>
      <x:c r="H28" s="43" t="n">
        <x:f>IFERROR(G28/F28-1,0)</x:f>
        <x:v>1.9473569063704939</x:v>
      </x:c>
      <x:c r="I28" s="43" t="e">
        <x:f>AVERAGEIFS('國內委外明細'!$J$4:$J$112,'國內委外明細'!$A$4:$A$112,A28,'國內委外明細'!$C$4:$C$112,C28,'國內委外明細'!$E$4:$E$112,E28)</x:f>
        <x:v>e.reduce is not a function</x:v>
      </x:c>
      <x:c r="J28" s="31" t="str">
        <x:v>新臺幣元</x:v>
      </x:c>
      <x:c r="K28" s="32" t="str">
        <x:v>勞工退休基金-115年6月.pdf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SUMIFS('國內委外明細'!$G$4:$G$112,'國內委外明細'!$A$4:$A$112,A29,'國內委外明細'!$C$4:$C$112,C29,'國內委外明細'!$E$4:$E$112,E29)</x:f>
        <x:v>5000000000</x:v>
      </x:c>
      <x:c r="G29" s="40" t="n">
        <x:f>SUMIFS('國內委外明細'!$H$4:$H$112,'國內委外明細'!$A$4:$A$112,A29,'國內委外明細'!$C$4:$C$112,C29,'國內委外明細'!$E$4:$E$112,E29)</x:f>
        <x:v>11597578661</x:v>
      </x:c>
      <x:c r="H29" s="43" t="n">
        <x:f>IFERROR(G29/F29-1,0)</x:f>
        <x:v>1.3195157322000002</x:v>
      </x:c>
      <x:c r="I29" s="43" t="e">
        <x:f>AVERAGEIFS('國內委外明細'!$J$4:$J$112,'國內委外明細'!$A$4:$A$112,A29,'國內委外明細'!$C$4:$C$112,C29,'國內委外明細'!$E$4:$E$112,E29)</x:f>
        <x:v>e.reduce is not a function</x:v>
      </x:c>
      <x:c r="J29" s="31" t="str">
        <x:v>新臺幣元</x:v>
      </x:c>
      <x:c r="K29" s="32" t="str">
        <x:v>勞工退休基金-115年6月.pdf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SUMIFS('國內委外明細'!$G$4:$G$112,'國內委外明細'!$A$4:$A$112,A30,'國內委外明細'!$C$4:$C$112,C30,'國內委外明細'!$E$4:$E$112,E30)</x:f>
        <x:v>21000000000</x:v>
      </x:c>
      <x:c r="G30" s="40" t="n">
        <x:f>SUMIFS('國內委外明細'!$H$4:$H$112,'國內委外明細'!$A$4:$A$112,A30,'國內委外明細'!$C$4:$C$112,C30,'國內委外明細'!$E$4:$E$112,E30)</x:f>
        <x:v>44636288940</x:v>
      </x:c>
      <x:c r="H30" s="43" t="n">
        <x:f>IFERROR(G30/F30-1,0)</x:f>
        <x:v>1.1255375685714286</x:v>
      </x:c>
      <x:c r="I30" s="43" t="e">
        <x:f>AVERAGEIFS('國內委外明細'!$J$4:$J$112,'國內委外明細'!$A$4:$A$112,A30,'國內委外明細'!$C$4:$C$112,C30,'國內委外明細'!$E$4:$E$112,E30)</x:f>
        <x:v>e.reduce is not a function</x:v>
      </x:c>
      <x:c r="J30" s="31" t="str">
        <x:v>新臺幣元</x:v>
      </x:c>
      <x:c r="K30" s="32" t="str">
        <x:v>勞工退休基金-115年6月.pdf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SUMIFS('國內委外明細'!$G$4:$G$112,'國內委外明細'!$A$4:$A$112,A31,'國內委外明細'!$C$4:$C$112,C31,'國內委外明細'!$E$4:$E$112,E31)</x:f>
        <x:v>6006437351</x:v>
      </x:c>
      <x:c r="G31" s="40" t="n">
        <x:f>SUMIFS('國內委外明細'!$H$4:$H$112,'國內委外明細'!$A$4:$A$112,A31,'國內委外明細'!$C$4:$C$112,C31,'國內委外明細'!$E$4:$E$112,E31)</x:f>
        <x:v>15506059249</x:v>
      </x:c>
      <x:c r="H31" s="43" t="n">
        <x:f>IFERROR(G31/F31-1,0)</x:f>
        <x:v>1.5815734590852641</x:v>
      </x:c>
      <x:c r="I31" s="43" t="e">
        <x:f>AVERAGEIFS('國內委外明細'!$J$4:$J$112,'國內委外明細'!$A$4:$A$112,A31,'國內委外明細'!$C$4:$C$112,C31,'國內委外明細'!$E$4:$E$112,E31)</x:f>
        <x:v>e.reduce is not a function</x:v>
      </x:c>
      <x:c r="J31" s="31" t="str">
        <x:v>新臺幣元</x:v>
      </x:c>
      <x:c r="K31" s="32" t="str">
        <x:v>勞工保險基金-115年6月.pdf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SUMIFS('國內委外明細'!$G$4:$G$112,'國內委外明細'!$A$4:$A$112,A32,'國內委外明細'!$C$4:$C$112,C32,'國內委外明細'!$E$4:$E$112,E32)</x:f>
        <x:v>10115864773</x:v>
      </x:c>
      <x:c r="G32" s="40" t="n">
        <x:f>SUMIFS('國內委外明細'!$H$4:$H$112,'國內委外明細'!$A$4:$A$112,A32,'國內委外明細'!$C$4:$C$112,C32,'國內委外明細'!$E$4:$E$112,E32)</x:f>
        <x:v>25210400997</x:v>
      </x:c>
      <x:c r="H32" s="43" t="n">
        <x:f>IFERROR(G32/F32-1,0)</x:f>
        <x:v>1.492164690090406</x:v>
      </x:c>
      <x:c r="I32" s="43" t="e">
        <x:f>AVERAGEIFS('國內委外明細'!$J$4:$J$112,'國內委外明細'!$A$4:$A$112,A32,'國內委外明細'!$C$4:$C$112,C32,'國內委外明細'!$E$4:$E$112,E32)</x:f>
        <x:v>e.reduce is not a function</x:v>
      </x:c>
      <x:c r="J32" s="31" t="str">
        <x:v>新臺幣元</x:v>
      </x:c>
      <x:c r="K32" s="32" t="str">
        <x:v>勞工保險基金-115年6月.pdf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SUMIFS('國內委外明細'!$G$4:$G$112,'國內委外明細'!$A$4:$A$112,A33,'國內委外明細'!$C$4:$C$112,C33,'國內委外明細'!$E$4:$E$112,E33)</x:f>
        <x:v>9747462171</x:v>
      </x:c>
      <x:c r="G33" s="40" t="n">
        <x:f>SUMIFS('國內委外明細'!$H$4:$H$112,'國內委外明細'!$A$4:$A$112,A33,'國內委外明細'!$C$4:$C$112,C33,'國內委外明細'!$E$4:$E$112,E33)</x:f>
        <x:v>23092321941</x:v>
      </x:c>
      <x:c r="H33" s="43" t="n">
        <x:f>IFERROR(G33/F33-1,0)</x:f>
        <x:v>1.3690599189707795</x:v>
      </x:c>
      <x:c r="I33" s="43" t="e">
        <x:f>AVERAGEIFS('國內委外明細'!$J$4:$J$112,'國內委外明細'!$A$4:$A$112,A33,'國內委外明細'!$C$4:$C$112,C33,'國內委外明細'!$E$4:$E$112,E33)</x:f>
        <x:v>e.reduce is not a function</x:v>
      </x:c>
      <x:c r="J33" s="31" t="str">
        <x:v>新臺幣元</x:v>
      </x:c>
      <x:c r="K33" s="32" t="str">
        <x:v>勞工保險基金-115年6月.pdf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SUMIFS('國內委外明細'!$G$4:$G$112,'國內委外明細'!$A$4:$A$112,A34,'國內委外明細'!$C$4:$C$112,C34,'國內委外明細'!$E$4:$E$112,E34)</x:f>
        <x:v>2000000000</x:v>
      </x:c>
      <x:c r="G34" s="40" t="n">
        <x:f>SUMIFS('國內委外明細'!$H$4:$H$112,'國內委外明細'!$A$4:$A$112,A34,'國內委外明細'!$C$4:$C$112,C34,'國內委外明細'!$E$4:$E$112,E34)</x:f>
        <x:v>4652345358</x:v>
      </x:c>
      <x:c r="H34" s="43" t="n">
        <x:f>IFERROR(G34/F34-1,0)</x:f>
        <x:v>1.326172679</x:v>
      </x:c>
      <x:c r="I34" s="43" t="e">
        <x:f>AVERAGEIFS('國內委外明細'!$J$4:$J$112,'國內委外明細'!$A$4:$A$112,A34,'國內委外明細'!$C$4:$C$112,C34,'國內委外明細'!$E$4:$E$112,E34)</x:f>
        <x:v>e.reduce is not a function</x:v>
      </x:c>
      <x:c r="J34" s="31" t="str">
        <x:v>新臺幣元</x:v>
      </x:c>
      <x:c r="K34" s="32" t="str">
        <x:v>勞工保險基金-115年6月.pdf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SUMIFS('國內委外明細'!$G$4:$G$112,'國內委外明細'!$A$4:$A$112,A35,'國內委外明細'!$C$4:$C$112,C35,'國內委外明細'!$E$4:$E$112,E35)</x:f>
        <x:v>6000000000</x:v>
      </x:c>
      <x:c r="G35" s="40" t="n">
        <x:f>SUMIFS('國內委外明細'!$H$4:$H$112,'國內委外明細'!$A$4:$A$112,A35,'國內委外明細'!$C$4:$C$112,C35,'國內委外明細'!$E$4:$E$112,E35)</x:f>
        <x:v>7934807672</x:v>
      </x:c>
      <x:c r="H35" s="43" t="n">
        <x:f>IFERROR(G35/F35-1,0)</x:f>
        <x:v>0.32246794533333323</x:v>
      </x:c>
      <x:c r="I35" s="43" t="e">
        <x:f>AVERAGEIFS('國內委外明細'!$J$4:$J$112,'國內委外明細'!$A$4:$A$112,A35,'國內委外明細'!$C$4:$C$112,C35,'國內委外明細'!$E$4:$E$112,E35)</x:f>
        <x:v>e.reduce is not a function</x:v>
      </x:c>
      <x:c r="J35" s="31" t="str">
        <x:v>新臺幣元</x:v>
      </x:c>
      <x:c r="K35" s="32" t="str">
        <x:v>國民年金保險基金-115年6月.pdf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SUMIFS('國內委外明細'!$G$4:$G$112,'國內委外明細'!$A$4:$A$112,A36,'國內委外明細'!$C$4:$C$112,C36,'國內委外明細'!$E$4:$E$112,E36)</x:f>
        <x:v>1200000000</x:v>
      </x:c>
      <x:c r="G36" s="40" t="n">
        <x:f>SUMIFS('國內委外明細'!$H$4:$H$112,'國內委外明細'!$A$4:$A$112,A36,'國內委外明細'!$C$4:$C$112,C36,'國內委外明細'!$E$4:$E$112,E36)</x:f>
        <x:v>1056051599</x:v>
      </x:c>
      <x:c r="H36" s="43" t="n">
        <x:f>IFERROR(G36/F36-1,0)</x:f>
        <x:v>-0.11995700083333338</x:v>
      </x:c>
      <x:c r="I36" s="43" t="e">
        <x:f>AVERAGEIFS('國內委外明細'!$J$4:$J$112,'國內委外明細'!$A$4:$A$112,A36,'國內委外明細'!$C$4:$C$112,C36,'國內委外明細'!$E$4:$E$112,E36)</x:f>
        <x:v>e.reduce is not a function</x:v>
      </x:c>
      <x:c r="J36" s="31" t="str">
        <x:v>新臺幣元</x:v>
      </x:c>
      <x:c r="K36" s="32" t="str">
        <x:v>國民年金保險基金-115年6月.pdf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SUMIFS('國外委外明細'!$G$4:$G$162,'國外委外明細'!$A$4:$A$162,A37,'國外委外明細'!$C$4:$C$162,C37,'國外委外明細'!$E$4:$E$162,E37)</x:f>
        <x:v>2239153597</x:v>
      </x:c>
      <x:c r="G37" s="40" t="n">
        <x:f>SUMIFS('國外委外明細'!$H$4:$H$162,'國外委外明細'!$A$4:$A$162,A37,'國外委外明細'!$C$4:$C$162,C37,'國外委外明細'!$E$4:$E$162,E37)</x:f>
        <x:v>2232322210</x:v>
      </x:c>
      <x:c r="H37" s="43" t="n">
        <x:f>IFERROR(G37/F37-1,0)</x:f>
        <x:v>-0.003050879139846696</x:v>
      </x:c>
      <x:c r="I37" s="43" t="e">
        <x:f>AVERAGEIFS('國外委外明細'!$J$4:$J$162,'國外委外明細'!$A$4:$A$162,A37,'國外委外明細'!$C$4:$C$162,C37,'國外委外明細'!$E$4:$E$162,E37)</x:f>
        <x:v>e.reduce is not a function</x:v>
      </x:c>
      <x:c r="J37" s="31" t="str">
        <x:v>美元</x:v>
      </x:c>
      <x:c r="K37" s="32" t="str">
        <x:v>勞工退休基金-115年6月.pdf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SUMIFS('國外委外明細'!$G$4:$G$162,'國外委外明細'!$A$4:$A$162,A38,'國外委外明細'!$C$4:$C$162,C38,'國外委外明細'!$E$4:$E$162,E38)</x:f>
        <x:v>2408967886</x:v>
      </x:c>
      <x:c r="G38" s="40" t="n">
        <x:f>SUMIFS('國外委外明細'!$H$4:$H$162,'國外委外明細'!$A$4:$A$162,A38,'國外委外明細'!$C$4:$C$162,C38,'國外委外明細'!$E$4:$E$162,E38)</x:f>
        <x:v>2364612047</x:v>
      </x:c>
      <x:c r="H38" s="43" t="n">
        <x:f>IFERROR(G38/F38-1,0)</x:f>
        <x:v>-0.01841279796952844</x:v>
      </x:c>
      <x:c r="I38" s="43" t="e">
        <x:f>AVERAGEIFS('國外委外明細'!$J$4:$J$162,'國外委外明細'!$A$4:$A$162,A38,'國外委外明細'!$C$4:$C$162,C38,'國外委外明細'!$E$4:$E$162,E38)</x:f>
        <x:v>e.reduce is not a function</x:v>
      </x:c>
      <x:c r="J38" s="31" t="str">
        <x:v>美元</x:v>
      </x:c>
      <x:c r="K38" s="32" t="str">
        <x:v>勞工退休基金-115年6月.pdf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SUMIFS('國外委外明細'!$G$4:$G$162,'國外委外明細'!$A$4:$A$162,A39,'國外委外明細'!$C$4:$C$162,C39,'國外委外明細'!$E$4:$E$162,E39)</x:f>
        <x:v>3619926421</x:v>
      </x:c>
      <x:c r="G39" s="40" t="n">
        <x:f>SUMIFS('國外委外明細'!$H$4:$H$162,'國外委外明細'!$A$4:$A$162,A39,'國外委外明細'!$C$4:$C$162,C39,'國外委外明細'!$E$4:$E$162,E39)</x:f>
        <x:v>6265032518</x:v>
      </x:c>
      <x:c r="H39" s="43" t="n">
        <x:f>IFERROR(G39/F39-1,0)</x:f>
        <x:v>0.7307071441162865</x:v>
      </x:c>
      <x:c r="I39" s="43" t="e">
        <x:f>AVERAGEIFS('國外委外明細'!$J$4:$J$162,'國外委外明細'!$A$4:$A$162,A39,'國外委外明細'!$C$4:$C$162,C39,'國外委外明細'!$E$4:$E$162,E39)</x:f>
        <x:v>e.reduce is not a function</x:v>
      </x:c>
      <x:c r="J39" s="31" t="str">
        <x:v>美元</x:v>
      </x:c>
      <x:c r="K39" s="32" t="str">
        <x:v>勞工退休基金-115年6月.pdf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SUMIFS('國外委外明細'!$G$4:$G$162,'國外委外明細'!$A$4:$A$162,A40,'國外委外明細'!$C$4:$C$162,C40,'國外委外明細'!$E$4:$E$162,E40)</x:f>
        <x:v>656507639</x:v>
      </x:c>
      <x:c r="G40" s="40" t="n">
        <x:f>SUMIFS('國外委外明細'!$H$4:$H$162,'國外委外明細'!$A$4:$A$162,A40,'國外委外明細'!$C$4:$C$162,C40,'國外委外明細'!$E$4:$E$162,E40)</x:f>
        <x:v>1304933202</x:v>
      </x:c>
      <x:c r="H40" s="43" t="n">
        <x:f>IFERROR(G40/F40-1,0)</x:f>
        <x:v>0.987689288715192</x:v>
      </x:c>
      <x:c r="I40" s="43" t="e">
        <x:f>AVERAGEIFS('國外委外明細'!$J$4:$J$162,'國外委外明細'!$A$4:$A$162,A40,'國外委外明細'!$C$4:$C$162,C40,'國外委外明細'!$E$4:$E$162,E40)</x:f>
        <x:v>e.reduce is not a function</x:v>
      </x:c>
      <x:c r="J40" s="31" t="str">
        <x:v>美元</x:v>
      </x:c>
      <x:c r="K40" s="32" t="str">
        <x:v>勞工退休基金-115年6月.pdf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SUMIFS('國外委外明細'!$G$4:$G$162,'國外委外明細'!$A$4:$A$162,A41,'國外委外明細'!$C$4:$C$162,C41,'國外委外明細'!$E$4:$E$162,E41)</x:f>
        <x:v>3104747493</x:v>
      </x:c>
      <x:c r="G41" s="40" t="n">
        <x:f>SUMIFS('國外委外明細'!$H$4:$H$162,'國外委外明細'!$A$4:$A$162,A41,'國外委外明細'!$C$4:$C$162,C41,'國外委外明細'!$E$4:$E$162,E41)</x:f>
        <x:v>5524840287</x:v>
      </x:c>
      <x:c r="H41" s="43" t="n">
        <x:f>IFERROR(G41/F41-1,0)</x:f>
        <x:v>0.77948135861495</x:v>
      </x:c>
      <x:c r="I41" s="43" t="e">
        <x:f>AVERAGEIFS('國外委外明細'!$J$4:$J$162,'國外委外明細'!$A$4:$A$162,A41,'國外委外明細'!$C$4:$C$162,C41,'國外委外明細'!$E$4:$E$162,E41)</x:f>
        <x:v>e.reduce is not a function</x:v>
      </x:c>
      <x:c r="J41" s="31" t="str">
        <x:v>美元</x:v>
      </x:c>
      <x:c r="K41" s="32" t="str">
        <x:v>勞工退休基金-115年6月.pdf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SUMIFS('國外委外明細'!$G$4:$G$162,'國外委外明細'!$A$4:$A$162,A42,'國外委外明細'!$C$4:$C$162,C42,'國外委外明細'!$E$4:$E$162,E42)</x:f>
        <x:v>3370468847</x:v>
      </x:c>
      <x:c r="G42" s="40" t="n">
        <x:f>SUMIFS('國外委外明細'!$H$4:$H$162,'國外委外明細'!$A$4:$A$162,A42,'國外委外明細'!$C$4:$C$162,C42,'國外委外明細'!$E$4:$E$162,E42)</x:f>
        <x:v>3425867051</x:v>
      </x:c>
      <x:c r="H42" s="43" t="n">
        <x:f>IFERROR(G42/F42-1,0)</x:f>
        <x:v>0.01643634951538253</x:v>
      </x:c>
      <x:c r="I42" s="43" t="e">
        <x:f>AVERAGEIFS('國外委外明細'!$J$4:$J$162,'國外委外明細'!$A$4:$A$162,A42,'國外委外明細'!$C$4:$C$162,C42,'國外委外明細'!$E$4:$E$162,E42)</x:f>
        <x:v>e.reduce is not a function</x:v>
      </x:c>
      <x:c r="J42" s="31" t="str">
        <x:v>美元</x:v>
      </x:c>
      <x:c r="K42" s="32" t="str">
        <x:v>勞工退休基金-115年6月.pdf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SUMIFS('國外委外明細'!$G$4:$G$162,'國外委外明細'!$A$4:$A$162,A43,'國外委外明細'!$C$4:$C$162,C43,'國外委外明細'!$E$4:$E$162,E43)</x:f>
        <x:v>3973059884</x:v>
      </x:c>
      <x:c r="G43" s="40" t="n">
        <x:f>SUMIFS('國外委外明細'!$H$4:$H$162,'國外委外明細'!$A$4:$A$162,A43,'國外委外明細'!$C$4:$C$162,C43,'國外委外明細'!$E$4:$E$162,E43)</x:f>
        <x:v>4494318992</x:v>
      </x:c>
      <x:c r="H43" s="43" t="n">
        <x:f>IFERROR(G43/F43-1,0)</x:f>
        <x:v>0.13119840204250988</x:v>
      </x:c>
      <x:c r="I43" s="43" t="e">
        <x:f>AVERAGEIFS('國外委外明細'!$J$4:$J$162,'國外委外明細'!$A$4:$A$162,A43,'國外委外明細'!$C$4:$C$162,C43,'國外委外明細'!$E$4:$E$162,E43)</x:f>
        <x:v>e.reduce is not a function</x:v>
      </x:c>
      <x:c r="J43" s="31" t="str">
        <x:v>美元</x:v>
      </x:c>
      <x:c r="K43" s="32" t="str">
        <x:v>勞工退休基金-115年6月.pdf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SUMIFS('國外委外明細'!$G$4:$G$162,'國外委外明細'!$A$4:$A$162,A44,'國外委外明細'!$C$4:$C$162,C44,'國外委外明細'!$E$4:$E$162,E44)</x:f>
        <x:v>618843493</x:v>
      </x:c>
      <x:c r="G44" s="40" t="n">
        <x:f>SUMIFS('國外委外明細'!$H$4:$H$162,'國外委外明細'!$A$4:$A$162,A44,'國外委外明細'!$C$4:$C$162,C44,'國外委外明細'!$E$4:$E$162,E44)</x:f>
        <x:v>769778438</x:v>
      </x:c>
      <x:c r="H44" s="43" t="n">
        <x:f>IFERROR(G44/F44-1,0)</x:f>
        <x:v>0.24389841164573745</x:v>
      </x:c>
      <x:c r="I44" s="43" t="e">
        <x:f>AVERAGEIFS('國外委外明細'!$J$4:$J$162,'國外委外明細'!$A$4:$A$162,A44,'國外委外明細'!$C$4:$C$162,C44,'國外委外明細'!$E$4:$E$162,E44)</x:f>
        <x:v>e.reduce is not a function</x:v>
      </x:c>
      <x:c r="J44" s="31" t="str">
        <x:v>美元</x:v>
      </x:c>
      <x:c r="K44" s="32" t="str">
        <x:v>勞工退休基金-115年6月.pdf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SUMIFS('國外委外明細'!$G$4:$G$162,'國外委外明細'!$A$4:$A$162,A45,'國外委外明細'!$C$4:$C$162,C45,'國外委外明細'!$E$4:$E$162,E45)</x:f>
        <x:v>2615403946</x:v>
      </x:c>
      <x:c r="G45" s="40" t="n">
        <x:f>SUMIFS('國外委外明細'!$H$4:$H$162,'國外委外明細'!$A$4:$A$162,A45,'國外委外明細'!$C$4:$C$162,C45,'國外委外明細'!$E$4:$E$162,E45)</x:f>
        <x:v>3447860340</x:v>
      </x:c>
      <x:c r="H45" s="43" t="n">
        <x:f>IFERROR(G45/F45-1,0)</x:f>
        <x:v>0.31828979812971503</x:v>
      </x:c>
      <x:c r="I45" s="43" t="e">
        <x:f>AVERAGEIFS('國外委外明細'!$J$4:$J$162,'國外委外明細'!$A$4:$A$162,A45,'國外委外明細'!$C$4:$C$162,C45,'國外委外明細'!$E$4:$E$162,E45)</x:f>
        <x:v>e.reduce is not a function</x:v>
      </x:c>
      <x:c r="J45" s="31" t="str">
        <x:v>美元</x:v>
      </x:c>
      <x:c r="K45" s="32" t="str">
        <x:v>勞工退休基金-115年6月.pdf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SUMIFS('國外委外明細'!$G$4:$G$162,'國外委外明細'!$A$4:$A$162,A46,'國外委外明細'!$C$4:$C$162,C46,'國外委外明細'!$E$4:$E$162,E46)</x:f>
        <x:v>4468396599</x:v>
      </x:c>
      <x:c r="G46" s="40" t="n">
        <x:f>SUMIFS('國外委外明細'!$H$4:$H$162,'國外委外明細'!$A$4:$A$162,A46,'國外委外明細'!$C$4:$C$162,C46,'國外委外明細'!$E$4:$E$162,E46)</x:f>
        <x:v>6174340158</x:v>
      </x:c>
      <x:c r="H46" s="43" t="n">
        <x:f>IFERROR(G46/F46-1,0)</x:f>
        <x:v>0.3817797998015171</x:v>
      </x:c>
      <x:c r="I46" s="43" t="e">
        <x:f>AVERAGEIFS('國外委外明細'!$J$4:$J$162,'國外委外明細'!$A$4:$A$162,A46,'國外委外明細'!$C$4:$C$162,C46,'國外委外明細'!$E$4:$E$162,E46)</x:f>
        <x:v>e.reduce is not a function</x:v>
      </x:c>
      <x:c r="J46" s="31" t="str">
        <x:v>美元</x:v>
      </x:c>
      <x:c r="K46" s="32" t="str">
        <x:v>勞工退休基金-115年6月.pdf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SUMIFS('國外委外明細'!$G$4:$G$162,'國外委外明細'!$A$4:$A$162,A47,'國外委外明細'!$C$4:$C$162,C47,'國外委外明細'!$E$4:$E$162,E47)</x:f>
        <x:v>2798513681</x:v>
      </x:c>
      <x:c r="G47" s="40" t="n">
        <x:f>SUMIFS('國外委外明細'!$H$4:$H$162,'國外委外明細'!$A$4:$A$162,A47,'國外委外明細'!$C$4:$C$162,C47,'國外委外明細'!$E$4:$E$162,E47)</x:f>
        <x:v>3178277891</x:v>
      </x:c>
      <x:c r="H47" s="43" t="n">
        <x:f>IFERROR(G47/F47-1,0)</x:f>
        <x:v>0.13570210950846517</x:v>
      </x:c>
      <x:c r="I47" s="43" t="e">
        <x:f>AVERAGEIFS('國外委外明細'!$J$4:$J$162,'國外委外明細'!$A$4:$A$162,A47,'國外委外明細'!$C$4:$C$162,C47,'國外委外明細'!$E$4:$E$162,E47)</x:f>
        <x:v>e.reduce is not a function</x:v>
      </x:c>
      <x:c r="J47" s="31" t="str">
        <x:v>美元</x:v>
      </x:c>
      <x:c r="K47" s="32" t="str">
        <x:v>勞工退休基金-115年6月.pdf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SUMIFS('國外委外明細'!$G$4:$G$162,'國外委外明細'!$A$4:$A$162,A48,'國外委外明細'!$C$4:$C$162,C48,'國外委外明細'!$E$4:$E$162,E48)</x:f>
        <x:v>9619675493</x:v>
      </x:c>
      <x:c r="G48" s="40" t="n">
        <x:f>SUMIFS('國外委外明細'!$H$4:$H$162,'國外委外明細'!$A$4:$A$162,A48,'國外委外明細'!$C$4:$C$162,C48,'國外委外明細'!$E$4:$E$162,E48)</x:f>
        <x:v>11623847936</x:v>
      </x:c>
      <x:c r="H48" s="43" t="n">
        <x:f>IFERROR(G48/F48-1,0)</x:f>
        <x:v>0.20834096165285265</x:v>
      </x:c>
      <x:c r="I48" s="43" t="e">
        <x:f>AVERAGEIFS('國外委外明細'!$J$4:$J$162,'國外委外明細'!$A$4:$A$162,A48,'國外委外明細'!$C$4:$C$162,C48,'國外委外明細'!$E$4:$E$162,E48)</x:f>
        <x:v>e.reduce is not a function</x:v>
      </x:c>
      <x:c r="J48" s="31" t="str">
        <x:v>美元</x:v>
      </x:c>
      <x:c r="K48" s="32" t="str">
        <x:v>勞工退休基金-115年6月.pdf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SUMIFS('國外委外明細'!$G$4:$G$162,'國外委外明細'!$A$4:$A$162,A49,'國外委外明細'!$C$4:$C$162,C49,'國外委外明細'!$E$4:$E$162,E49)</x:f>
        <x:v>2827776282</x:v>
      </x:c>
      <x:c r="G49" s="40" t="n">
        <x:f>SUMIFS('國外委外明細'!$H$4:$H$162,'國外委外明細'!$A$4:$A$162,A49,'國外委外明細'!$C$4:$C$162,C49,'國外委外明細'!$E$4:$E$162,E49)</x:f>
        <x:v>3155096751</x:v>
      </x:c>
      <x:c r="H49" s="43" t="n">
        <x:f>IFERROR(G49/F49-1,0)</x:f>
        <x:v>0.11575189702365574</x:v>
      </x:c>
      <x:c r="I49" s="43" t="e">
        <x:f>AVERAGEIFS('國外委外明細'!$J$4:$J$162,'國外委外明細'!$A$4:$A$162,A49,'國外委外明細'!$C$4:$C$162,C49,'國外委外明細'!$E$4:$E$162,E49)</x:f>
        <x:v>e.reduce is not a function</x:v>
      </x:c>
      <x:c r="J49" s="31" t="str">
        <x:v>美元</x:v>
      </x:c>
      <x:c r="K49" s="32" t="str">
        <x:v>勞工退休基金-115年6月.pdf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SUMIFS('國外委外明細'!$G$4:$G$162,'國外委外明細'!$A$4:$A$162,A50,'國外委外明細'!$C$4:$C$162,C50,'國外委外明細'!$E$4:$E$162,E50)</x:f>
        <x:v>949175052</x:v>
      </x:c>
      <x:c r="G50" s="40" t="n">
        <x:f>SUMIFS('國外委外明細'!$H$4:$H$162,'國外委外明細'!$A$4:$A$162,A50,'國外委外明細'!$C$4:$C$162,C50,'國外委外明細'!$E$4:$E$162,E50)</x:f>
        <x:v>1656860388</x:v>
      </x:c>
      <x:c r="H50" s="43" t="n">
        <x:f>IFERROR(G50/F50-1,0)</x:f>
        <x:v>0.7455793686410543</x:v>
      </x:c>
      <x:c r="I50" s="43" t="e">
        <x:f>AVERAGEIFS('國外委外明細'!$J$4:$J$162,'國外委外明細'!$A$4:$A$162,A50,'國外委外明細'!$C$4:$C$162,C50,'國外委外明細'!$E$4:$E$162,E50)</x:f>
        <x:v>e.reduce is not a function</x:v>
      </x:c>
      <x:c r="J50" s="31" t="str">
        <x:v>美元</x:v>
      </x:c>
      <x:c r="K50" s="32" t="str">
        <x:v>勞工退休基金-115年6月.pdf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SUMIFS('國外委外明細'!$G$4:$G$162,'國外委外明細'!$A$4:$A$162,A51,'國外委外明細'!$C$4:$C$162,C51,'國外委外明細'!$E$4:$E$162,E51)</x:f>
        <x:v>3101360175</x:v>
      </x:c>
      <x:c r="G51" s="40" t="n">
        <x:f>SUMIFS('國外委外明細'!$H$4:$H$162,'國外委外明細'!$A$4:$A$162,A51,'國外委外明細'!$C$4:$C$162,C51,'國外委外明細'!$E$4:$E$162,E51)</x:f>
        <x:v>5646832072</x:v>
      </x:c>
      <x:c r="H51" s="43" t="n">
        <x:f>IFERROR(G51/F51-1,0)</x:f>
        <x:v>0.8207598451540701</x:v>
      </x:c>
      <x:c r="I51" s="43" t="e">
        <x:f>AVERAGEIFS('國外委外明細'!$J$4:$J$162,'國外委外明細'!$A$4:$A$162,A51,'國外委外明細'!$C$4:$C$162,C51,'國外委外明細'!$E$4:$E$162,E51)</x:f>
        <x:v>e.reduce is not a function</x:v>
      </x:c>
      <x:c r="J51" s="31" t="str">
        <x:v>美元</x:v>
      </x:c>
      <x:c r="K51" s="32" t="str">
        <x:v>勞工退休基金-115年6月.pdf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SUMIFS('國外委外明細'!$G$4:$G$162,'國外委外明細'!$A$4:$A$162,A52,'國外委外明細'!$C$4:$C$162,C52,'國外委外明細'!$E$4:$E$162,E52)</x:f>
        <x:v>2372190430</x:v>
      </x:c>
      <x:c r="G52" s="40" t="n">
        <x:f>SUMIFS('國外委外明細'!$H$4:$H$162,'國外委外明細'!$A$4:$A$162,A52,'國外委外明細'!$C$4:$C$162,C52,'國外委外明細'!$E$4:$E$162,E52)</x:f>
        <x:v>2976089335</x:v>
      </x:c>
      <x:c r="H52" s="43" t="n">
        <x:f>IFERROR(G52/F52-1,0)</x:f>
        <x:v>0.2545743787525523</x:v>
      </x:c>
      <x:c r="I52" s="43" t="e">
        <x:f>AVERAGEIFS('國外委外明細'!$J$4:$J$162,'國外委外明細'!$A$4:$A$162,A52,'國外委外明細'!$C$4:$C$162,C52,'國外委外明細'!$E$4:$E$162,E52)</x:f>
        <x:v>e.reduce is not a function</x:v>
      </x:c>
      <x:c r="J52" s="31" t="str">
        <x:v>美元</x:v>
      </x:c>
      <x:c r="K52" s="32" t="str">
        <x:v>勞工退休基金-115年6月.pdf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SUMIFS('國外委外明細'!$G$4:$G$162,'國外委外明細'!$A$4:$A$162,A53,'國外委外明細'!$C$4:$C$162,C53,'國外委外明細'!$E$4:$E$162,E53)</x:f>
        <x:v>5127486283</x:v>
      </x:c>
      <x:c r="G53" s="40" t="n">
        <x:f>SUMIFS('國外委外明細'!$H$4:$H$162,'國外委外明細'!$A$4:$A$162,A53,'國外委外明細'!$C$4:$C$162,C53,'國外委外明細'!$E$4:$E$162,E53)</x:f>
        <x:v>7241860834</x:v>
      </x:c>
      <x:c r="H53" s="43" t="n">
        <x:f>IFERROR(G53/F53-1,0)</x:f>
        <x:v>0.41236084004946716</x:v>
      </x:c>
      <x:c r="I53" s="43" t="e">
        <x:f>AVERAGEIFS('國外委外明細'!$J$4:$J$162,'國外委外明細'!$A$4:$A$162,A53,'國外委外明細'!$C$4:$C$162,C53,'國外委外明細'!$E$4:$E$162,E53)</x:f>
        <x:v>e.reduce is not a function</x:v>
      </x:c>
      <x:c r="J53" s="31" t="str">
        <x:v>美元</x:v>
      </x:c>
      <x:c r="K53" s="32" t="str">
        <x:v>勞工退休基金-115年6月.pdf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SUMIFS('國外委外明細'!$G$4:$G$162,'國外委外明細'!$A$4:$A$162,A54,'國外委外明細'!$C$4:$C$162,C54,'國外委外明細'!$E$4:$E$162,E54)</x:f>
        <x:v>2292631829</x:v>
      </x:c>
      <x:c r="G54" s="40" t="n">
        <x:f>SUMIFS('國外委外明細'!$H$4:$H$162,'國外委外明細'!$A$4:$A$162,A54,'國外委外明細'!$C$4:$C$162,C54,'國外委外明細'!$E$4:$E$162,E54)</x:f>
        <x:v>2271969268</x:v>
      </x:c>
      <x:c r="H54" s="43" t="n">
        <x:f>IFERROR(G54/F54-1,0)</x:f>
        <x:v>-0.009012594494517079</x:v>
      </x:c>
      <x:c r="I54" s="43" t="e">
        <x:f>AVERAGEIFS('國外委外明細'!$J$4:$J$162,'國外委外明細'!$A$4:$A$162,A54,'國外委外明細'!$C$4:$C$162,C54,'國外委外明細'!$E$4:$E$162,E54)</x:f>
        <x:v>e.reduce is not a function</x:v>
      </x:c>
      <x:c r="J54" s="31" t="str">
        <x:v>美元</x:v>
      </x:c>
      <x:c r="K54" s="32" t="str">
        <x:v>勞工退休基金-115年6月.pdf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SUMIFS('國外委外明細'!$G$4:$G$162,'國外委外明細'!$A$4:$A$162,A55,'國外委外明細'!$C$4:$C$162,C55,'國外委外明細'!$E$4:$E$162,E55)</x:f>
        <x:v>1910000000</x:v>
      </x:c>
      <x:c r="G55" s="40" t="n">
        <x:f>SUMIFS('國外委外明細'!$H$4:$H$162,'國外委外明細'!$A$4:$A$162,A55,'國外委外明細'!$C$4:$C$162,C55,'國外委外明細'!$E$4:$E$162,E55)</x:f>
        <x:v>2607728903</x:v>
      </x:c>
      <x:c r="H55" s="43" t="n">
        <x:f>IFERROR(G55/F55-1,0)</x:f>
        <x:v>0.36530309057591626</x:v>
      </x:c>
      <x:c r="I55" s="43" t="e">
        <x:f>AVERAGEIFS('國外委外明細'!$J$4:$J$162,'國外委外明細'!$A$4:$A$162,A55,'國外委外明細'!$C$4:$C$162,C55,'國外委外明細'!$E$4:$E$162,E55)</x:f>
        <x:v>e.reduce is not a function</x:v>
      </x:c>
      <x:c r="J55" s="31" t="str">
        <x:v>美元</x:v>
      </x:c>
      <x:c r="K55" s="32" t="str">
        <x:v>勞工退休基金-115年6月.pdf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SUMIFS('國外委外明細'!$G$4:$G$162,'國外委外明細'!$A$4:$A$162,A56,'國外委外明細'!$C$4:$C$162,C56,'國外委外明細'!$E$4:$E$162,E56)</x:f>
        <x:v>2000000000</x:v>
      </x:c>
      <x:c r="G56" s="40" t="n">
        <x:f>SUMIFS('國外委外明細'!$H$4:$H$162,'國外委外明細'!$A$4:$A$162,A56,'國外委外明細'!$C$4:$C$162,C56,'國外委外明細'!$E$4:$E$162,E56)</x:f>
        <x:v>2542790283</x:v>
      </x:c>
      <x:c r="H56" s="43" t="n">
        <x:f>IFERROR(G56/F56-1,0)</x:f>
        <x:v>0.2713951415</x:v>
      </x:c>
      <x:c r="I56" s="43" t="e">
        <x:f>AVERAGEIFS('國外委外明細'!$J$4:$J$162,'國外委外明細'!$A$4:$A$162,A56,'國外委外明細'!$C$4:$C$162,C56,'國外委外明細'!$E$4:$E$162,E56)</x:f>
        <x:v>e.reduce is not a function</x:v>
      </x:c>
      <x:c r="J56" s="31" t="str">
        <x:v>美元</x:v>
      </x:c>
      <x:c r="K56" s="32" t="str">
        <x:v>勞工退休基金-115年6月.pdf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SUMIFS('國外委外明細'!$G$4:$G$162,'國外委外明細'!$A$4:$A$162,A57,'國外委外明細'!$C$4:$C$162,C57,'國外委外明細'!$E$4:$E$162,E57)</x:f>
        <x:v>2000000000</x:v>
      </x:c>
      <x:c r="G57" s="40" t="n">
        <x:f>SUMIFS('國外委外明細'!$H$4:$H$162,'國外委外明細'!$A$4:$A$162,A57,'國外委外明細'!$C$4:$C$162,C57,'國外委外明細'!$E$4:$E$162,E57)</x:f>
        <x:v>3010500968</x:v>
      </x:c>
      <x:c r="H57" s="43" t="n">
        <x:f>IFERROR(G57/F57-1,0)</x:f>
        <x:v>0.505250484</x:v>
      </x:c>
      <x:c r="I57" s="43" t="e">
        <x:f>AVERAGEIFS('國外委外明細'!$J$4:$J$162,'國外委外明細'!$A$4:$A$162,A57,'國外委外明細'!$C$4:$C$162,C57,'國外委外明細'!$E$4:$E$162,E57)</x:f>
        <x:v>e.reduce is not a function</x:v>
      </x:c>
      <x:c r="J57" s="31" t="str">
        <x:v>美元</x:v>
      </x:c>
      <x:c r="K57" s="32" t="str">
        <x:v>勞工退休基金-115年6月.pdf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SUMIFS('國外委外明細'!$G$4:$G$162,'國外委外明細'!$A$4:$A$162,A58,'國外委外明細'!$C$4:$C$162,C58,'國外委外明細'!$E$4:$E$162,E58)</x:f>
        <x:v>3200000000</x:v>
      </x:c>
      <x:c r="G58" s="40" t="n">
        <x:f>SUMIFS('國外委外明細'!$H$4:$H$162,'國外委外明細'!$A$4:$A$162,A58,'國外委外明細'!$C$4:$C$162,C58,'國外委外明細'!$E$4:$E$162,E58)</x:f>
        <x:v>3686550456</x:v>
      </x:c>
      <x:c r="H58" s="43" t="n">
        <x:f>IFERROR(G58/F58-1,0)</x:f>
        <x:v>0.15204701749999994</x:v>
      </x:c>
      <x:c r="I58" s="43" t="e">
        <x:f>AVERAGEIFS('國外委外明細'!$J$4:$J$162,'國外委外明細'!$A$4:$A$162,A58,'國外委外明細'!$C$4:$C$162,C58,'國外委外明細'!$E$4:$E$162,E58)</x:f>
        <x:v>e.reduce is not a function</x:v>
      </x:c>
      <x:c r="J58" s="31" t="str">
        <x:v>美元</x:v>
      </x:c>
      <x:c r="K58" s="32" t="str">
        <x:v>勞工退休基金-115年6月.pdf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SUMIFS('國外委外明細'!$G$4:$G$162,'國外委外明細'!$A$4:$A$162,A59,'國外委外明細'!$C$4:$C$162,C59,'國外委外明細'!$E$4:$E$162,E59)</x:f>
        <x:v>1600000000</x:v>
      </x:c>
      <x:c r="G59" s="40" t="n">
        <x:f>SUMIFS('國外委外明細'!$H$4:$H$162,'國外委外明細'!$A$4:$A$162,A59,'國外委外明細'!$C$4:$C$162,C59,'國外委外明細'!$E$4:$E$162,E59)</x:f>
        <x:v>2168929512</x:v>
      </x:c>
      <x:c r="H59" s="43" t="n">
        <x:f>IFERROR(G59/F59-1,0)</x:f>
        <x:v>0.35558094500000004</x:v>
      </x:c>
      <x:c r="I59" s="43" t="e">
        <x:f>AVERAGEIFS('國外委外明細'!$J$4:$J$162,'國外委外明細'!$A$4:$A$162,A59,'國外委外明細'!$C$4:$C$162,C59,'國外委外明細'!$E$4:$E$162,E59)</x:f>
        <x:v>e.reduce is not a function</x:v>
      </x:c>
      <x:c r="J59" s="31" t="str">
        <x:v>美元</x:v>
      </x:c>
      <x:c r="K59" s="32" t="str">
        <x:v>勞工退休基金-115年6月.pdf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SUMIFS('國外委外明細'!$G$4:$G$162,'國外委外明細'!$A$4:$A$162,A60,'國外委外明細'!$C$4:$C$162,C60,'國外委外明細'!$E$4:$E$162,E60)</x:f>
        <x:v>1600000000</x:v>
      </x:c>
      <x:c r="G60" s="40" t="n">
        <x:f>SUMIFS('國外委外明細'!$H$4:$H$162,'國外委外明細'!$A$4:$A$162,A60,'國外委外明細'!$C$4:$C$162,C60,'國外委外明細'!$E$4:$E$162,E60)</x:f>
        <x:v>1816123015</x:v>
      </x:c>
      <x:c r="H60" s="43" t="n">
        <x:f>IFERROR(G60/F60-1,0)</x:f>
        <x:v>0.1350768843750001</x:v>
      </x:c>
      <x:c r="I60" s="43" t="e">
        <x:f>AVERAGEIFS('國外委外明細'!$J$4:$J$162,'國外委外明細'!$A$4:$A$162,A60,'國外委外明細'!$C$4:$C$162,C60,'國外委外明細'!$E$4:$E$162,E60)</x:f>
        <x:v>e.reduce is not a function</x:v>
      </x:c>
      <x:c r="J60" s="31" t="str">
        <x:v>美元</x:v>
      </x:c>
      <x:c r="K60" s="32" t="str">
        <x:v>勞工退休基金-115年6月.pdf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SUMIFS('國外委外明細'!$G$4:$G$162,'國外委外明細'!$A$4:$A$162,A61,'國外委外明細'!$C$4:$C$162,C61,'國外委外明細'!$E$4:$E$162,E61)</x:f>
        <x:v>1600000000</x:v>
      </x:c>
      <x:c r="G61" s="40" t="n">
        <x:f>SUMIFS('國外委外明細'!$H$4:$H$162,'國外委外明細'!$A$4:$A$162,A61,'國外委外明細'!$C$4:$C$162,C61,'國外委外明細'!$E$4:$E$162,E61)</x:f>
        <x:v>1688959007</x:v>
      </x:c>
      <x:c r="H61" s="43" t="n">
        <x:f>IFERROR(G61/F61-1,0)</x:f>
        <x:v>0.055599379375000035</x:v>
      </x:c>
      <x:c r="I61" s="43" t="e">
        <x:f>AVERAGEIFS('國外委外明細'!$J$4:$J$162,'國外委外明細'!$A$4:$A$162,A61,'國外委外明細'!$C$4:$C$162,C61,'國外委外明細'!$E$4:$E$162,E61)</x:f>
        <x:v>e.reduce is not a function</x:v>
      </x:c>
      <x:c r="J61" s="31" t="str">
        <x:v>美元</x:v>
      </x:c>
      <x:c r="K61" s="32" t="str">
        <x:v>勞工退休基金-115年6月.pdf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SUMIFS('國外委外明細'!$G$4:$G$162,'國外委外明細'!$A$4:$A$162,A62,'國外委外明細'!$C$4:$C$162,C62,'國外委外明細'!$E$4:$E$162,E62)</x:f>
        <x:v>753144454</x:v>
      </x:c>
      <x:c r="G62" s="40" t="n">
        <x:f>SUMIFS('國外委外明細'!$H$4:$H$162,'國外委外明細'!$A$4:$A$162,A62,'國外委外明細'!$C$4:$C$162,C62,'國外委外明細'!$E$4:$E$162,E62)</x:f>
        <x:v>1000473186</x:v>
      </x:c>
      <x:c r="H62" s="43" t="n">
        <x:f>IFERROR(G62/F62-1,0)</x:f>
        <x:v>0.3283948128229861</x:v>
      </x:c>
      <x:c r="I62" s="43" t="e">
        <x:f>AVERAGEIFS('國外委外明細'!$J$4:$J$162,'國外委外明細'!$A$4:$A$162,A62,'國外委外明細'!$C$4:$C$162,C62,'國外委外明細'!$E$4:$E$162,E62)</x:f>
        <x:v>e.reduce is not a function</x:v>
      </x:c>
      <x:c r="J62" s="31" t="str">
        <x:v>美元</x:v>
      </x:c>
      <x:c r="K62" s="32" t="str">
        <x:v>勞工退休基金-115年6月.pdf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SUMIFS('國外委外明細'!$G$4:$G$162,'國外委外明細'!$A$4:$A$162,A63,'國外委外明細'!$C$4:$C$162,C63,'國外委外明細'!$E$4:$E$162,E63)</x:f>
        <x:v>2022418498</x:v>
      </x:c>
      <x:c r="G63" s="40" t="n">
        <x:f>SUMIFS('國外委外明細'!$H$4:$H$162,'國外委外明細'!$A$4:$A$162,A63,'國外委外明細'!$C$4:$C$162,C63,'國外委外明細'!$E$4:$E$162,E63)</x:f>
        <x:v>1907650574</x:v>
      </x:c>
      <x:c r="H63" s="43" t="n">
        <x:f>IFERROR(G63/F63-1,0)</x:f>
        <x:v>-0.05674786109477126</x:v>
      </x:c>
      <x:c r="I63" s="43" t="e">
        <x:f>AVERAGEIFS('國外委外明細'!$J$4:$J$162,'國外委外明細'!$A$4:$A$162,A63,'國外委外明細'!$C$4:$C$162,C63,'國外委外明細'!$E$4:$E$162,E63)</x:f>
        <x:v>e.reduce is not a function</x:v>
      </x:c>
      <x:c r="J63" s="31" t="str">
        <x:v>美元</x:v>
      </x:c>
      <x:c r="K63" s="32" t="str">
        <x:v>勞工退休基金-115年6月.pdf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SUMIFS('國外委外明細'!$G$4:$G$162,'國外委外明細'!$A$4:$A$162,A64,'國外委外明細'!$C$4:$C$162,C64,'國外委外明細'!$E$4:$E$162,E64)</x:f>
        <x:v>456987544</x:v>
      </x:c>
      <x:c r="G64" s="40" t="n">
        <x:f>SUMIFS('國外委外明細'!$H$4:$H$162,'國外委外明細'!$A$4:$A$162,A64,'國外委外明細'!$C$4:$C$162,C64,'國外委外明細'!$E$4:$E$162,E64)</x:f>
        <x:v>1504388734</x:v>
      </x:c>
      <x:c r="H64" s="43" t="n">
        <x:f>IFERROR(G64/F64-1,0)</x:f>
        <x:v>2.291968793792769</x:v>
      </x:c>
      <x:c r="I64" s="43" t="e">
        <x:f>AVERAGEIFS('國外委外明細'!$J$4:$J$162,'國外委外明細'!$A$4:$A$162,A64,'國外委外明細'!$C$4:$C$162,C64,'國外委外明細'!$E$4:$E$162,E64)</x:f>
        <x:v>e.reduce is not a function</x:v>
      </x:c>
      <x:c r="J64" s="31" t="str">
        <x:v>美元</x:v>
      </x:c>
      <x:c r="K64" s="32" t="str">
        <x:v>勞工退休基金-115年6月.pdf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SUMIFS('國外委外明細'!$G$4:$G$162,'國外委外明細'!$A$4:$A$162,A65,'國外委外明細'!$C$4:$C$162,C65,'國外委外明細'!$E$4:$E$162,E65)</x:f>
        <x:v>181124998</x:v>
      </x:c>
      <x:c r="G65" s="40" t="n">
        <x:f>SUMIFS('國外委外明細'!$H$4:$H$162,'國外委外明細'!$A$4:$A$162,A65,'國外委外明細'!$C$4:$C$162,C65,'國外委外明細'!$E$4:$E$162,E65)</x:f>
        <x:v>388876019</x:v>
      </x:c>
      <x:c r="H65" s="43" t="n">
        <x:f>IFERROR(G65/F65-1,0)</x:f>
        <x:v>1.1470035792629796</x:v>
      </x:c>
      <x:c r="I65" s="43" t="e">
        <x:f>AVERAGEIFS('國外委外明細'!$J$4:$J$162,'國外委外明細'!$A$4:$A$162,A65,'國外委外明細'!$C$4:$C$162,C65,'國外委外明細'!$E$4:$E$162,E65)</x:f>
        <x:v>e.reduce is not a function</x:v>
      </x:c>
      <x:c r="J65" s="31" t="str">
        <x:v>美元</x:v>
      </x:c>
      <x:c r="K65" s="32" t="str">
        <x:v>勞工退休基金-115年6月.pdf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SUMIFS('國外委外明細'!$G$4:$G$162,'國外委外明細'!$A$4:$A$162,A66,'國外委外明細'!$C$4:$C$162,C66,'國外委外明細'!$E$4:$E$162,E66)</x:f>
        <x:v>1526913244</x:v>
      </x:c>
      <x:c r="G66" s="40" t="n">
        <x:f>SUMIFS('國外委外明細'!$H$4:$H$162,'國外委外明細'!$A$4:$A$162,A66,'國外委外明細'!$C$4:$C$162,C66,'國外委外明細'!$E$4:$E$162,E66)</x:f>
        <x:v>1552537608</x:v>
      </x:c>
      <x:c r="H66" s="43" t="n">
        <x:f>IFERROR(G66/F66-1,0)</x:f>
        <x:v>0.016781807414855354</x:v>
      </x:c>
      <x:c r="I66" s="43" t="e">
        <x:f>AVERAGEIFS('國外委外明細'!$J$4:$J$162,'國外委外明細'!$A$4:$A$162,A66,'國外委外明細'!$C$4:$C$162,C66,'國外委外明細'!$E$4:$E$162,E66)</x:f>
        <x:v>e.reduce is not a function</x:v>
      </x:c>
      <x:c r="J66" s="31" t="str">
        <x:v>美元</x:v>
      </x:c>
      <x:c r="K66" s="32" t="str">
        <x:v>勞工退休基金-115年6月.pdf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SUMIFS('國外委外明細'!$G$4:$G$162,'國外委外明細'!$A$4:$A$162,A67,'國外委外明細'!$C$4:$C$162,C67,'國外委外明細'!$E$4:$E$162,E67)</x:f>
        <x:v>751993706</x:v>
      </x:c>
      <x:c r="G67" s="40" t="n">
        <x:f>SUMIFS('國外委外明細'!$H$4:$H$162,'國外委外明細'!$A$4:$A$162,A67,'國外委外明細'!$C$4:$C$162,C67,'國外委外明細'!$E$4:$E$162,E67)</x:f>
        <x:v>1013212614</x:v>
      </x:c>
      <x:c r="H67" s="43" t="n">
        <x:f>IFERROR(G67/F67-1,0)</x:f>
        <x:v>0.34736847651222225</x:v>
      </x:c>
      <x:c r="I67" s="43" t="e">
        <x:f>AVERAGEIFS('國外委外明細'!$J$4:$J$162,'國外委外明細'!$A$4:$A$162,A67,'國外委外明細'!$C$4:$C$162,C67,'國外委外明細'!$E$4:$E$162,E67)</x:f>
        <x:v>e.reduce is not a function</x:v>
      </x:c>
      <x:c r="J67" s="31" t="str">
        <x:v>美元</x:v>
      </x:c>
      <x:c r="K67" s="32" t="str">
        <x:v>勞工退休基金-115年6月.pdf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SUMIFS('國外委外明細'!$G$4:$G$162,'國外委外明細'!$A$4:$A$162,A68,'國外委外明細'!$C$4:$C$162,C68,'國外委外明細'!$E$4:$E$162,E68)</x:f>
        <x:v>1433855129</x:v>
      </x:c>
      <x:c r="G68" s="40" t="n">
        <x:f>SUMIFS('國外委外明細'!$H$4:$H$162,'國外委外明細'!$A$4:$A$162,A68,'國外委外明細'!$C$4:$C$162,C68,'國外委外明細'!$E$4:$E$162,E68)</x:f>
        <x:v>2047429988</x:v>
      </x:c>
      <x:c r="H68" s="43" t="n">
        <x:f>IFERROR(G68/F68-1,0)</x:f>
        <x:v>0.42791970164232684</x:v>
      </x:c>
      <x:c r="I68" s="43" t="e">
        <x:f>AVERAGEIFS('國外委外明細'!$J$4:$J$162,'國外委外明細'!$A$4:$A$162,A68,'國外委外明細'!$C$4:$C$162,C68,'國外委外明細'!$E$4:$E$162,E68)</x:f>
        <x:v>e.reduce is not a function</x:v>
      </x:c>
      <x:c r="J68" s="31" t="str">
        <x:v>美元</x:v>
      </x:c>
      <x:c r="K68" s="32" t="str">
        <x:v>勞工退休基金-115年6月.pdf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SUMIFS('國外委外明細'!$G$4:$G$162,'國外委外明細'!$A$4:$A$162,A69,'國外委外明細'!$C$4:$C$162,C69,'國外委外明細'!$E$4:$E$162,E69)</x:f>
        <x:v>954418976</x:v>
      </x:c>
      <x:c r="G69" s="40" t="n">
        <x:f>SUMIFS('國外委外明細'!$H$4:$H$162,'國外委外明細'!$A$4:$A$162,A69,'國外委外明細'!$C$4:$C$162,C69,'國外委外明細'!$E$4:$E$162,E69)</x:f>
        <x:v>1388520134</x:v>
      </x:c>
      <x:c r="H69" s="43" t="n">
        <x:f>IFERROR(G69/F69-1,0)</x:f>
        <x:v>0.4548329076809974</x:v>
      </x:c>
      <x:c r="I69" s="43" t="e">
        <x:f>AVERAGEIFS('國外委外明細'!$J$4:$J$162,'國外委外明細'!$A$4:$A$162,A69,'國外委外明細'!$C$4:$C$162,C69,'國外委外明細'!$E$4:$E$162,E69)</x:f>
        <x:v>e.reduce is not a function</x:v>
      </x:c>
      <x:c r="J69" s="31" t="str">
        <x:v>美元</x:v>
      </x:c>
      <x:c r="K69" s="32" t="str">
        <x:v>勞工退休基金-115年6月.pdf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SUMIFS('國外委外明細'!$G$4:$G$162,'國外委外明細'!$A$4:$A$162,A70,'國外委外明細'!$C$4:$C$162,C70,'國外委外明細'!$E$4:$E$162,E70)</x:f>
        <x:v>708888643</x:v>
      </x:c>
      <x:c r="G70" s="40" t="n">
        <x:f>SUMIFS('國外委外明細'!$H$4:$H$162,'國外委外明細'!$A$4:$A$162,A70,'國外委外明細'!$C$4:$C$162,C70,'國外委外明細'!$E$4:$E$162,E70)</x:f>
        <x:v>801020312</x:v>
      </x:c>
      <x:c r="H70" s="43" t="n">
        <x:f>IFERROR(G70/F70-1,0)</x:f>
        <x:v>0.12996634931277917</x:v>
      </x:c>
      <x:c r="I70" s="43" t="e">
        <x:f>AVERAGEIFS('國外委外明細'!$J$4:$J$162,'國外委外明細'!$A$4:$A$162,A70,'國外委外明細'!$C$4:$C$162,C70,'國外委外明細'!$E$4:$E$162,E70)</x:f>
        <x:v>e.reduce is not a function</x:v>
      </x:c>
      <x:c r="J70" s="31" t="str">
        <x:v>美元</x:v>
      </x:c>
      <x:c r="K70" s="32" t="str">
        <x:v>勞工退休基金-115年6月.pdf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SUMIFS('國外委外明細'!$G$4:$G$162,'國外委外明細'!$A$4:$A$162,A71,'國外委外明細'!$C$4:$C$162,C71,'國外委外明細'!$E$4:$E$162,E71)</x:f>
        <x:v>1159647848</x:v>
      </x:c>
      <x:c r="G71" s="40" t="n">
        <x:f>SUMIFS('國外委外明細'!$H$4:$H$162,'國外委外明細'!$A$4:$A$162,A71,'國外委外明細'!$C$4:$C$162,C71,'國外委外明細'!$E$4:$E$162,E71)</x:f>
        <x:v>1164672915</x:v>
      </x:c>
      <x:c r="H71" s="43" t="n">
        <x:f>IFERROR(G71/F71-1,0)</x:f>
        <x:v>0.004333269801402695</x:v>
      </x:c>
      <x:c r="I71" s="43" t="e">
        <x:f>AVERAGEIFS('國外委外明細'!$J$4:$J$162,'國外委外明細'!$A$4:$A$162,A71,'國外委外明細'!$C$4:$C$162,C71,'國外委外明細'!$E$4:$E$162,E71)</x:f>
        <x:v>e.reduce is not a function</x:v>
      </x:c>
      <x:c r="J71" s="31" t="str">
        <x:v>美元</x:v>
      </x:c>
      <x:c r="K71" s="32" t="str">
        <x:v>勞工退休基金-115年6月.pdf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SUMIFS('國外委外明細'!$G$4:$G$162,'國外委外明細'!$A$4:$A$162,A72,'國外委外明細'!$C$4:$C$162,C72,'國外委外明細'!$E$4:$E$162,E72)</x:f>
        <x:v>591299260</x:v>
      </x:c>
      <x:c r="G72" s="40" t="n">
        <x:f>SUMIFS('國外委外明細'!$H$4:$H$162,'國外委外明細'!$A$4:$A$162,A72,'國外委外明細'!$C$4:$C$162,C72,'國外委外明細'!$E$4:$E$162,E72)</x:f>
        <x:v>1147786565</x:v>
      </x:c>
      <x:c r="H72" s="43" t="n">
        <x:f>IFERROR(G72/F72-1,0)</x:f>
        <x:v>0.9411263342355611</x:v>
      </x:c>
      <x:c r="I72" s="43" t="e">
        <x:f>AVERAGEIFS('國外委外明細'!$J$4:$J$162,'國外委外明細'!$A$4:$A$162,A72,'國外委外明細'!$C$4:$C$162,C72,'國外委外明細'!$E$4:$E$162,E72)</x:f>
        <x:v>e.reduce is not a function</x:v>
      </x:c>
      <x:c r="J72" s="31" t="str">
        <x:v>美元</x:v>
      </x:c>
      <x:c r="K72" s="32" t="str">
        <x:v>勞工退休基金-115年6月.pdf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SUMIFS('國外委外明細'!$G$4:$G$162,'國外委外明細'!$A$4:$A$162,A73,'國外委外明細'!$C$4:$C$162,C73,'國外委外明細'!$E$4:$E$162,E73)</x:f>
        <x:v>927421608</x:v>
      </x:c>
      <x:c r="G73" s="40" t="n">
        <x:f>SUMIFS('國外委外明細'!$H$4:$H$162,'國外委外明細'!$A$4:$A$162,A73,'國外委外明細'!$C$4:$C$162,C73,'國外委外明細'!$E$4:$E$162,E73)</x:f>
        <x:v>1162317283</x:v>
      </x:c>
      <x:c r="H73" s="43" t="n">
        <x:f>IFERROR(G73/F73-1,0)</x:f>
        <x:v>0.2532781994443243</x:v>
      </x:c>
      <x:c r="I73" s="43" t="e">
        <x:f>AVERAGEIFS('國外委外明細'!$J$4:$J$162,'國外委外明細'!$A$4:$A$162,A73,'國外委外明細'!$C$4:$C$162,C73,'國外委外明細'!$E$4:$E$162,E73)</x:f>
        <x:v>e.reduce is not a function</x:v>
      </x:c>
      <x:c r="J73" s="31" t="str">
        <x:v>美元</x:v>
      </x:c>
      <x:c r="K73" s="32" t="str">
        <x:v>勞工退休基金-115年6月.pdf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SUMIFS('國外委外明細'!$G$4:$G$162,'國外委外明細'!$A$4:$A$162,A74,'國外委外明細'!$C$4:$C$162,C74,'國外委外明細'!$E$4:$E$162,E74)</x:f>
        <x:v>339564550</x:v>
      </x:c>
      <x:c r="G74" s="40" t="n">
        <x:f>SUMIFS('國外委外明細'!$H$4:$H$162,'國外委外明細'!$A$4:$A$162,A74,'國外委外明細'!$C$4:$C$162,C74,'國外委外明細'!$E$4:$E$162,E74)</x:f>
        <x:v>500696821</x:v>
      </x:c>
      <x:c r="H74" s="43" t="n">
        <x:f>IFERROR(G74/F74-1,0)</x:f>
        <x:v>0.47452618655274814</x:v>
      </x:c>
      <x:c r="I74" s="43" t="e">
        <x:f>AVERAGEIFS('國外委外明細'!$J$4:$J$162,'國外委外明細'!$A$4:$A$162,A74,'國外委外明細'!$C$4:$C$162,C74,'國外委外明細'!$E$4:$E$162,E74)</x:f>
        <x:v>e.reduce is not a function</x:v>
      </x:c>
      <x:c r="J74" s="31" t="str">
        <x:v>美元</x:v>
      </x:c>
      <x:c r="K74" s="32" t="str">
        <x:v>勞工退休基金-115年6月.pdf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SUMIFS('國外委外明細'!$G$4:$G$162,'國外委外明細'!$A$4:$A$162,A75,'國外委外明細'!$C$4:$C$162,C75,'國外委外明細'!$E$4:$E$162,E75)</x:f>
        <x:v>240000000</x:v>
      </x:c>
      <x:c r="G75" s="40" t="n">
        <x:f>SUMIFS('國外委外明細'!$H$4:$H$162,'國外委外明細'!$A$4:$A$162,A75,'國外委外明細'!$C$4:$C$162,C75,'國外委外明細'!$E$4:$E$162,E75)</x:f>
        <x:v>329712964</x:v>
      </x:c>
      <x:c r="H75" s="43" t="n">
        <x:f>IFERROR(G75/F75-1,0)</x:f>
        <x:v>0.37380401666666674</x:v>
      </x:c>
      <x:c r="I75" s="43" t="e">
        <x:f>AVERAGEIFS('國外委外明細'!$J$4:$J$162,'國外委外明細'!$A$4:$A$162,A75,'國外委外明細'!$C$4:$C$162,C75,'國外委外明細'!$E$4:$E$162,E75)</x:f>
        <x:v>e.reduce is not a function</x:v>
      </x:c>
      <x:c r="J75" s="31" t="str">
        <x:v>美元</x:v>
      </x:c>
      <x:c r="K75" s="32" t="str">
        <x:v>勞工退休基金-115年6月.pdf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SUMIFS('國外委外明細'!$G$4:$G$162,'國外委外明細'!$A$4:$A$162,A76,'國外委外明細'!$C$4:$C$162,C76,'國外委外明細'!$E$4:$E$162,E76)</x:f>
        <x:v>946084601</x:v>
      </x:c>
      <x:c r="G76" s="40" t="n">
        <x:f>SUMIFS('國外委外明細'!$H$4:$H$162,'國外委外明細'!$A$4:$A$162,A76,'國外委外明細'!$C$4:$C$162,C76,'國外委外明細'!$E$4:$E$162,E76)</x:f>
        <x:v>1255172172</x:v>
      </x:c>
      <x:c r="H76" s="43" t="n">
        <x:f>IFERROR(G76/F76-1,0)</x:f>
        <x:v>0.32670183054802737</x:v>
      </x:c>
      <x:c r="I76" s="43" t="e">
        <x:f>AVERAGEIFS('國外委外明細'!$J$4:$J$162,'國外委外明細'!$A$4:$A$162,A76,'國外委外明細'!$C$4:$C$162,C76,'國外委外明細'!$E$4:$E$162,E76)</x:f>
        <x:v>e.reduce is not a function</x:v>
      </x:c>
      <x:c r="J76" s="31" t="str">
        <x:v>美元</x:v>
      </x:c>
      <x:c r="K76" s="32" t="str">
        <x:v>勞工保險基金-115年6月.pdf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SUMIFS('國外委外明細'!$G$4:$G$162,'國外委外明細'!$A$4:$A$162,A77,'國外委外明細'!$C$4:$C$162,C77,'國外委外明細'!$E$4:$E$162,E77)</x:f>
        <x:v>274323144</x:v>
      </x:c>
      <x:c r="G77" s="40" t="n">
        <x:f>SUMIFS('國外委外明細'!$H$4:$H$162,'國外委外明細'!$A$4:$A$162,A77,'國外委外明細'!$C$4:$C$162,C77,'國外委外明細'!$E$4:$E$162,E77)</x:f>
        <x:v>374599171</x:v>
      </x:c>
      <x:c r="H77" s="43" t="n">
        <x:f>IFERROR(G77/F77-1,0)</x:f>
        <x:v>0.3655397992959719</x:v>
      </x:c>
      <x:c r="I77" s="43" t="e">
        <x:f>AVERAGEIFS('國外委外明細'!$J$4:$J$162,'國外委外明細'!$A$4:$A$162,A77,'國外委外明細'!$C$4:$C$162,C77,'國外委外明細'!$E$4:$E$162,E77)</x:f>
        <x:v>e.reduce is not a function</x:v>
      </x:c>
      <x:c r="J77" s="31" t="str">
        <x:v>美元</x:v>
      </x:c>
      <x:c r="K77" s="32" t="str">
        <x:v>勞工保險基金-115年6月.pdf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SUMIFS('國外委外明細'!$G$4:$G$162,'國外委外明細'!$A$4:$A$162,A78,'國外委外明細'!$C$4:$C$162,C78,'國外委外明細'!$E$4:$E$162,E78)</x:f>
        <x:v>1466614615</x:v>
      </x:c>
      <x:c r="G78" s="40" t="n">
        <x:f>SUMIFS('國外委外明細'!$H$4:$H$162,'國外委外明細'!$A$4:$A$162,A78,'國外委外明細'!$C$4:$C$162,C78,'國外委外明細'!$E$4:$E$162,E78)</x:f>
        <x:v>1552187868</x:v>
      </x:c>
      <x:c r="H78" s="43" t="n">
        <x:f>IFERROR(G78/F78-1,0)</x:f>
        <x:v>0.05834747051119482</x:v>
      </x:c>
      <x:c r="I78" s="43" t="e">
        <x:f>AVERAGEIFS('國外委外明細'!$J$4:$J$162,'國外委外明細'!$A$4:$A$162,A78,'國外委外明細'!$C$4:$C$162,C78,'國外委外明細'!$E$4:$E$162,E78)</x:f>
        <x:v>e.reduce is not a function</x:v>
      </x:c>
      <x:c r="J78" s="31" t="str">
        <x:v>美元</x:v>
      </x:c>
      <x:c r="K78" s="32" t="str">
        <x:v>勞工保險基金-115年6月.pdf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SUMIFS('國外委外明細'!$G$4:$G$162,'國外委外明細'!$A$4:$A$162,A79,'國外委外明細'!$C$4:$C$162,C79,'國外委外明細'!$E$4:$E$162,E79)</x:f>
        <x:v>2466947683</x:v>
      </x:c>
      <x:c r="G79" s="40" t="n">
        <x:f>SUMIFS('國外委外明細'!$H$4:$H$162,'國外委外明細'!$A$4:$A$162,A79,'國外委外明細'!$C$4:$C$162,C79,'國外委外明細'!$E$4:$E$162,E79)</x:f>
        <x:v>2979711327</x:v>
      </x:c>
      <x:c r="H79" s="43" t="n">
        <x:f>IFERROR(G79/F79-1,0)</x:f>
        <x:v>0.20785347315369074</x:v>
      </x:c>
      <x:c r="I79" s="43" t="e">
        <x:f>AVERAGEIFS('國外委外明細'!$J$4:$J$162,'國外委外明細'!$A$4:$A$162,A79,'國外委外明細'!$C$4:$C$162,C79,'國外委外明細'!$E$4:$E$162,E79)</x:f>
        <x:v>e.reduce is not a function</x:v>
      </x:c>
      <x:c r="J79" s="31" t="str">
        <x:v>美元</x:v>
      </x:c>
      <x:c r="K79" s="32" t="str">
        <x:v>勞工保險基金-115年6月.pdf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SUMIFS('國外委外明細'!$G$4:$G$162,'國外委外明細'!$A$4:$A$162,A80,'國外委外明細'!$C$4:$C$162,C80,'國外委外明細'!$E$4:$E$162,E80)</x:f>
        <x:v>1398439582</x:v>
      </x:c>
      <x:c r="G80" s="40" t="n">
        <x:f>SUMIFS('國外委外明細'!$H$4:$H$162,'國外委外明細'!$A$4:$A$162,A80,'國外委外明細'!$C$4:$C$162,C80,'國外委外明細'!$E$4:$E$162,E80)</x:f>
        <x:v>1564963435</x:v>
      </x:c>
      <x:c r="H80" s="43" t="n">
        <x:f>IFERROR(G80/F80-1,0)</x:f>
        <x:v>0.11907833212346808</x:v>
      </x:c>
      <x:c r="I80" s="43" t="e">
        <x:f>AVERAGEIFS('國外委外明細'!$J$4:$J$162,'國外委外明細'!$A$4:$A$162,A80,'國外委外明細'!$C$4:$C$162,C80,'國外委外明細'!$E$4:$E$162,E80)</x:f>
        <x:v>e.reduce is not a function</x:v>
      </x:c>
      <x:c r="J80" s="31" t="str">
        <x:v>美元</x:v>
      </x:c>
      <x:c r="K80" s="32" t="str">
        <x:v>勞工保險基金-115年6月.pdf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SUMIFS('國外委外明細'!$G$4:$G$162,'國外委外明細'!$A$4:$A$162,A81,'國外委外明細'!$C$4:$C$162,C81,'國外委外明細'!$E$4:$E$162,E81)</x:f>
        <x:v>1052282753</x:v>
      </x:c>
      <x:c r="G81" s="40" t="n">
        <x:f>SUMIFS('國外委外明細'!$H$4:$H$162,'國外委外明細'!$A$4:$A$162,A81,'國外委外明細'!$C$4:$C$162,C81,'國外委外明細'!$E$4:$E$162,E81)</x:f>
        <x:v>1192696765</x:v>
      </x:c>
      <x:c r="H81" s="43" t="n">
        <x:f>IFERROR(G81/F81-1,0)</x:f>
        <x:v>0.13343753054935803</x:v>
      </x:c>
      <x:c r="I81" s="43" t="e">
        <x:f>AVERAGEIFS('國外委外明細'!$J$4:$J$162,'國外委外明細'!$A$4:$A$162,A81,'國外委外明細'!$C$4:$C$162,C81,'國外委外明細'!$E$4:$E$162,E81)</x:f>
        <x:v>e.reduce is not a function</x:v>
      </x:c>
      <x:c r="J81" s="31" t="str">
        <x:v>美元</x:v>
      </x:c>
      <x:c r="K81" s="32" t="str">
        <x:v>勞工保險基金-115年6月.pdf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SUMIFS('國外委外明細'!$G$4:$G$162,'國外委外明細'!$A$4:$A$162,A82,'國外委外明細'!$C$4:$C$162,C82,'國外委外明細'!$E$4:$E$162,E82)</x:f>
        <x:v>891413907</x:v>
      </x:c>
      <x:c r="G82" s="40" t="n">
        <x:f>SUMIFS('國外委外明細'!$H$4:$H$162,'國外委外明細'!$A$4:$A$162,A82,'國外委外明細'!$C$4:$C$162,C82,'國外委外明細'!$E$4:$E$162,E82)</x:f>
        <x:v>897574775</x:v>
      </x:c>
      <x:c r="H82" s="43" t="n">
        <x:f>IFERROR(G82/F82-1,0)</x:f>
        <x:v>0.006911343823133853</x:v>
      </x:c>
      <x:c r="I82" s="43" t="e">
        <x:f>AVERAGEIFS('國外委外明細'!$J$4:$J$162,'國外委外明細'!$A$4:$A$162,A82,'國外委外明細'!$C$4:$C$162,C82,'國外委外明細'!$E$4:$E$162,E82)</x:f>
        <x:v>e.reduce is not a function</x:v>
      </x:c>
      <x:c r="J82" s="31" t="str">
        <x:v>美元</x:v>
      </x:c>
      <x:c r="K82" s="32" t="str">
        <x:v>勞工保險基金-115年6月.pdf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SUMIFS('國外委外明細'!$G$4:$G$162,'國外委外明細'!$A$4:$A$162,A83,'國外委外明細'!$C$4:$C$162,C83,'國外委外明細'!$E$4:$E$162,E83)</x:f>
        <x:v>151969815</x:v>
      </x:c>
      <x:c r="G83" s="40" t="n">
        <x:f>SUMIFS('國外委外明細'!$H$4:$H$162,'國外委外明細'!$A$4:$A$162,A83,'國外委外明細'!$C$4:$C$162,C83,'國外委外明細'!$E$4:$E$162,E83)</x:f>
        <x:v>266710574</x:v>
      </x:c>
      <x:c r="H83" s="43" t="n">
        <x:f>IFERROR(G83/F83-1,0)</x:f>
        <x:v>0.7550233511832596</x:v>
      </x:c>
      <x:c r="I83" s="43" t="e">
        <x:f>AVERAGEIFS('國外委外明細'!$J$4:$J$162,'國外委外明細'!$A$4:$A$162,A83,'國外委外明細'!$C$4:$C$162,C83,'國外委外明細'!$E$4:$E$162,E83)</x:f>
        <x:v>e.reduce is not a function</x:v>
      </x:c>
      <x:c r="J83" s="31" t="str">
        <x:v>美元</x:v>
      </x:c>
      <x:c r="K83" s="32" t="str">
        <x:v>勞工保險基金-115年6月.pdf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SUMIFS('國外委外明細'!$G$4:$G$162,'國外委外明細'!$A$4:$A$162,A84,'國外委外明細'!$C$4:$C$162,C84,'國外委外明細'!$E$4:$E$162,E84)</x:f>
        <x:v>663400522</x:v>
      </x:c>
      <x:c r="G84" s="40" t="n">
        <x:f>SUMIFS('國外委外明細'!$H$4:$H$162,'國外委外明細'!$A$4:$A$162,A84,'國外委外明細'!$C$4:$C$162,C84,'國外委外明細'!$E$4:$E$162,E84)</x:f>
        <x:v>836838676</x:v>
      </x:c>
      <x:c r="H84" s="43" t="n">
        <x:f>IFERROR(G84/F84-1,0)</x:f>
        <x:v>0.26143807285095866</x:v>
      </x:c>
      <x:c r="I84" s="43" t="e">
        <x:f>AVERAGEIFS('國外委外明細'!$J$4:$J$162,'國外委外明細'!$A$4:$A$162,A84,'國外委外明細'!$C$4:$C$162,C84,'國外委外明細'!$E$4:$E$162,E84)</x:f>
        <x:v>e.reduce is not a function</x:v>
      </x:c>
      <x:c r="J84" s="31" t="str">
        <x:v>美元</x:v>
      </x:c>
      <x:c r="K84" s="32" t="str">
        <x:v>勞工保險基金-115年6月.pdf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SUMIFS('國外委外明細'!$G$4:$G$162,'國外委外明細'!$A$4:$A$162,A85,'國外委外明細'!$C$4:$C$162,C85,'國外委外明細'!$E$4:$E$162,E85)</x:f>
        <x:v>1019222527</x:v>
      </x:c>
      <x:c r="G85" s="40" t="n">
        <x:f>SUMIFS('國外委外明細'!$H$4:$H$162,'國外委外明細'!$A$4:$A$162,A85,'國外委外明細'!$C$4:$C$162,C85,'國外委外明細'!$E$4:$E$162,E85)</x:f>
        <x:v>1232038591</x:v>
      </x:c>
      <x:c r="H85" s="43" t="n">
        <x:f>IFERROR(G85/F85-1,0)</x:f>
        <x:v>0.2088023550915883</x:v>
      </x:c>
      <x:c r="I85" s="43" t="e">
        <x:f>AVERAGEIFS('國外委外明細'!$J$4:$J$162,'國外委外明細'!$A$4:$A$162,A85,'國外委外明細'!$C$4:$C$162,C85,'國外委外明細'!$E$4:$E$162,E85)</x:f>
        <x:v>e.reduce is not a function</x:v>
      </x:c>
      <x:c r="J85" s="31" t="str">
        <x:v>美元</x:v>
      </x:c>
      <x:c r="K85" s="32" t="str">
        <x:v>國民年金保險基金-115年6月.pdf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SUMIFS('國外委外明細'!$G$4:$G$162,'國外委外明細'!$A$4:$A$162,A86,'國外委外明細'!$C$4:$C$162,C86,'國外委外明細'!$E$4:$E$162,E86)</x:f>
        <x:v>717816909</x:v>
      </x:c>
      <x:c r="G86" s="40" t="n">
        <x:f>SUMIFS('國外委外明細'!$H$4:$H$162,'國外委外明細'!$A$4:$A$162,A86,'國外委外明細'!$C$4:$C$162,C86,'國外委外明細'!$E$4:$E$162,E86)</x:f>
        <x:v>765459043</x:v>
      </x:c>
      <x:c r="H86" s="43" t="n">
        <x:f>IFERROR(G86/F86-1,0)</x:f>
        <x:v>0.06637087173994116</x:v>
      </x:c>
      <x:c r="I86" s="43" t="e">
        <x:f>AVERAGEIFS('國外委外明細'!$J$4:$J$162,'國外委外明細'!$A$4:$A$162,A86,'國外委外明細'!$C$4:$C$162,C86,'國外委外明細'!$E$4:$E$162,E86)</x:f>
        <x:v>e.reduce is not a function</x:v>
      </x:c>
      <x:c r="J86" s="31" t="str">
        <x:v>美元</x:v>
      </x:c>
      <x:c r="K86" s="32" t="str">
        <x:v>國民年金保險基金-115年6月.pdf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SUMIFS('國外委外明細'!$G$4:$G$162,'國外委外明細'!$A$4:$A$162,A87,'國外委外明細'!$C$4:$C$162,C87,'國外委外明細'!$E$4:$E$162,E87)</x:f>
        <x:v>151227051</x:v>
      </x:c>
      <x:c r="G87" s="40" t="n">
        <x:f>SUMIFS('國外委外明細'!$H$4:$H$162,'國外委外明細'!$A$4:$A$162,A87,'國外委外明細'!$C$4:$C$162,C87,'國外委外明細'!$E$4:$E$162,E87)</x:f>
        <x:v>265114862</x:v>
      </x:c>
      <x:c r="H87" s="43" t="n">
        <x:f>IFERROR(G87/F87-1,0)</x:f>
        <x:v>0.7530915285784419</x:v>
      </x:c>
      <x:c r="I87" s="43" t="e">
        <x:f>AVERAGEIFS('國外委外明細'!$J$4:$J$162,'國外委外明細'!$A$4:$A$162,A87,'國外委外明細'!$C$4:$C$162,C87,'國外委外明細'!$E$4:$E$162,E87)</x:f>
        <x:v>e.reduce is not a function</x:v>
      </x:c>
      <x:c r="J87" s="31" t="str">
        <x:v>美元</x:v>
      </x:c>
      <x:c r="K87" s="32" t="str">
        <x:v>國民年金保險基金-115年6月.pdf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SUMIFS('國外委外明細'!$G$4:$G$162,'國外委外明細'!$A$4:$A$162,A88,'國外委外明細'!$C$4:$C$162,C88,'國外委外明細'!$E$4:$E$162,E88)</x:f>
        <x:v>637470261</x:v>
      </x:c>
      <x:c r="G88" s="40" t="n">
        <x:f>SUMIFS('國外委外明細'!$H$4:$H$162,'國外委外明細'!$A$4:$A$162,A88,'國外委外明細'!$C$4:$C$162,C88,'國外委外明細'!$E$4:$E$162,E88)</x:f>
        <x:v>1237875737</x:v>
      </x:c>
      <x:c r="H88" s="43" t="n">
        <x:f>IFERROR(G88/F88-1,0)</x:f>
        <x:v>0.9418564484218348</x:v>
      </x:c>
      <x:c r="I88" s="43" t="e">
        <x:f>AVERAGEIFS('國外委外明細'!$J$4:$J$162,'國外委外明細'!$A$4:$A$162,A88,'國外委外明細'!$C$4:$C$162,C88,'國外委外明細'!$E$4:$E$162,E88)</x:f>
        <x:v>e.reduce is not a function</x:v>
      </x:c>
      <x:c r="J88" s="31" t="str">
        <x:v>美元</x:v>
      </x:c>
      <x:c r="K88" s="32" t="str">
        <x:v>國民年金保險基金-115年6月.pdf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SUMIFS('國外委外明細'!$G$4:$G$162,'國外委外明細'!$A$4:$A$162,A89,'國外委外明細'!$C$4:$C$162,C89,'國外委外明細'!$E$4:$E$162,E89)</x:f>
        <x:v>497978842</x:v>
      </x:c>
      <x:c r="G89" s="40" t="n">
        <x:f>SUMIFS('國外委外明細'!$H$4:$H$162,'國外委外明細'!$A$4:$A$162,A89,'國外委外明細'!$C$4:$C$162,C89,'國外委外明細'!$E$4:$E$162,E89)</x:f>
        <x:v>625110290</x:v>
      </x:c>
      <x:c r="H89" s="43" t="n">
        <x:f>IFERROR(G89/F89-1,0)</x:f>
        <x:v>0.2552948785723712</x:v>
      </x:c>
      <x:c r="I89" s="43" t="e">
        <x:f>AVERAGEIFS('國外委外明細'!$J$4:$J$162,'國外委外明細'!$A$4:$A$162,A89,'國外委外明細'!$C$4:$C$162,C89,'國外委外明細'!$E$4:$E$162,E89)</x:f>
        <x:v>e.reduce is not a function</x:v>
      </x:c>
      <x:c r="J89" s="31" t="str">
        <x:v>美元</x:v>
      </x:c>
      <x:c r="K89" s="32" t="str">
        <x:v>國民年金保險基金-115年6月.pdf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SUMIFS('國外委外明細'!$G$4:$G$162,'國外委外明細'!$A$4:$A$162,A90,'國外委外明細'!$C$4:$C$162,C90,'國外委外明細'!$E$4:$E$162,E90)</x:f>
        <x:v>635202868</x:v>
      </x:c>
      <x:c r="G90" s="40" t="n">
        <x:f>SUMIFS('國外委外明細'!$H$4:$H$162,'國外委外明細'!$A$4:$A$162,A90,'國外委外明細'!$C$4:$C$162,C90,'國外委外明細'!$E$4:$E$162,E90)</x:f>
        <x:v>934426421</x:v>
      </x:c>
      <x:c r="H90" s="43" t="n">
        <x:f>IFERROR(G90/F90-1,0)</x:f>
        <x:v>0.4710676983278357</x:v>
      </x:c>
      <x:c r="I90" s="43" t="e">
        <x:f>AVERAGEIFS('國外委外明細'!$J$4:$J$162,'國外委外明細'!$A$4:$A$162,A90,'國外委外明細'!$C$4:$C$162,C90,'國外委外明細'!$E$4:$E$162,E90)</x:f>
        <x:v>e.reduce is not a function</x:v>
      </x:c>
      <x:c r="J90" s="31" t="str">
        <x:v>美元</x:v>
      </x:c>
      <x:c r="K90" s="32" t="str">
        <x:v>國民年金保險基金-115年6月.pdf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SUMIFS('國外委外明細'!$G$4:$G$162,'國外委外明細'!$A$4:$A$162,A91,'國外委外明細'!$C$4:$C$162,C91,'國外委外明細'!$E$4:$E$162,E91)</x:f>
        <x:v>380152423</x:v>
      </x:c>
      <x:c r="G91" s="40" t="n">
        <x:f>SUMIFS('國外委外明細'!$H$4:$H$162,'國外委外明細'!$A$4:$A$162,A91,'國外委外明細'!$C$4:$C$162,C91,'國外委外明細'!$E$4:$E$162,E91)</x:f>
        <x:v>376789882</x:v>
      </x:c>
      <x:c r="H91" s="43" t="n">
        <x:f>IFERROR(G91/F91-1,0)</x:f>
        <x:v>-0.008845244161445165</x:v>
      </x:c>
      <x:c r="I91" s="43" t="e">
        <x:f>AVERAGEIFS('國外委外明細'!$J$4:$J$162,'國外委外明細'!$A$4:$A$162,A91,'國外委外明細'!$C$4:$C$162,C91,'國外委外明細'!$E$4:$E$162,E91)</x:f>
        <x:v>e.reduce is not a function</x:v>
      </x:c>
      <x:c r="J91" s="31" t="str">
        <x:v>美元</x:v>
      </x:c>
      <x:c r="K91" s="32" t="str">
        <x:v>國民年金保險基金-115年6月.pdf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SUMIFS('國外委外明細'!$G$4:$G$162,'國外委外明細'!$A$4:$A$162,A92,'國外委外明細'!$C$4:$C$162,C92,'國外委外明細'!$E$4:$E$162,E92)</x:f>
        <x:v>400000000</x:v>
      </x:c>
      <x:c r="G92" s="40" t="n">
        <x:f>SUMIFS('國外委外明細'!$H$4:$H$162,'國外委外明細'!$A$4:$A$162,A92,'國外委外明細'!$C$4:$C$162,C92,'國外委外明細'!$E$4:$E$162,E92)</x:f>
        <x:v>505705290</x:v>
      </x:c>
      <x:c r="H92" s="43" t="n">
        <x:f>IFERROR(G92/F92-1,0)</x:f>
        <x:v>0.2642632250000001</x:v>
      </x:c>
      <x:c r="I92" s="43" t="e">
        <x:f>AVERAGEIFS('國外委外明細'!$J$4:$J$162,'國外委外明細'!$A$4:$A$162,A92,'國外委外明細'!$C$4:$C$162,C92,'國外委外明細'!$E$4:$E$162,E92)</x:f>
        <x:v>e.reduce is not a function</x:v>
      </x:c>
      <x:c r="J92" s="31" t="str">
        <x:v>美元</x:v>
      </x:c>
      <x:c r="K92" s="32" t="str">
        <x:v>國民年金保險基金-115年6月.pdf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SUMIFS('國外委外明細'!$G$4:$G$162,'國外委外明細'!$A$4:$A$162,A93,'國外委外明細'!$C$4:$C$162,C93,'國外委外明細'!$E$4:$E$162,E93)</x:f>
        <x:v>300000000</x:v>
      </x:c>
      <x:c r="G93" s="40" t="n">
        <x:f>SUMIFS('國外委外明細'!$H$4:$H$162,'國外委外明細'!$A$4:$A$162,A93,'國外委外明細'!$C$4:$C$162,C93,'國外委外明細'!$E$4:$E$162,E93)</x:f>
        <x:v>435592195</x:v>
      </x:c>
      <x:c r="H93" s="43" t="n">
        <x:f>IFERROR(G93/F93-1,0)</x:f>
        <x:v>0.4519739833333334</x:v>
      </x:c>
      <x:c r="I93" s="43" t="e">
        <x:f>AVERAGEIFS('國外委外明細'!$J$4:$J$162,'國外委外明細'!$A$4:$A$162,A93,'國外委外明細'!$C$4:$C$162,C93,'國外委外明細'!$E$4:$E$162,E93)</x:f>
        <x:v>e.reduce is not a function</x:v>
      </x:c>
      <x:c r="J93" s="31" t="str">
        <x:v>美元</x:v>
      </x:c>
      <x:c r="K93" s="32" t="str">
        <x:v>國民年金保險基金-115年6月.pdf</x:v>
      </x:c>
    </x:row>
    <x:row r="94">
      <x:c r="A94" s="38" t="n">
        <x:v>46204</x:v>
      </x:c>
      <x:c r="B94" s="34" t="str">
        <x:v>115年7月</x:v>
      </x:c>
      <x:c r="C94" s="34" t="str">
        <x:v>國民年金</x:v>
      </x:c>
      <x:c r="D94" s="34" t="str">
        <x:v>國外</x:v>
      </x:c>
      <x:c r="E94" s="34" t="str">
        <x:v>112-1全球被動股票型</x:v>
      </x:c>
      <x:c r="F94" s="41" t="n">
        <x:f>SUMIFS('國外委外明細'!$G$4:$G$162,'國外委外明細'!$A$4:$A$162,A94,'國外委外明細'!$C$4:$C$162,C94,'國外委外明細'!$E$4:$E$162,E94)</x:f>
        <x:v>400000000</x:v>
      </x:c>
      <x:c r="G94" s="41" t="n">
        <x:f>SUMIFS('國外委外明細'!$H$4:$H$162,'國外委外明細'!$A$4:$A$162,A94,'國外委外明細'!$C$4:$C$162,C94,'國外委外明細'!$E$4:$E$162,E94)</x:f>
        <x:v>544798662</x:v>
      </x:c>
      <x:c r="H94" s="44" t="n">
        <x:f>IFERROR(G94/F94-1,0)</x:f>
        <x:v>0.361996655</x:v>
      </x:c>
      <x:c r="I94" s="44" t="e">
        <x:f>AVERAGEIFS('國外委外明細'!$J$4:$J$162,'國外委外明細'!$A$4:$A$162,A94,'國外委外明細'!$C$4:$C$162,C94,'國外委外明細'!$E$4:$E$162,E94)</x:f>
        <x:v>e.reduce is not a function</x:v>
      </x:c>
      <x:c r="J94" s="34" t="str">
        <x:v>美元</x:v>
      </x:c>
      <x:c r="K94" s="35" t="str">
        <x:v>國民年金保險基金-115年6月.pdf</x:v>
      </x:c>
    </x:row>
    <x:row r="96">
      <x:c r="A96" s="46" t="str">
        <x:v>* 投資報酬率採「目前淨資產 ÷ 委託金額 − 1」計算；目標／指標報酬率採同批次受託機構之平均，便於跨批次比較。</x:v>
      </x:c>
      <x:c r="B96" s="46"/>
      <x:c r="C96" s="46"/>
      <x:c r="D96" s="46"/>
      <x:c r="E96" s="46"/>
      <x:c r="F96" s="46"/>
      <x:c r="G96" s="46"/>
      <x:c r="H96" s="46"/>
      <x:c r="I96" s="46"/>
      <x:c r="J96" s="46"/>
      <x:c r="K96" s="46"/>
    </x:row>
  </x:sheetData>
  <x:mergeCells>
    <x:mergeCell ref="A1:K1"/>
    <x:mergeCell ref="A96:K96"/>
  </x:mergeCells>
  <x:pageMargins left="0.7" right="0.7" top="0.75" bottom="0.75" header="0.3" footer="0.3"/>
  <x:tableParts count="1">
    <x:tablePart xmlns:r="http://schemas.openxmlformats.org/officeDocument/2006/relationships" r:id="R2487a1330080420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5.109999656677246" hidden="0" customWidth="1"/>
    <x:col min="5" max="5" width="3.779999971389770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5.109999656677246" hidden="0" customWidth="1"/>
    <x:col min="11" max="11" width="3.779999971389770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M4" t="str">
        <x:f>A9&amp;" "&amp;TEXT(D9,"0.0%")</x:f>
        <x:v>野村 22.5%</x:v>
      </x:c>
      <x:c r="N4" s="51" t="n">
        <x:f>B9</x:f>
        <x:v>237298388724</x:v>
      </x:c>
      <x:c r="O4" s="50" t="n">
        <x:f>N4/SUM($N$4:$N$14)</x:f>
        <x:v>0.22474631098322898</x:v>
      </x:c>
      <x:c r="P4" t="str">
        <x:f>G9&amp;" "&amp;TEXT(J9,"0.0%")</x:f>
        <x:v>貝萊德 12.0%</x:v>
      </x:c>
      <x:c r="Q4" s="51" t="n">
        <x:f>H9</x:f>
        <x:v>11558770413</x:v>
      </x:c>
      <x:c r="R4" s="50" t="n">
        <x:f>Q4/SUM($Q$4:$Q$14)</x:f>
        <x:v>0.1196900680575367</x:v>
      </x:c>
      <x:c r="S4" t="str">
        <x:f>M4</x:f>
        <x:v>野村 22.5%</x:v>
      </x:c>
      <x:c r="T4" s="50" t="n">
        <x:f>O4</x:f>
        <x:v>0.22474631098322898</x:v>
      </x:c>
      <x:c r="V4" t="str">
        <x:f>P4</x:f>
        <x:v>貝萊德 12.0%</x:v>
      </x:c>
      <x:c r="W4" s="50" t="n">
        <x:f>R4</x:f>
        <x:v>0.1196900680575367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M5" t="str">
        <x:f>A10&amp;" "&amp;TEXT(D10,"0.0%")</x:f>
        <x:v>安聯 14.7%</x:v>
      </x:c>
      <x:c r="N5" s="51" t="n">
        <x:f>B10</x:f>
        <x:v>155336870651</x:v>
      </x:c>
      <x:c r="O5" s="50" t="n">
        <x:f>N5/SUM($N$4:$N$14)</x:f>
        <x:v>0.14712020939634968</x:v>
      </x:c>
      <x:c r="P5" t="str">
        <x:f>G10&amp;" "&amp;TEXT(J10,"0.0%")</x:f>
        <x:v>道富 9.0%</x:v>
      </x:c>
      <x:c r="Q5" s="51" t="n">
        <x:f>H10</x:f>
        <x:v>8651015271</x:v>
      </x:c>
      <x:c r="R5" s="50" t="n">
        <x:f>Q5/SUM($Q$4:$Q$14)</x:f>
        <x:v>0.08958051501639244</x:v>
      </x:c>
      <x:c r="S5" t="str">
        <x:f>M5</x:f>
        <x:v>安聯 14.7%</x:v>
      </x:c>
      <x:c r="T5" s="50" t="n">
        <x:f>O5</x:f>
        <x:v>0.14712020939634968</x:v>
      </x:c>
      <x:c r="V5" t="str">
        <x:f>P5</x:f>
        <x:v>道富 9.0%</x:v>
      </x:c>
      <x:c r="W5" s="50" t="n">
        <x:f>R5</x:f>
        <x:v>0.08958051501639244</x:v>
      </x:c>
    </x:row>
    <x:row r="6">
      <x:c r="M6" t="str">
        <x:f>A11&amp;" "&amp;TEXT(D11,"0.0%")</x:f>
        <x:v>國泰 11.8%</x:v>
      </x:c>
      <x:c r="N6" s="51" t="n">
        <x:f>B11</x:f>
        <x:v>124755806236</x:v>
      </x:c>
      <x:c r="O6" s="50" t="n">
        <x:f>N6/SUM($N$4:$N$14)</x:f>
        <x:v>0.11815675351209728</x:v>
      </x:c>
      <x:c r="P6" t="str">
        <x:f>G11&amp;" "&amp;TEXT(J11,"0.0%")</x:f>
        <x:v>北美信託 6.4%</x:v>
      </x:c>
      <x:c r="Q6" s="51" t="n">
        <x:f>H11</x:f>
        <x:v>6137221459</x:v>
      </x:c>
      <x:c r="R6" s="50" t="n">
        <x:f>Q6/SUM($Q$4:$Q$14)</x:f>
        <x:v>0.06355039747876032</x:v>
      </x:c>
      <x:c r="S6" t="str">
        <x:f>M6</x:f>
        <x:v>國泰 11.8%</x:v>
      </x:c>
      <x:c r="T6" s="50" t="n">
        <x:f>O6</x:f>
        <x:v>0.11815675351209728</x:v>
      </x:c>
      <x:c r="V6" t="str">
        <x:f>P6</x:f>
        <x:v>北美信託 6.4%</x:v>
      </x:c>
      <x:c r="W6" s="50" t="n">
        <x:f>R6</x:f>
        <x:v>0.06355039747876032</x:v>
      </x:c>
    </x:row>
    <x:row r="7">
      <x:c r="M7" t="str">
        <x:f>A12&amp;" "&amp;TEXT(D12,"0.0%")</x:f>
        <x:v>統一 11.2%</x:v>
      </x:c>
      <x:c r="N7" s="51" t="n">
        <x:f>B12</x:f>
        <x:v>118408499183</x:v>
      </x:c>
      <x:c r="O7" s="50" t="n">
        <x:f>N7/SUM($N$4:$N$14)</x:f>
        <x:v>0.11214519206614591</x:v>
      </x:c>
      <x:c r="P7" t="str">
        <x:f>G12&amp;" "&amp;TEXT(J12,"0.0%")</x:f>
        <x:v>PIMCO 6.1%</x:v>
      </x:c>
      <x:c r="Q7" s="51" t="n">
        <x:f>H12</x:f>
        <x:v>5855623604</x:v>
      </x:c>
      <x:c r="R7" s="50" t="n">
        <x:f>Q7/SUM($Q$4:$Q$14)</x:f>
        <x:v>0.06063447604200444</x:v>
      </x:c>
      <x:c r="S7" t="str">
        <x:f>M7</x:f>
        <x:v>統一 11.2%</x:v>
      </x:c>
      <x:c r="T7" s="50" t="n">
        <x:f>O7</x:f>
        <x:v>0.11214519206614591</x:v>
      </x:c>
      <x:c r="V7" t="str">
        <x:f>P7</x:f>
        <x:v>PIMCO 6.1%</x:v>
      </x:c>
      <x:c r="W7" s="50" t="n">
        <x:f>R7</x:f>
        <x:v>0.06063447604200444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市占率（委託金額）</x:v>
      </x:c>
      <x:c r="E8" s="17" t="str">
        <x:v>排名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市占率（委託金額）</x:v>
      </x:c>
      <x:c r="K8" s="17" t="str">
        <x:v>排名</x:v>
      </x:c>
      <x:c r="M8" t="str">
        <x:f>A13&amp;" "&amp;TEXT(D13,"0.0%")</x:f>
        <x:v>復華 10.8%</x:v>
      </x:c>
      <x:c r="N8" s="51" t="n">
        <x:f>B13</x:f>
        <x:v>114269363585</x:v>
      </x:c>
      <x:c r="O8" s="50" t="n">
        <x:f>N8/SUM($N$4:$N$14)</x:f>
        <x:v>0.1082249991760381</x:v>
      </x:c>
      <x:c r="P8" t="str">
        <x:f>G13&amp;" "&amp;TEXT(J13,"0.0%")</x:f>
        <x:v>L&amp;G 5.3%</x:v>
      </x:c>
      <x:c r="Q8" s="51" t="n">
        <x:f>H13</x:f>
        <x:v>5097127124</x:v>
      </x:c>
      <x:c r="R8" s="50" t="n">
        <x:f>Q8/SUM($Q$4:$Q$14)</x:f>
        <x:v>0.052780310584189145</x:v>
      </x:c>
      <x:c r="S8" t="str">
        <x:f>M8</x:f>
        <x:v>復華 10.8%</x:v>
      </x:c>
      <x:c r="T8" s="50" t="n">
        <x:f>O8</x:f>
        <x:v>0.1082249991760381</x:v>
      </x:c>
      <x:c r="V8" t="str">
        <x:f>P8</x:f>
        <x:v>L&amp;G 5.3%</x:v>
      </x:c>
      <x:c r="W8" s="50" t="n">
        <x:f>R8</x:f>
        <x:v>0.052780310584189145</x:v>
      </x:c>
    </x:row>
    <x:row r="9">
      <x:c r="A9" s="27" t="str">
        <x:v>野村</x:v>
      </x:c>
      <x:c r="B9" s="39" t="n">
        <x:f>SUMIFS('國內委外明細'!$G$4:$G$112,'國內委外明細'!$F$4:$F$112,A9,'國內委外明細'!$A$4:$A$112,$B$4)</x:f>
        <x:v>237298388724</x:v>
      </x:c>
      <x:c r="C9" s="39" t="n">
        <x:f>SUMIFS('國內委外明細'!$H$4:$H$112,'國內委外明細'!$F$4:$F$112,A9,'國內委外明細'!$A$4:$A$112,$B$4)</x:f>
        <x:v>508667757409</x:v>
      </x:c>
      <x:c r="D9" s="42" t="n">
        <x:f>IFERROR(B9/SUM($B$9:$B$26),0)</x:f>
        <x:v>0.22474631098322898</x:v>
      </x:c>
      <x:c r="E9" s="29" t="n">
        <x:f>RANK(B9,$B$9:$B$26,0)</x:f>
        <x:v>1</x:v>
      </x:c>
      <x:c r="G9" s="27" t="str">
        <x:v>貝萊德</x:v>
      </x:c>
      <x:c r="H9" s="39" t="n">
        <x:f>SUMIFS('國外委外明細'!$G$4:$G$162,'國外委外明細'!$F$4:$F$162,G9,'國外委外明細'!$A$4:$A$162,$B$4)</x:f>
        <x:v>11558770413</x:v>
      </x:c>
      <x:c r="I9" s="39" t="n">
        <x:f>SUMIFS('國外委外明細'!$H$4:$H$162,'國外委外明細'!$F$4:$F$162,G9,'國外委外明細'!$A$4:$A$162,$B$4)</x:f>
        <x:v>17827431853</x:v>
      </x:c>
      <x:c r="J9" s="42" t="n">
        <x:f>IFERROR(H9/SUM($H$9:$H$54),0)</x:f>
        <x:v>0.1196900680575367</x:v>
      </x:c>
      <x:c r="K9" s="29" t="n">
        <x:f>RANK(H9,$H$9:$H$54,0)</x:f>
        <x:v>1</x:v>
      </x:c>
      <x:c r="M9" t="str">
        <x:f>A14&amp;" "&amp;TEXT(D14,"0.0%")</x:f>
        <x:v>玉山 4.7%</x:v>
      </x:c>
      <x:c r="N9" s="51" t="n">
        <x:f>B14</x:f>
        <x:v>49410277565</x:v>
      </x:c>
      <x:c r="O9" s="50" t="n">
        <x:f>N9/SUM($N$4:$N$14)</x:f>
        <x:v>0.046796683564114025</x:v>
      </x:c>
      <x:c r="P9" t="str">
        <x:f>G14&amp;" "&amp;TEXT(J14,"0.0%")</x:f>
        <x:v>威靈頓 4.8%</x:v>
      </x:c>
      <x:c r="Q9" s="51" t="n">
        <x:f>H14</x:f>
        <x:v>4625550093</x:v>
      </x:c>
      <x:c r="R9" s="50" t="n">
        <x:f>Q9/SUM($Q$4:$Q$14)</x:f>
        <x:v>0.04789717120880366</x:v>
      </x:c>
      <x:c r="S9" t="str">
        <x:f>M9</x:f>
        <x:v>玉山 4.7%</x:v>
      </x:c>
      <x:c r="T9" s="50" t="n">
        <x:f>O9</x:f>
        <x:v>0.046796683564114025</x:v>
      </x:c>
      <x:c r="V9" t="str">
        <x:f>P9</x:f>
        <x:v>威靈頓 4.8%</x:v>
      </x:c>
      <x:c r="W9" s="50" t="n">
        <x:f>R9</x:f>
        <x:v>0.04789717120880366</x:v>
      </x:c>
    </x:row>
    <x:row r="10">
      <x:c r="A10" s="30" t="str">
        <x:v>安聯</x:v>
      </x:c>
      <x:c r="B10" s="40" t="n">
        <x:f>SUMIFS('國內委外明細'!$G$4:$G$112,'國內委外明細'!$F$4:$F$112,A10,'國內委外明細'!$A$4:$A$112,$B$4)</x:f>
        <x:v>155336870651</x:v>
      </x:c>
      <x:c r="C10" s="40" t="n">
        <x:f>SUMIFS('國內委外明細'!$H$4:$H$112,'國內委外明細'!$F$4:$F$112,A10,'國內委外明細'!$A$4:$A$112,$B$4)</x:f>
        <x:v>320838481044</x:v>
      </x:c>
      <x:c r="D10" s="43" t="n">
        <x:f>IFERROR(B10/SUM($B$9:$B$26),0)</x:f>
        <x:v>0.14712020939634968</x:v>
      </x:c>
      <x:c r="E10" s="32" t="n">
        <x:f>RANK(B10,$B$9:$B$26,0)</x:f>
        <x:v>2</x:v>
      </x:c>
      <x:c r="G10" s="30" t="str">
        <x:v>道富</x:v>
      </x:c>
      <x:c r="H10" s="40" t="n">
        <x:f>SUMIFS('國外委外明細'!$G$4:$G$162,'國外委外明細'!$F$4:$F$162,G10,'國外委外明細'!$A$4:$A$162,$B$4)</x:f>
        <x:v>8651015271</x:v>
      </x:c>
      <x:c r="I10" s="40" t="n">
        <x:f>SUMIFS('國外委外明細'!$H$4:$H$162,'國外委外明細'!$F$4:$F$162,G10,'國外委外明細'!$A$4:$A$162,$B$4)</x:f>
        <x:v>12270337973</x:v>
      </x:c>
      <x:c r="J10" s="43" t="n">
        <x:f>IFERROR(H10/SUM($H$9:$H$54),0)</x:f>
        <x:v>0.08958051501639244</x:v>
      </x:c>
      <x:c r="K10" s="32" t="n">
        <x:f>RANK(H10,$H$9:$H$54,0)</x:f>
        <x:v>2</x:v>
      </x:c>
      <x:c r="M10" t="str">
        <x:f>A15&amp;" "&amp;TEXT(D15,"0.0%")</x:f>
        <x:v>滙豐 4.5%</x:v>
      </x:c>
      <x:c r="N10" s="51" t="n">
        <x:f>B15</x:f>
        <x:v>47530015104</x:v>
      </x:c>
      <x:c r="O10" s="50" t="n">
        <x:f>N10/SUM($N$4:$N$14)</x:f>
        <x:v>0.04501587900803464</x:v>
      </x:c>
      <x:c r="P10" t="str">
        <x:f>G15&amp;" "&amp;TEXT(J15,"0.0%")</x:f>
        <x:v>Geode 4.2%</x:v>
      </x:c>
      <x:c r="Q10" s="51" t="n">
        <x:f>H15</x:f>
        <x:v>4011738367</x:v>
      </x:c>
      <x:c r="R10" s="50" t="n">
        <x:f>Q10/SUM($Q$4:$Q$14)</x:f>
        <x:v>0.041541203866738756</x:v>
      </x:c>
      <x:c r="S10" t="str">
        <x:f>M10</x:f>
        <x:v>滙豐 4.5%</x:v>
      </x:c>
      <x:c r="T10" s="50" t="n">
        <x:f>O10</x:f>
        <x:v>0.04501587900803464</x:v>
      </x:c>
      <x:c r="V10" t="str">
        <x:f>P10</x:f>
        <x:v>Geode 4.2%</x:v>
      </x:c>
      <x:c r="W10" s="50" t="n">
        <x:f>R10</x:f>
        <x:v>0.041541203866738756</x:v>
      </x:c>
    </x:row>
    <x:row r="11">
      <x:c r="A11" s="30" t="str">
        <x:v>國泰</x:v>
      </x:c>
      <x:c r="B11" s="40" t="n">
        <x:f>SUMIFS('國內委外明細'!$G$4:$G$112,'國內委外明細'!$F$4:$F$112,A11,'國內委外明細'!$A$4:$A$112,$B$4)</x:f>
        <x:v>124755806236</x:v>
      </x:c>
      <x:c r="C11" s="40" t="n">
        <x:f>SUMIFS('國內委外明細'!$H$4:$H$112,'國內委外明細'!$F$4:$F$112,A11,'國內委外明細'!$A$4:$A$112,$B$4)</x:f>
        <x:v>257989018744</x:v>
      </x:c>
      <x:c r="D11" s="43" t="n">
        <x:f>IFERROR(B11/SUM($B$9:$B$26),0)</x:f>
        <x:v>0.11815675351209728</x:v>
      </x:c>
      <x:c r="E11" s="32" t="n">
        <x:f>RANK(B11,$B$9:$B$26,0)</x:f>
        <x:v>3</x:v>
      </x:c>
      <x:c r="G11" s="30" t="str">
        <x:v>北美信託</x:v>
      </x:c>
      <x:c r="H11" s="40" t="n">
        <x:f>SUMIFS('國外委外明細'!$G$4:$G$162,'國外委外明細'!$F$4:$F$162,G11,'國外委外明細'!$A$4:$A$162,$B$4)</x:f>
        <x:v>6137221459</x:v>
      </x:c>
      <x:c r="I11" s="40" t="n">
        <x:f>SUMIFS('國外委外明細'!$H$4:$H$162,'國外委外明細'!$F$4:$F$162,G11,'國外委外明細'!$A$4:$A$162,$B$4)</x:f>
        <x:v>8229076099</x:v>
      </x:c>
      <x:c r="J11" s="43" t="n">
        <x:f>IFERROR(H11/SUM($H$9:$H$54),0)</x:f>
        <x:v>0.06355039747876032</x:v>
      </x:c>
      <x:c r="K11" s="32" t="n">
        <x:f>RANK(H11,$H$9:$H$54,0)</x:f>
        <x:v>3</x:v>
      </x:c>
      <x:c r="M11" t="str">
        <x:f>A16&amp;" "&amp;TEXT(D16,"0.0%")</x:f>
        <x:v>台新 4.1%</x:v>
      </x:c>
      <x:c r="N11" s="51" t="n">
        <x:f>B16</x:f>
        <x:v>43351455547</x:v>
      </x:c>
      <x:c r="O11" s="50" t="n">
        <x:f>N11/SUM($N$4:$N$14)</x:f>
        <x:v>0.04105834751905456</x:v>
      </x:c>
      <x:c r="P11" t="str">
        <x:f>G16&amp;" "&amp;TEXT(J16,"0.0%")</x:f>
        <x:v>JPMorgan（國外） 3.8%</x:v>
      </x:c>
      <x:c r="Q11" s="51" t="n">
        <x:f>H16</x:f>
        <x:v>3686298542</x:v>
      </x:c>
      <x:c r="R11" s="50" t="n">
        <x:f>Q11/SUM($Q$4:$Q$14)</x:f>
        <x:v>0.0381713026219598</x:v>
      </x:c>
      <x:c r="S11" t="str">
        <x:f>M11</x:f>
        <x:v>台新 4.1%</x:v>
      </x:c>
      <x:c r="T11" s="50" t="n">
        <x:f>O11</x:f>
        <x:v>0.04105834751905456</x:v>
      </x:c>
      <x:c r="V11" t="str">
        <x:f>P11</x:f>
        <x:v>JPMorgan（國外） 3.8%</x:v>
      </x:c>
      <x:c r="W11" s="50" t="n">
        <x:f>R11</x:f>
        <x:v>0.0381713026219598</x:v>
      </x:c>
    </x:row>
    <x:row r="12">
      <x:c r="A12" s="30" t="str">
        <x:v>統一</x:v>
      </x:c>
      <x:c r="B12" s="40" t="n">
        <x:f>SUMIFS('國內委外明細'!$G$4:$G$112,'國內委外明細'!$F$4:$F$112,A12,'國內委外明細'!$A$4:$A$112,$B$4)</x:f>
        <x:v>118408499183</x:v>
      </x:c>
      <x:c r="C12" s="40" t="n">
        <x:f>SUMIFS('國內委外明細'!$H$4:$H$112,'國內委外明細'!$F$4:$F$112,A12,'國內委外明細'!$A$4:$A$112,$B$4)</x:f>
        <x:v>224360595419</x:v>
      </x:c>
      <x:c r="D12" s="43" t="n">
        <x:f>IFERROR(B12/SUM($B$9:$B$26),0)</x:f>
        <x:v>0.11214519206614591</x:v>
      </x:c>
      <x:c r="E12" s="32" t="n">
        <x:f>RANK(B12,$B$9:$B$26,0)</x:f>
        <x:v>4</x:v>
      </x:c>
      <x:c r="G12" s="30" t="str">
        <x:v>PIMCO</x:v>
      </x:c>
      <x:c r="H12" s="40" t="n">
        <x:f>SUMIFS('國外委外明細'!$G$4:$G$162,'國外委外明細'!$F$4:$F$162,G12,'國外委外明細'!$A$4:$A$162,$B$4)</x:f>
        <x:v>5855623604</x:v>
      </x:c>
      <x:c r="I12" s="40" t="n">
        <x:f>SUMIFS('國外委外明細'!$H$4:$H$162,'國外委外明細'!$F$4:$F$162,G12,'國外委外明細'!$A$4:$A$162,$B$4)</x:f>
        <x:v>5911641695</x:v>
      </x:c>
      <x:c r="J12" s="43" t="n">
        <x:f>IFERROR(H12/SUM($H$9:$H$54),0)</x:f>
        <x:v>0.06063447604200444</x:v>
      </x:c>
      <x:c r="K12" s="32" t="n">
        <x:f>RANK(H12,$H$9:$H$54,0)</x:f>
        <x:v>4</x:v>
      </x:c>
      <x:c r="M12" t="str">
        <x:f>A17&amp;" "&amp;TEXT(D17,"0.0%")</x:f>
        <x:v>施羅德 4.1%</x:v>
      </x:c>
      <x:c r="N12" s="51" t="n">
        <x:f>B17</x:f>
        <x:v>42800361947</x:v>
      </x:c>
      <x:c r="O12" s="50" t="n">
        <x:f>N12/SUM($N$4:$N$14)</x:f>
        <x:v>0.040536404431819675</x:v>
      </x:c>
      <x:c r="P12" t="str">
        <x:f>G17&amp;" "&amp;TEXT(J17,"0.0%")</x:f>
        <x:v>景順 3.7%</x:v>
      </x:c>
      <x:c r="Q12" s="51" t="n">
        <x:f>H17</x:f>
        <x:v>3539309945</x:v>
      </x:c>
      <x:c r="R12" s="50" t="n">
        <x:f>Q12/SUM($Q$4:$Q$14)</x:f>
        <x:v>0.0366492484111741</x:v>
      </x:c>
      <x:c r="S12" t="str">
        <x:f>M12</x:f>
        <x:v>施羅德 4.1%</x:v>
      </x:c>
      <x:c r="T12" s="50" t="n">
        <x:f>O12</x:f>
        <x:v>0.040536404431819675</x:v>
      </x:c>
      <x:c r="V12" t="str">
        <x:f>P12</x:f>
        <x:v>景順 3.7%</x:v>
      </x:c>
      <x:c r="W12" s="50" t="n">
        <x:f>R12</x:f>
        <x:v>0.0366492484111741</x:v>
      </x:c>
    </x:row>
    <x:row r="13">
      <x:c r="A13" s="30" t="str">
        <x:v>復華</x:v>
      </x:c>
      <x:c r="B13" s="40" t="n">
        <x:f>SUMIFS('國內委外明細'!$G$4:$G$112,'國內委外明細'!$F$4:$F$112,A13,'國內委外明細'!$A$4:$A$112,$B$4)</x:f>
        <x:v>114269363585</x:v>
      </x:c>
      <x:c r="C13" s="40" t="n">
        <x:f>SUMIFS('國內委外明細'!$H$4:$H$112,'國內委外明細'!$F$4:$F$112,A13,'國內委外明細'!$A$4:$A$112,$B$4)</x:f>
        <x:v>238454338248</x:v>
      </x:c>
      <x:c r="D13" s="43" t="n">
        <x:f>IFERROR(B13/SUM($B$9:$B$26),0)</x:f>
        <x:v>0.1082249991760381</x:v>
      </x:c>
      <x:c r="E13" s="32" t="n">
        <x:f>RANK(B13,$B$9:$B$26,0)</x:f>
        <x:v>5</x:v>
      </x:c>
      <x:c r="G13" s="30" t="str">
        <x:v>L&amp;G</x:v>
      </x:c>
      <x:c r="H13" s="40" t="n">
        <x:f>SUMIFS('國外委外明細'!$G$4:$G$162,'國外委外明細'!$F$4:$F$162,G13,'國外委外明細'!$A$4:$A$162,$B$4)</x:f>
        <x:v>5097127124</x:v>
      </x:c>
      <x:c r="I13" s="40" t="n">
        <x:f>SUMIFS('國外委外明細'!$H$4:$H$162,'國外委外明細'!$F$4:$F$162,G13,'國外委外明細'!$A$4:$A$162,$B$4)</x:f>
        <x:v>6233333079</x:v>
      </x:c>
      <x:c r="J13" s="43" t="n">
        <x:f>IFERROR(H13/SUM($H$9:$H$54),0)</x:f>
        <x:v>0.052780310584189145</x:v>
      </x:c>
      <x:c r="K13" s="32" t="n">
        <x:f>RANK(H13,$H$9:$H$54,0)</x:f>
        <x:v>5</x:v>
      </x:c>
      <x:c r="M13" t="str">
        <x:f>A18&amp;" "&amp;TEXT(D18,"0.0%")</x:f>
        <x:v>富邦 2.6%</x:v>
      </x:c>
      <x:c r="N13" s="51" t="n">
        <x:f>B18</x:f>
        <x:v>27603507854</x:v>
      </x:c>
      <x:c r="O13" s="50" t="n">
        <x:f>N13/SUM($N$4:$N$14)</x:f>
        <x:v>0.026143399429478072</x:v>
      </x:c>
      <x:c r="P13" t="str">
        <x:f>G18&amp;" "&amp;TEXT(J18,"0.0%")</x:f>
        <x:v>富達 3.3%</x:v>
      </x:c>
      <x:c r="Q13" s="51" t="n">
        <x:f>H18</x:f>
        <x:v>3190338807</x:v>
      </x:c>
      <x:c r="R13" s="50" t="n">
        <x:f>Q13/SUM($Q$4:$Q$14)</x:f>
        <x:v>0.033035682455200124</x:v>
      </x:c>
      <x:c r="S13" t="str">
        <x:f>M13</x:f>
        <x:v>富邦 2.6%</x:v>
      </x:c>
      <x:c r="T13" s="50" t="n">
        <x:f>O13</x:f>
        <x:v>0.026143399429478072</x:v>
      </x:c>
      <x:c r="V13" t="str">
        <x:f>P13</x:f>
        <x:v>富達 3.3%</x:v>
      </x:c>
      <x:c r="W13" s="50" t="n">
        <x:f>R13</x:f>
        <x:v>0.033035682455200124</x:v>
      </x:c>
    </x:row>
    <x:row r="14">
      <x:c r="A14" s="30" t="str">
        <x:v>玉山</x:v>
      </x:c>
      <x:c r="B14" s="40" t="n">
        <x:f>SUMIFS('國內委外明細'!$G$4:$G$112,'國內委外明細'!$F$4:$F$112,A14,'國內委外明細'!$A$4:$A$112,$B$4)</x:f>
        <x:v>49410277565</x:v>
      </x:c>
      <x:c r="C14" s="40" t="n">
        <x:f>SUMIFS('國內委外明細'!$H$4:$H$112,'國內委外明細'!$F$4:$F$112,A14,'國內委外明細'!$A$4:$A$112,$B$4)</x:f>
        <x:v>89457066963</x:v>
      </x:c>
      <x:c r="D14" s="43" t="n">
        <x:f>IFERROR(B14/SUM($B$9:$B$26),0)</x:f>
        <x:v>0.046796683564114025</x:v>
      </x:c>
      <x:c r="E14" s="32" t="n">
        <x:f>RANK(B14,$B$9:$B$26,0)</x:f>
        <x:v>6</x:v>
      </x:c>
      <x:c r="G14" s="30" t="str">
        <x:v>威靈頓</x:v>
      </x:c>
      <x:c r="H14" s="40" t="n">
        <x:f>SUMIFS('國外委外明細'!$G$4:$G$162,'國外委外明細'!$F$4:$F$162,G14,'國外委外明細'!$A$4:$A$162,$B$4)</x:f>
        <x:v>4625550093</x:v>
      </x:c>
      <x:c r="I14" s="40" t="n">
        <x:f>SUMIFS('國外委外明細'!$H$4:$H$162,'國外委外明細'!$F$4:$F$162,G14,'國外委外明細'!$A$4:$A$162,$B$4)</x:f>
        <x:v>6499168753</x:v>
      </x:c>
      <x:c r="J14" s="43" t="n">
        <x:f>IFERROR(H14/SUM($H$9:$H$54),0)</x:f>
        <x:v>0.04789717120880366</x:v>
      </x:c>
      <x:c r="K14" s="32" t="n">
        <x:f>RANK(H14,$H$9:$H$54,0)</x:f>
        <x:v>6</x:v>
      </x:c>
      <x:c r="M14" t="str">
        <x:v>其他</x:v>
      </x:c>
      <x:c r="N14" s="51" t="n">
        <x:f>SUM(B19:B26)</x:f>
        <x:v>95085437018</x:v>
      </x:c>
      <x:c r="O14" s="50" t="n">
        <x:f>N14/SUM($N$4:$N$14)</x:f>
        <x:v>0.0900558209136391</x:v>
      </x:c>
      <x:c r="P14" t="str">
        <x:v>其他</x:v>
      </x:c>
      <x:c r="Q14" s="51" t="n">
        <x:f>SUM(H19:H54)</x:f>
        <x:v>40219517366</x:v>
      </x:c>
      <x:c r="R14" s="50" t="n">
        <x:f>Q14/SUM($Q$4:$Q$14)</x:f>
        <x:v>0.4164696242572405</x:v>
      </x:c>
      <x:c r="S14" t="str">
        <x:f>M14</x:f>
        <x:v>其他</x:v>
      </x:c>
      <x:c r="T14" s="50" t="n">
        <x:f>O14</x:f>
        <x:v>0.0900558209136391</x:v>
      </x:c>
      <x:c r="V14" t="str">
        <x:f>P14</x:f>
        <x:v>其他</x:v>
      </x:c>
      <x:c r="W14" s="50" t="n">
        <x:f>R14</x:f>
        <x:v>0.4164696242572405</x:v>
      </x:c>
    </x:row>
    <x:row r="15">
      <x:c r="A15" s="30" t="str">
        <x:v>滙豐</x:v>
      </x:c>
      <x:c r="B15" s="40" t="n">
        <x:f>SUMIFS('國內委外明細'!$G$4:$G$112,'國內委外明細'!$F$4:$F$112,A15,'國內委外明細'!$A$4:$A$112,$B$4)</x:f>
        <x:v>47530015104</x:v>
      </x:c>
      <x:c r="C15" s="40" t="n">
        <x:f>SUMIFS('國內委外明細'!$H$4:$H$112,'國內委外明細'!$F$4:$F$112,A15,'國內委外明細'!$A$4:$A$112,$B$4)</x:f>
        <x:v>99143984754</x:v>
      </x:c>
      <x:c r="D15" s="43" t="n">
        <x:f>IFERROR(B15/SUM($B$9:$B$26),0)</x:f>
        <x:v>0.04501587900803464</x:v>
      </x:c>
      <x:c r="E15" s="32" t="n">
        <x:f>RANK(B15,$B$9:$B$26,0)</x:f>
        <x:v>7</x:v>
      </x:c>
      <x:c r="G15" s="30" t="str">
        <x:v>Geode</x:v>
      </x:c>
      <x:c r="H15" s="40" t="n">
        <x:f>SUMIFS('國外委外明細'!$G$4:$G$162,'國外委外明細'!$F$4:$F$162,G15,'國外委外明細'!$A$4:$A$162,$B$4)</x:f>
        <x:v>4011738367</x:v>
      </x:c>
      <x:c r="I15" s="40" t="n">
        <x:f>SUMIFS('國外委外明細'!$H$4:$H$162,'國外委外明細'!$F$4:$F$162,G15,'國外委外明細'!$A$4:$A$162,$B$4)</x:f>
        <x:v>4847721016</x:v>
      </x:c>
      <x:c r="J15" s="43" t="n">
        <x:f>IFERROR(H15/SUM($H$9:$H$54),0)</x:f>
        <x:v>0.041541203866738756</x:v>
      </x:c>
      <x:c r="K15" s="32" t="n">
        <x:f>RANK(H15,$H$9:$H$54,0)</x:f>
        <x:v>7</x:v>
      </x:c>
    </x:row>
    <x:row r="16">
      <x:c r="A16" s="30" t="str">
        <x:v>台新</x:v>
      </x:c>
      <x:c r="B16" s="40" t="n">
        <x:f>SUMIFS('國內委外明細'!$G$4:$G$112,'國內委外明細'!$F$4:$F$112,A16,'國內委外明細'!$A$4:$A$112,$B$4)</x:f>
        <x:v>43351455547</x:v>
      </x:c>
      <x:c r="C16" s="40" t="n">
        <x:f>SUMIFS('國內委外明細'!$H$4:$H$112,'國內委外明細'!$F$4:$F$112,A16,'國內委外明細'!$A$4:$A$112,$B$4)</x:f>
        <x:v>87076072516</x:v>
      </x:c>
      <x:c r="D16" s="43" t="n">
        <x:f>IFERROR(B16/SUM($B$9:$B$26),0)</x:f>
        <x:v>0.04105834751905456</x:v>
      </x:c>
      <x:c r="E16" s="32" t="n">
        <x:f>RANK(B16,$B$9:$B$26,0)</x:f>
        <x:v>8</x:v>
      </x:c>
      <x:c r="G16" s="30" t="str">
        <x:v>JPMorgan（國外）</x:v>
      </x:c>
      <x:c r="H16" s="40" t="n">
        <x:f>SUMIFS('國外委外明細'!$G$4:$G$162,'國外委外明細'!$F$4:$F$162,G16,'國外委外明細'!$A$4:$A$162,$B$4)</x:f>
        <x:v>3686298542</x:v>
      </x:c>
      <x:c r="I16" s="40" t="n">
        <x:f>SUMIFS('國外委外明細'!$H$4:$H$162,'國外委外明細'!$F$4:$F$162,G16,'國外委外明細'!$A$4:$A$162,$B$4)</x:f>
        <x:v>4884050215</x:v>
      </x:c>
      <x:c r="J16" s="43" t="n">
        <x:f>IFERROR(H16/SUM($H$9:$H$54),0)</x:f>
        <x:v>0.0381713026219598</x:v>
      </x:c>
      <x:c r="K16" s="32" t="n">
        <x:f>RANK(H16,$H$9:$H$54,0)</x:f>
        <x:v>8</x:v>
      </x:c>
    </x:row>
    <x:row r="17">
      <x:c r="A17" s="30" t="str">
        <x:v>施羅德</x:v>
      </x:c>
      <x:c r="B17" s="40" t="n">
        <x:f>SUMIFS('國內委外明細'!$G$4:$G$112,'國內委外明細'!$F$4:$F$112,A17,'國內委外明細'!$A$4:$A$112,$B$4)</x:f>
        <x:v>42800361947</x:v>
      </x:c>
      <x:c r="C17" s="40" t="n">
        <x:f>SUMIFS('國內委外明細'!$H$4:$H$112,'國內委外明細'!$F$4:$F$112,A17,'國內委外明細'!$A$4:$A$112,$B$4)</x:f>
        <x:v>87006897068</x:v>
      </x:c>
      <x:c r="D17" s="43" t="n">
        <x:f>IFERROR(B17/SUM($B$9:$B$26),0)</x:f>
        <x:v>0.040536404431819675</x:v>
      </x:c>
      <x:c r="E17" s="32" t="n">
        <x:f>RANK(B17,$B$9:$B$26,0)</x:f>
        <x:v>9</x:v>
      </x:c>
      <x:c r="G17" s="30" t="str">
        <x:v>景順</x:v>
      </x:c>
      <x:c r="H17" s="40" t="n">
        <x:f>SUMIFS('國外委外明細'!$G$4:$G$162,'國外委外明細'!$F$4:$F$162,G17,'國外委外明細'!$A$4:$A$162,$B$4)</x:f>
        <x:v>3539309945</x:v>
      </x:c>
      <x:c r="I17" s="40" t="n">
        <x:f>SUMIFS('國外委外明細'!$H$4:$H$162,'國外委外明細'!$F$4:$F$162,G17,'國外委外明細'!$A$4:$A$162,$B$4)</x:f>
        <x:v>5214617387</x:v>
      </x:c>
      <x:c r="J17" s="43" t="n">
        <x:f>IFERROR(H17/SUM($H$9:$H$54),0)</x:f>
        <x:v>0.0366492484111741</x:v>
      </x:c>
      <x:c r="K17" s="32" t="n">
        <x:f>RANK(H17,$H$9:$H$54,0)</x:f>
        <x:v>9</x:v>
      </x:c>
    </x:row>
    <x:row r="18">
      <x:c r="A18" s="30" t="str">
        <x:v>富邦</x:v>
      </x:c>
      <x:c r="B18" s="40" t="n">
        <x:f>SUMIFS('國內委外明細'!$G$4:$G$112,'國內委外明細'!$F$4:$F$112,A18,'國內委外明細'!$A$4:$A$112,$B$4)</x:f>
        <x:v>27603507854</x:v>
      </x:c>
      <x:c r="C18" s="40" t="n">
        <x:f>SUMIFS('國內委外明細'!$H$4:$H$112,'國內委外明細'!$F$4:$F$112,A18,'國內委外明細'!$A$4:$A$112,$B$4)</x:f>
        <x:v>62667291388</x:v>
      </x:c>
      <x:c r="D18" s="43" t="n">
        <x:f>IFERROR(B18/SUM($B$9:$B$26),0)</x:f>
        <x:v>0.026143399429478072</x:v>
      </x:c>
      <x:c r="E18" s="32" t="n">
        <x:f>RANK(B18,$B$9:$B$26,0)</x:f>
        <x:v>10</x:v>
      </x:c>
      <x:c r="G18" s="30" t="str">
        <x:v>富達</x:v>
      </x:c>
      <x:c r="H18" s="40" t="n">
        <x:f>SUMIFS('國外委外明細'!$G$4:$G$162,'國外委外明細'!$F$4:$F$162,G18,'國外委外明細'!$A$4:$A$162,$B$4)</x:f>
        <x:v>3190338807</x:v>
      </x:c>
      <x:c r="I18" s="40" t="n">
        <x:f>SUMIFS('國外委外明細'!$H$4:$H$162,'國外委外明細'!$F$4:$F$162,G18,'國外委外明細'!$A$4:$A$162,$B$4)</x:f>
        <x:v>4082759823</x:v>
      </x:c>
      <x:c r="J18" s="43" t="n">
        <x:f>IFERROR(H18/SUM($H$9:$H$54),0)</x:f>
        <x:v>0.033035682455200124</x:v>
      </x:c>
      <x:c r="K18" s="32" t="n">
        <x:f>RANK(H18,$H$9:$H$54,0)</x:f>
        <x:v>10</x:v>
      </x:c>
    </x:row>
    <x:row r="19">
      <x:c r="A19" s="30" t="str">
        <x:v>第一金</x:v>
      </x:c>
      <x:c r="B19" s="40" t="n">
        <x:f>SUMIFS('國內委外明細'!$G$4:$G$112,'國內委外明細'!$F$4:$F$112,A19,'國內委外明細'!$A$4:$A$112,$B$4)</x:f>
        <x:v>18000000000</x:v>
      </x:c>
      <x:c r="C19" s="40" t="n">
        <x:f>SUMIFS('國內委外明細'!$H$4:$H$112,'國內委外明細'!$F$4:$F$112,A19,'國內委外明細'!$A$4:$A$112,$B$4)</x:f>
        <x:v>38733491841</x:v>
      </x:c>
      <x:c r="D19" s="43" t="n">
        <x:f>IFERROR(B19/SUM($B$9:$B$26),0)</x:f>
        <x:v>0.01704787638656635</x:v>
      </x:c>
      <x:c r="E19" s="32" t="n">
        <x:f>RANK(B19,$B$9:$B$26,0)</x:f>
        <x:v>11</x:v>
      </x:c>
      <x:c r="G19" s="30" t="str">
        <x:v>RREEF</x:v>
      </x:c>
      <x:c r="H19" s="40" t="n">
        <x:f>SUMIFS('國外委外明細'!$G$4:$G$162,'國外委外明細'!$F$4:$F$162,G19,'國外委外明細'!$A$4:$A$162,$B$4)</x:f>
        <x:v>3022950104</x:v>
      </x:c>
      <x:c r="I19" s="40" t="n">
        <x:f>SUMIFS('國外委外明細'!$H$4:$H$162,'國外委外明細'!$F$4:$F$162,G19,'國外委外明細'!$A$4:$A$162,$B$4)</x:f>
        <x:v>3467884297</x:v>
      </x:c>
      <x:c r="J19" s="43" t="n">
        <x:f>IFERROR(H19/SUM($H$9:$H$54),0)</x:f>
        <x:v>0.03130238691092667</x:v>
      </x:c>
      <x:c r="K19" s="32" t="n">
        <x:f>RANK(H19,$H$9:$H$54,0)</x:f>
        <x:v>11</x:v>
      </x:c>
    </x:row>
    <x:row r="20">
      <x:c r="A20" s="30" t="str">
        <x:v>JPMorgan（國內）</x:v>
      </x:c>
      <x:c r="B20" s="40" t="n">
        <x:f>SUMIFS('國內委外明細'!$G$4:$G$112,'國內委外明細'!$F$4:$F$112,A20,'國內委外明細'!$A$4:$A$112,$B$4)</x:f>
        <x:v>18000000000</x:v>
      </x:c>
      <x:c r="C20" s="40" t="n">
        <x:f>SUMIFS('國內委外明細'!$H$4:$H$112,'國內委外明細'!$F$4:$F$112,A20,'國內委外明細'!$A$4:$A$112,$B$4)</x:f>
        <x:v>25946046351</x:v>
      </x:c>
      <x:c r="D20" s="43" t="n">
        <x:f>IFERROR(B20/SUM($B$9:$B$26),0)</x:f>
        <x:v>0.01704787638656635</x:v>
      </x:c>
      <x:c r="E20" s="32" t="n">
        <x:f>RANK(B20,$B$9:$B$26,0)</x:f>
        <x:v>11</x:v>
      </x:c>
      <x:c r="G20" s="30" t="str">
        <x:v>盧米斯</x:v>
      </x:c>
      <x:c r="H20" s="40" t="n">
        <x:f>SUMIFS('國外委外明細'!$G$4:$G$162,'國外委外明細'!$F$4:$F$162,G20,'國外委外明細'!$A$4:$A$162,$B$4)</x:f>
        <x:v>2899337139</x:v>
      </x:c>
      <x:c r="I20" s="40" t="n">
        <x:f>SUMIFS('國外委外明細'!$H$4:$H$162,'國外委外明細'!$F$4:$F$162,G20,'國外委外明細'!$A$4:$A$162,$B$4)</x:f>
        <x:v>3039287910</x:v>
      </x:c>
      <x:c r="J20" s="43" t="n">
        <x:f>IFERROR(H20/SUM($H$9:$H$54),0)</x:f>
        <x:v>0.03002238534804383</x:v>
      </x:c>
      <x:c r="K20" s="32" t="n">
        <x:f>RANK(H20,$H$9:$H$54,0)</x:f>
        <x:v>12</x:v>
      </x:c>
    </x:row>
    <x:row r="21">
      <x:c r="A21" s="30" t="str">
        <x:v>群益</x:v>
      </x:c>
      <x:c r="B21" s="40" t="n">
        <x:f>SUMIFS('國內委外明細'!$G$4:$G$112,'國內委外明細'!$F$4:$F$112,A21,'國內委外明細'!$A$4:$A$112,$B$4)</x:f>
        <x:v>16685437018</x:v>
      </x:c>
      <x:c r="C21" s="40" t="n">
        <x:f>SUMIFS('國內委外明細'!$H$4:$H$112,'國內委外明細'!$F$4:$F$112,A21,'國內委外明細'!$A$4:$A$112,$B$4)</x:f>
        <x:v>42687730952</x:v>
      </x:c>
      <x:c r="D21" s="43" t="n">
        <x:f>IFERROR(B21/SUM($B$9:$B$26),0)</x:f>
        <x:v>0.015802848207705677</x:v>
      </x:c>
      <x:c r="E21" s="32" t="n">
        <x:f>RANK(B21,$B$9:$B$26,0)</x:f>
        <x:v>13</x:v>
      </x:c>
      <x:c r="G21" s="30" t="str">
        <x:v>Cohen &amp;Steers</x:v>
      </x:c>
      <x:c r="H21" s="40" t="n">
        <x:f>SUMIFS('國外委外明細'!$G$4:$G$162,'國外委外明細'!$F$4:$F$162,G21,'國外委外明細'!$A$4:$A$162,$B$4)</x:f>
        <x:v>2555932432</x:v>
      </x:c>
      <x:c r="I21" s="40" t="n">
        <x:f>SUMIFS('國外委外明細'!$H$4:$H$162,'國外委外明細'!$F$4:$F$162,G21,'國外委外明細'!$A$4:$A$162,$B$4)</x:f>
        <x:v>2941839542</x:v>
      </x:c>
      <x:c r="J21" s="43" t="n">
        <x:f>IFERROR(H21/SUM($H$9:$H$54),0)</x:f>
        <x:v>0.02646645930370598</x:v>
      </x:c>
      <x:c r="K21" s="32" t="n">
        <x:f>RANK(H21,$H$9:$H$54,0)</x:f>
        <x:v>13</x:v>
      </x:c>
    </x:row>
    <x:row r="22">
      <x:c r="A22" s="30" t="str">
        <x:v>華南永昌</x:v>
      </x:c>
      <x:c r="B22" s="40" t="n">
        <x:f>SUMIFS('國內委外明細'!$G$4:$G$112,'國內委外明細'!$F$4:$F$112,A22,'國內委外明細'!$A$4:$A$112,$B$4)</x:f>
        <x:v>10000000000</x:v>
      </x:c>
      <x:c r="C22" s="40" t="n">
        <x:f>SUMIFS('國內委外明細'!$H$4:$H$112,'國內委外明細'!$F$4:$F$112,A22,'國內委外明細'!$A$4:$A$112,$B$4)</x:f>
        <x:v>13087966936</x:v>
      </x:c>
      <x:c r="D22" s="43" t="n">
        <x:f>IFERROR(B22/SUM($B$9:$B$26),0)</x:f>
        <x:v>0.009471042436981304</x:v>
      </x:c>
      <x:c r="E22" s="32" t="n">
        <x:f>RANK(B22,$B$9:$B$26,0)</x:f>
        <x:v>14</x:v>
      </x:c>
      <x:c r="G22" s="30" t="str">
        <x:v>MFS</x:v>
      </x:c>
      <x:c r="H22" s="40" t="n">
        <x:f>SUMIFS('國外委外明細'!$G$4:$G$162,'國外委外明細'!$F$4:$F$162,G22,'國外委外明細'!$A$4:$A$162,$B$4)</x:f>
        <x:v>2425862154</x:v>
      </x:c>
      <x:c r="I22" s="40" t="n">
        <x:f>SUMIFS('國外委外明細'!$H$4:$H$162,'國外委外明細'!$F$4:$F$162,G22,'國外委外明細'!$A$4:$A$162,$B$4)</x:f>
        <x:v>3525432785</x:v>
      </x:c>
      <x:c r="J22" s="43" t="n">
        <x:f>IFERROR(H22/SUM($H$9:$H$54),0)</x:f>
        <x:v>0.02511959282311792</x:v>
      </x:c>
      <x:c r="K22" s="32" t="n">
        <x:f>RANK(H22,$H$9:$H$54,0)</x:f>
        <x:v>14</x:v>
      </x:c>
    </x:row>
    <x:row r="23">
      <x:c r="A23" s="30" t="str">
        <x:v>兆豐國際</x:v>
      </x:c>
      <x:c r="B23" s="40" t="n">
        <x:f>SUMIFS('國內委外明細'!$G$4:$G$112,'國內委外明細'!$F$4:$F$112,A23,'國內委外明細'!$A$4:$A$112,$B$4)</x:f>
        <x:v>9000000000</x:v>
      </x:c>
      <x:c r="C23" s="40" t="n">
        <x:f>SUMIFS('國內委外明細'!$H$4:$H$112,'國內委外明細'!$F$4:$F$112,A23,'國內委外明細'!$A$4:$A$112,$B$4)</x:f>
        <x:v>12874751853</x:v>
      </x:c>
      <x:c r="D23" s="43" t="n">
        <x:f>IFERROR(B23/SUM($B$9:$B$26),0)</x:f>
        <x:v>0.008523938193283174</x:v>
      </x:c>
      <x:c r="E23" s="32" t="n">
        <x:f>RANK(B23,$B$9:$B$26,0)</x:f>
        <x:v>15</x:v>
      </x:c>
      <x:c r="G23" s="30" t="str">
        <x:v>瑞萬通博</x:v>
      </x:c>
      <x:c r="H23" s="40" t="n">
        <x:f>SUMIFS('國外委外明細'!$G$4:$G$162,'國外委外明細'!$F$4:$F$162,G23,'國外委外明細'!$A$4:$A$162,$B$4)</x:f>
        <x:v>2210056902</x:v>
      </x:c>
      <x:c r="I23" s="40" t="n">
        <x:f>SUMIFS('國外委外明細'!$H$4:$H$162,'國外委外明細'!$F$4:$F$162,G23,'國外委外明細'!$A$4:$A$162,$B$4)</x:f>
        <x:v>2584189383</x:v>
      </x:c>
      <x:c r="J23" s="43" t="n">
        <x:f>IFERROR(H23/SUM($H$9:$H$54),0)</x:f>
        <x:v>0.022884948100872767</x:v>
      </x:c>
      <x:c r="K23" s="32" t="n">
        <x:f>RANK(H23,$H$9:$H$54,0)</x:f>
        <x:v>15</x:v>
      </x:c>
    </x:row>
    <x:row r="24">
      <x:c r="A24" s="30" t="str">
        <x:v>宏利</x:v>
      </x:c>
      <x:c r="B24" s="40" t="n">
        <x:f>SUMIFS('國內委外明細'!$G$4:$G$112,'國內委外明細'!$F$4:$F$112,A24,'國內委外明細'!$A$4:$A$112,$B$4)</x:f>
        <x:v>9000000000</x:v>
      </x:c>
      <x:c r="C24" s="40" t="n">
        <x:f>SUMIFS('國內委外明細'!$H$4:$H$112,'國內委外明細'!$F$4:$F$112,A24,'國內委外明細'!$A$4:$A$112,$B$4)</x:f>
        <x:v>13017408018</x:v>
      </x:c>
      <x:c r="D24" s="43" t="n">
        <x:f>IFERROR(B24/SUM($B$9:$B$26),0)</x:f>
        <x:v>0.008523938193283174</x:v>
      </x:c>
      <x:c r="E24" s="32" t="n">
        <x:f>RANK(B24,$B$9:$B$26,0)</x:f>
        <x:v>15</x:v>
      </x:c>
      <x:c r="G24" s="30" t="str">
        <x:v>Magellan</x:v>
      </x:c>
      <x:c r="H24" s="40" t="n">
        <x:f>SUMIFS('國外委外明細'!$G$4:$G$162,'國外委外明細'!$F$4:$F$162,G24,'國外委外明細'!$A$4:$A$162,$B$4)</x:f>
        <x:v>2077876409</x:v>
      </x:c>
      <x:c r="I24" s="40" t="n">
        <x:f>SUMIFS('國外委外明細'!$H$4:$H$162,'國外委外明細'!$F$4:$F$162,G24,'國外委外明細'!$A$4:$A$162,$B$4)</x:f>
        <x:v>2458832253</x:v>
      </x:c>
      <x:c r="J24" s="43" t="n">
        <x:f>IFERROR(H24/SUM($H$9:$H$54),0)</x:f>
        <x:v>0.021516230526445006</x:v>
      </x:c>
      <x:c r="K24" s="32" t="n">
        <x:f>RANK(H24,$H$9:$H$54,0)</x:f>
        <x:v>16</x:v>
      </x:c>
    </x:row>
    <x:row r="25">
      <x:c r="A25" s="30" t="str">
        <x:v>貝萊德</x:v>
      </x:c>
      <x:c r="B25" s="40" t="n">
        <x:f>SUMIFS('國內委外明細'!$G$4:$G$112,'國內委外明細'!$F$4:$F$112,A25,'國內委外明細'!$A$4:$A$112,$B$4)</x:f>
        <x:v>9000000000</x:v>
      </x:c>
      <x:c r="C25" s="40" t="n">
        <x:f>SUMIFS('國內委外明細'!$H$4:$H$112,'國內委外明細'!$F$4:$F$112,A25,'國內委外明細'!$A$4:$A$112,$B$4)</x:f>
        <x:v>13053425511</x:v>
      </x:c>
      <x:c r="D25" s="43" t="n">
        <x:f>IFERROR(B25/SUM($B$9:$B$26),0)</x:f>
        <x:v>0.008523938193283174</x:v>
      </x:c>
      <x:c r="E25" s="32" t="n">
        <x:f>RANK(B25,$B$9:$B$26,0)</x:f>
        <x:v>15</x:v>
      </x:c>
      <x:c r="G25" s="30" t="str">
        <x:v>DWS</x:v>
      </x:c>
      <x:c r="H25" s="40" t="n">
        <x:f>SUMIFS('國外委外明細'!$G$4:$G$162,'國外委外明細'!$F$4:$F$162,G25,'國外委外明細'!$A$4:$A$162,$B$4)</x:f>
        <x:v>2060974928</x:v>
      </x:c>
      <x:c r="I25" s="40" t="n">
        <x:f>SUMIFS('國外委外明細'!$H$4:$H$162,'國外委外明細'!$F$4:$F$162,G25,'國外委外明細'!$A$4:$A$162,$B$4)</x:f>
        <x:v>3033228329</x:v>
      </x:c>
      <x:c r="J25" s="43" t="n">
        <x:f>IFERROR(H25/SUM($H$9:$H$54),0)</x:f>
        <x:v>0.021341217152281263</x:v>
      </x:c>
      <x:c r="K25" s="32" t="n">
        <x:f>RANK(H25,$H$9:$H$54,0)</x:f>
        <x:v>17</x:v>
      </x:c>
    </x:row>
    <x:row r="26">
      <x:c r="A26" s="33" t="str">
        <x:v>元大</x:v>
      </x:c>
      <x:c r="B26" s="41" t="n">
        <x:f>SUMIFS('國內委外明細'!$G$4:$G$112,'國內委外明細'!$F$4:$F$112,A26,'國內委外明細'!$A$4:$A$112,$B$4)</x:f>
        <x:v>5400000000</x:v>
      </x:c>
      <x:c r="C26" s="41" t="n">
        <x:f>SUMIFS('國內委外明細'!$H$4:$H$112,'國內委外明細'!$F$4:$F$112,A26,'國內委外明細'!$A$4:$A$112,$B$4)</x:f>
        <x:v>5283427818</x:v>
      </x:c>
      <x:c r="D26" s="44" t="n">
        <x:f>IFERROR(B26/SUM($B$9:$B$26),0)</x:f>
        <x:v>0.005114362915969904</x:v>
      </x:c>
      <x:c r="E26" s="35" t="n">
        <x:f>RANK(B26,$B$9:$B$26,0)</x:f>
        <x:v>18</x:v>
      </x:c>
      <x:c r="G26" s="30" t="str">
        <x:v>TCW</x:v>
      </x:c>
      <x:c r="H26" s="40" t="n">
        <x:f>SUMIFS('國外委外明細'!$G$4:$G$162,'國外委外明細'!$F$4:$F$162,G26,'國外委外明細'!$A$4:$A$162,$B$4)</x:f>
        <x:v>1923959035</x:v>
      </x:c>
      <x:c r="I26" s="40" t="n">
        <x:f>SUMIFS('國外委外明細'!$H$4:$H$162,'國外委外明細'!$F$4:$F$162,G26,'國外委外明細'!$A$4:$A$162,$B$4)</x:f>
        <x:v>2389413786</x:v>
      </x:c>
      <x:c r="J26" s="43" t="n">
        <x:f>IFERROR(H26/SUM($H$9:$H$54),0)</x:f>
        <x:v>0.019922429429004924</x:v>
      </x:c>
      <x:c r="K26" s="32" t="n">
        <x:f>RANK(H26,$H$9:$H$54,0)</x:f>
        <x:v>18</x:v>
      </x:c>
    </x:row>
    <x:row r="27">
      <x:c r="G27" s="30" t="str">
        <x:v>富蘭克林坦伯頓</x:v>
      </x:c>
      <x:c r="H27" s="40" t="n">
        <x:f>SUMIFS('國外委外明細'!$G$4:$G$162,'國外委外明細'!$F$4:$F$162,G27,'國外委外明細'!$A$4:$A$162,$B$4)</x:f>
        <x:v>1612981102</x:v>
      </x:c>
      <x:c r="I27" s="40" t="n">
        <x:f>SUMIFS('國外委外明細'!$H$4:$H$162,'國外委外明細'!$F$4:$F$162,G27,'國外委外明細'!$A$4:$A$162,$B$4)</x:f>
        <x:v>1709168484</x:v>
      </x:c>
      <x:c r="J27" s="43" t="n">
        <x:f>IFERROR(H27/SUM($H$9:$H$54),0)</x:f>
        <x:v>0.016702279825263323</x:v>
      </x:c>
      <x:c r="K27" s="32" t="n">
        <x:f>RANK(H27,$H$9:$H$54,0)</x:f>
        <x:v>19</x:v>
      </x:c>
    </x:row>
    <x:row r="28">
      <x:c r="G28" s="30" t="str">
        <x:v>CBRE</x:v>
      </x:c>
      <x:c r="H28" s="40" t="n">
        <x:f>SUMIFS('國外委外明細'!$G$4:$G$162,'國外委外明細'!$F$4:$F$162,G28,'國外委外明細'!$A$4:$A$162,$B$4)</x:f>
        <x:v>1495926365</x:v>
      </x:c>
      <x:c r="I28" s="40" t="n">
        <x:f>SUMIFS('國外委外明細'!$H$4:$H$162,'國外委外明細'!$F$4:$F$162,G28,'國外委外明細'!$A$4:$A$162,$B$4)</x:f>
        <x:v>1806278590</x:v>
      </x:c>
      <x:c r="J28" s="43" t="n">
        <x:f>IFERROR(H28/SUM($H$9:$H$54),0)</x:f>
        <x:v>0.015490188146183873</x:v>
      </x:c>
      <x:c r="K28" s="32" t="n">
        <x:f>RANK(H28,$H$9:$H$54,0)</x:f>
        <x:v>20</x:v>
      </x:c>
    </x:row>
    <x:row r="29">
      <x:c r="G29" s="30" t="str">
        <x:v>Nomura</x:v>
      </x:c>
      <x:c r="H29" s="40" t="n">
        <x:f>SUMIFS('國外委外明細'!$G$4:$G$162,'國外委外明細'!$F$4:$F$162,G29,'國外委外明細'!$A$4:$A$162,$B$4)</x:f>
        <x:v>1391034581</x:v>
      </x:c>
      <x:c r="I29" s="40" t="n">
        <x:f>SUMIFS('國外委外明細'!$H$4:$H$162,'國外委外明細'!$F$4:$F$162,G29,'國外委外明細'!$A$4:$A$162,$B$4)</x:f>
        <x:v>1679948361</x:v>
      </x:c>
      <x:c r="J29" s="43" t="n">
        <x:f>IFERROR(H29/SUM($H$9:$H$54),0)</x:f>
        <x:v>0.014404042793602379</x:v>
      </x:c>
      <x:c r="K29" s="32" t="n">
        <x:f>RANK(H29,$H$9:$H$54,0)</x:f>
        <x:v>21</x:v>
      </x:c>
    </x:row>
    <x:row r="30">
      <x:c r="G30" s="30" t="str">
        <x:v>Insight</x:v>
      </x:c>
      <x:c r="H30" s="40" t="n">
        <x:f>SUMIFS('國外委外明細'!$G$4:$G$162,'國外委外明細'!$F$4:$F$162,G30,'國外委外明細'!$A$4:$A$162,$B$4)</x:f>
        <x:v>1229834121</x:v>
      </x:c>
      <x:c r="I30" s="40" t="n">
        <x:f>SUMIFS('國外委外明細'!$H$4:$H$162,'國外委外明細'!$F$4:$F$162,G30,'國外委外明細'!$A$4:$A$162,$B$4)</x:f>
        <x:v>1218224544</x:v>
      </x:c>
      <x:c r="J30" s="43" t="n">
        <x:f>IFERROR(H30/SUM($H$9:$H$54),0)</x:f>
        <x:v>0.012734825970452538</x:v>
      </x:c>
      <x:c r="K30" s="32" t="n">
        <x:f>RANK(H30,$H$9:$H$54,0)</x:f>
        <x:v>22</x:v>
      </x:c>
    </x:row>
    <x:row r="31">
      <x:c r="G31" s="30" t="str">
        <x:v>CPR</x:v>
      </x:c>
      <x:c r="H31" s="40" t="n">
        <x:f>SUMIFS('國外委外明細'!$G$4:$G$162,'國外委外明細'!$F$4:$F$162,G31,'國外委外明細'!$A$4:$A$162,$B$4)</x:f>
        <x:v>1215115365</x:v>
      </x:c>
      <x:c r="I31" s="40" t="n">
        <x:f>SUMIFS('國外委外明細'!$H$4:$H$162,'國外委外明細'!$F$4:$F$162,G31,'國外委外明細'!$A$4:$A$162,$B$4)</x:f>
        <x:v>1719232558</x:v>
      </x:c>
      <x:c r="J31" s="43" t="n">
        <x:f>IFERROR(H31/SUM($H$9:$H$54),0)</x:f>
        <x:v>0.012582414524908042</x:v>
      </x:c>
      <x:c r="K31" s="32" t="n">
        <x:f>RANK(H31,$H$9:$H$54,0)</x:f>
        <x:v>23</x:v>
      </x:c>
    </x:row>
    <x:row r="32">
      <x:c r="G32" s="30" t="str">
        <x:v>RBC</x:v>
      </x:c>
      <x:c r="H32" s="40" t="n">
        <x:f>SUMIFS('國外委外明細'!$G$4:$G$162,'國外委外明細'!$F$4:$F$162,G32,'國外委外明細'!$A$4:$A$162,$B$4)</x:f>
        <x:v>1186559371</x:v>
      </x:c>
      <x:c r="I32" s="40" t="n">
        <x:f>SUMIFS('國外委外明細'!$H$4:$H$162,'國外委外明細'!$F$4:$F$162,G32,'國外委外明細'!$A$4:$A$162,$B$4)</x:f>
        <x:v>1352096519</x:v>
      </x:c>
      <x:c r="J32" s="43" t="n">
        <x:f>IFERROR(H32/SUM($H$9:$H$54),0)</x:f>
        <x:v>0.01228671967647792</x:v>
      </x:c>
      <x:c r="K32" s="32" t="n">
        <x:f>RANK(H32,$H$9:$H$54,0)</x:f>
        <x:v>24</x:v>
      </x:c>
    </x:row>
    <x:row r="33">
      <x:c r="G33" s="30" t="str">
        <x:v>Schroders</x:v>
      </x:c>
      <x:c r="H33" s="40" t="n">
        <x:f>SUMIFS('國外委外明細'!$G$4:$G$162,'國外委外明細'!$F$4:$F$162,G33,'國外委外明細'!$A$4:$A$162,$B$4)</x:f>
        <x:v>960000000</x:v>
      </x:c>
      <x:c r="I33" s="40" t="n">
        <x:f>SUMIFS('國外委外明細'!$H$4:$H$162,'國外委外明細'!$F$4:$F$162,G33,'國外委外明細'!$A$4:$A$162,$B$4)</x:f>
        <x:v>1337309953</x:v>
      </x:c>
      <x:c r="J33" s="43" t="n">
        <x:f>IFERROR(H33/SUM($H$9:$H$54),0)</x:f>
        <x:v>0.009940716981972918</x:v>
      </x:c>
      <x:c r="K33" s="32" t="n">
        <x:f>RANK(H33,$H$9:$H$54,0)</x:f>
        <x:v>25</x:v>
      </x:c>
    </x:row>
    <x:row r="34">
      <x:c r="G34" s="30" t="str">
        <x:v>T. Rowe Price</x:v>
      </x:c>
      <x:c r="H34" s="40" t="n">
        <x:f>SUMIFS('國外委外明細'!$G$4:$G$162,'國外委外明細'!$F$4:$F$162,G34,'國外委外明細'!$A$4:$A$162,$B$4)</x:f>
        <x:v>960000000</x:v>
      </x:c>
      <x:c r="I34" s="40" t="n">
        <x:f>SUMIFS('國外委外明細'!$H$4:$H$162,'國外委外明細'!$F$4:$F$162,G34,'國外委外明細'!$A$4:$A$162,$B$4)</x:f>
        <x:v>1142513053</x:v>
      </x:c>
      <x:c r="J34" s="43" t="n">
        <x:f>IFERROR(H34/SUM($H$9:$H$54),0)</x:f>
        <x:v>0.009940716981972918</x:v>
      </x:c>
      <x:c r="K34" s="32" t="n">
        <x:f>RANK(H34,$H$9:$H$54,0)</x:f>
        <x:v>25</x:v>
      </x:c>
    </x:row>
    <x:row r="35">
      <x:c r="G35" s="30" t="str">
        <x:v>American Century</x:v>
      </x:c>
      <x:c r="H35" s="40" t="n">
        <x:f>SUMIFS('國外委外明細'!$G$4:$G$162,'國外委外明細'!$F$4:$F$162,G35,'國外委外明細'!$A$4:$A$162,$B$4)</x:f>
        <x:v>959838014</x:v>
      </x:c>
      <x:c r="I35" s="40" t="n">
        <x:f>SUMIFS('國外委外明細'!$H$4:$H$162,'國外委外明細'!$F$4:$F$162,G35,'國外委外明細'!$A$4:$A$162,$B$4)</x:f>
        <x:v>1175399124</x:v>
      </x:c>
      <x:c r="J35" s="43" t="n">
        <x:f>IFERROR(H35/SUM($H$9:$H$54),0)</x:f>
        <x:v>0.009939039630951</x:v>
      </x:c>
      <x:c r="K35" s="32" t="n">
        <x:f>RANK(H35,$H$9:$H$54,0)</x:f>
        <x:v>27</x:v>
      </x:c>
    </x:row>
    <x:row r="36">
      <x:c r="G36" s="30" t="str">
        <x:v>Lazard</x:v>
      </x:c>
      <x:c r="H36" s="40" t="n">
        <x:f>SUMIFS('國外委外明細'!$G$4:$G$162,'國外委外明細'!$F$4:$F$162,G36,'國外委外明細'!$A$4:$A$162,$B$4)</x:f>
        <x:v>954418976</x:v>
      </x:c>
      <x:c r="I36" s="40" t="n">
        <x:f>SUMIFS('國外委外明細'!$H$4:$H$162,'國外委外明細'!$F$4:$F$162,G36,'國外委外明細'!$A$4:$A$162,$B$4)</x:f>
        <x:v>1388520134</x:v>
      </x:c>
      <x:c r="J36" s="43" t="n">
        <x:f>IFERROR(H36/SUM($H$9:$H$54),0)</x:f>
        <x:v>0.009882925961083753</x:v>
      </x:c>
      <x:c r="K36" s="32" t="n">
        <x:f>RANK(H36,$H$9:$H$54,0)</x:f>
        <x:v>28</x:v>
      </x:c>
    </x:row>
    <x:row r="37">
      <x:c r="G37" s="30" t="str">
        <x:v>聯博</x:v>
      </x:c>
      <x:c r="H37" s="40" t="n">
        <x:f>SUMIFS('國外委外明細'!$G$4:$G$162,'國外委外明細'!$F$4:$F$162,G37,'國外委外明細'!$A$4:$A$162,$B$4)</x:f>
        <x:v>900495639</x:v>
      </x:c>
      <x:c r="I37" s="40" t="n">
        <x:f>SUMIFS('國外委外明細'!$H$4:$H$162,'國外委外明細'!$F$4:$F$162,G37,'國外委外明細'!$A$4:$A$162,$B$4)</x:f>
        <x:v>897752897</x:v>
      </x:c>
      <x:c r="J37" s="43" t="n">
        <x:f>IFERROR(H37/SUM($H$9:$H$54),0)</x:f>
        <x:v>0.009324554469583182</x:v>
      </x:c>
      <x:c r="K37" s="32" t="n">
        <x:f>RANK(H37,$H$9:$H$54,0)</x:f>
        <x:v>29</x:v>
      </x:c>
    </x:row>
    <x:row r="38">
      <x:c r="G38" s="30" t="str">
        <x:v>Ninety One</x:v>
      </x:c>
      <x:c r="H38" s="40" t="n">
        <x:f>SUMIFS('國外委外明細'!$G$4:$G$162,'國外委外明細'!$F$4:$F$162,G38,'國外委外明細'!$A$4:$A$162,$B$4)</x:f>
        <x:v>900000000</x:v>
      </x:c>
      <x:c r="I38" s="40" t="n">
        <x:f>SUMIFS('國外委外明細'!$H$4:$H$162,'國外委外明細'!$F$4:$F$162,G38,'國外委外明細'!$A$4:$A$162,$B$4)</x:f>
        <x:v>1077267573</x:v>
      </x:c>
      <x:c r="J38" s="43" t="n">
        <x:f>IFERROR(H38/SUM($H$9:$H$54),0)</x:f>
        <x:v>0.009319422170599612</x:v>
      </x:c>
      <x:c r="K38" s="32" t="n">
        <x:f>RANK(H38,$H$9:$H$54,0)</x:f>
        <x:v>30</x:v>
      </x:c>
    </x:row>
    <x:row r="39">
      <x:c r="G39" s="30" t="str">
        <x:v>信安</x:v>
      </x:c>
      <x:c r="H39" s="40" t="n">
        <x:f>SUMIFS('國外委外明細'!$G$4:$G$162,'國外委外明細'!$F$4:$F$162,G39,'國外委外明細'!$A$4:$A$162,$B$4)</x:f>
        <x:v>708888643</x:v>
      </x:c>
      <x:c r="I39" s="40" t="n">
        <x:f>SUMIFS('國外委外明細'!$H$4:$H$162,'國外委外明細'!$F$4:$F$162,G39,'國外委外明細'!$A$4:$A$162,$B$4)</x:f>
        <x:v>801020312</x:v>
      </x:c>
      <x:c r="J39" s="43" t="n">
        <x:f>IFERROR(H39/SUM($H$9:$H$54),0)</x:f>
        <x:v>0.007340480595622747</x:v>
      </x:c>
      <x:c r="K39" s="32" t="n">
        <x:f>RANK(H39,$H$9:$H$54,0)</x:f>
        <x:v>31</x:v>
      </x:c>
    </x:row>
    <x:row r="40">
      <x:c r="G40" s="30" t="str">
        <x:v>Clearbridge</x:v>
      </x:c>
      <x:c r="H40" s="40" t="n">
        <x:f>SUMIFS('國外委外明細'!$G$4:$G$162,'國外委外明細'!$F$4:$F$162,G40,'國外委外明細'!$A$4:$A$162,$B$4)</x:f>
        <x:v>700000000</x:v>
      </x:c>
      <x:c r="I40" s="40" t="n">
        <x:f>SUMIFS('國外委外明細'!$H$4:$H$162,'國外委外明細'!$F$4:$F$162,G40,'國外委外明細'!$A$4:$A$162,$B$4)</x:f>
        <x:v>957679882</x:v>
      </x:c>
      <x:c r="J40" s="43" t="n">
        <x:f>IFERROR(H40/SUM($H$9:$H$54),0)</x:f>
        <x:v>0.00724843946602192</x:v>
      </x:c>
      <x:c r="K40" s="32" t="n">
        <x:f>RANK(H40,$H$9:$H$54,0)</x:f>
        <x:v>32</x:v>
      </x:c>
    </x:row>
    <x:row r="41">
      <x:c r="G41" s="30" t="str">
        <x:v>Pictet</x:v>
      </x:c>
      <x:c r="H41" s="40" t="n">
        <x:f>SUMIFS('國外委外明細'!$G$4:$G$162,'國外委外明細'!$F$4:$F$162,G41,'國外委外明細'!$A$4:$A$162,$B$4)</x:f>
        <x:v>618843493</x:v>
      </x:c>
      <x:c r="I41" s="40" t="n">
        <x:f>SUMIFS('國外委外明細'!$H$4:$H$162,'國外委外明細'!$F$4:$F$162,G41,'國外委外明細'!$A$4:$A$162,$B$4)</x:f>
        <x:v>769778438</x:v>
      </x:c>
      <x:c r="J41" s="43" t="n">
        <x:f>IFERROR(H41/SUM($H$9:$H$54),0)</x:f>
        <x:v>0.006408070854217228</x:v>
      </x:c>
      <x:c r="K41" s="32" t="n">
        <x:f>RANK(H41,$H$9:$H$54,0)</x:f>
        <x:v>33</x:v>
      </x:c>
    </x:row>
    <x:row r="42">
      <x:c r="G42" s="30" t="str">
        <x:v>PGIM</x:v>
      </x:c>
      <x:c r="H42" s="40" t="n">
        <x:f>SUMIFS('國外委外明細'!$G$4:$G$162,'國外委外明細'!$F$4:$F$162,G42,'國外委外明細'!$A$4:$A$162,$B$4)</x:f>
        <x:v>600000000</x:v>
      </x:c>
      <x:c r="I42" s="40" t="n">
        <x:f>SUMIFS('國外委外明細'!$H$4:$H$162,'國外委外明細'!$F$4:$F$162,G42,'國外委外明細'!$A$4:$A$162,$B$4)</x:f>
        <x:v>688857784</x:v>
      </x:c>
      <x:c r="J42" s="43" t="n">
        <x:f>IFERROR(H42/SUM($H$9:$H$54),0)</x:f>
        <x:v>0.0062129481137330736</x:v>
      </x:c>
      <x:c r="K42" s="32" t="n">
        <x:f>RANK(H42,$H$9:$H$54,0)</x:f>
        <x:v>34</x:v>
      </x:c>
    </x:row>
    <x:row r="43">
      <x:c r="G43" s="30" t="str">
        <x:v>荷寶</x:v>
      </x:c>
      <x:c r="H43" s="40" t="n">
        <x:f>SUMIFS('國外委外明細'!$G$4:$G$162,'國外委外明細'!$F$4:$F$162,G43,'國外委外明細'!$A$4:$A$162,$B$4)</x:f>
        <x:v>506416368</x:v>
      </x:c>
      <x:c r="I43" s="40" t="n">
        <x:f>SUMIFS('國外委外明細'!$H$4:$H$162,'國外委外明細'!$F$4:$F$162,G43,'國外委外明細'!$A$4:$A$162,$B$4)</x:f>
        <x:v>697308846</x:v>
      </x:c>
      <x:c r="J43" s="43" t="n">
        <x:f>IFERROR(H43/SUM($H$9:$H$54),0)</x:f>
        <x:v>0.005243897697215257</x:v>
      </x:c>
      <x:c r="K43" s="32" t="n">
        <x:f>RANK(H43,$H$9:$H$54,0)</x:f>
        <x:v>35</x:v>
      </x:c>
    </x:row>
    <x:row r="44">
      <x:c r="G44" s="30" t="str">
        <x:v>Amundi</x:v>
      </x:c>
      <x:c r="H44" s="40" t="n">
        <x:f>SUMIFS('國外委外明細'!$G$4:$G$162,'國外委外明細'!$F$4:$F$162,G44,'國外委外明細'!$A$4:$A$162,$B$4)</x:f>
        <x:v>500000000</x:v>
      </x:c>
      <x:c r="I44" s="40" t="n">
        <x:f>SUMIFS('國外委外明細'!$H$4:$H$162,'國外委外明細'!$F$4:$F$162,G44,'國外委外明細'!$A$4:$A$162,$B$4)</x:f>
        <x:v>666575819</x:v>
      </x:c>
      <x:c r="J44" s="43" t="n">
        <x:f>IFERROR(H44/SUM($H$9:$H$54),0)</x:f>
        <x:v>0.005177456761444228</x:v>
      </x:c>
      <x:c r="K44" s="32" t="n">
        <x:f>RANK(H44,$H$9:$H$54,0)</x:f>
        <x:v>36</x:v>
      </x:c>
    </x:row>
    <x:row r="45">
      <x:c r="G45" s="30" t="str">
        <x:v>滙豐</x:v>
      </x:c>
      <x:c r="H45" s="40" t="n">
        <x:f>SUMIFS('國外委外明細'!$G$4:$G$162,'國外委外明細'!$F$4:$F$162,G45,'國外委外明細'!$A$4:$A$162,$B$4)</x:f>
        <x:v>460000000</x:v>
      </x:c>
      <x:c r="I45" s="40" t="n">
        <x:f>SUMIFS('國外委外明細'!$H$4:$H$162,'國外委外明細'!$F$4:$F$162,G45,'國外委外明細'!$A$4:$A$162,$B$4)</x:f>
        <x:v>706462588</x:v>
      </x:c>
      <x:c r="J45" s="43" t="n">
        <x:f>IFERROR(H45/SUM($H$9:$H$54),0)</x:f>
        <x:v>0.00476326022052869</x:v>
      </x:c>
      <x:c r="K45" s="32" t="n">
        <x:f>RANK(H45,$H$9:$H$54,0)</x:f>
        <x:v>37</x:v>
      </x:c>
    </x:row>
    <x:row r="46">
      <x:c r="G46" s="30" t="str">
        <x:v>摩根士丹利</x:v>
      </x:c>
      <x:c r="H46" s="40" t="n">
        <x:f>SUMIFS('國外委外明細'!$G$4:$G$162,'國外委外明細'!$F$4:$F$162,G46,'國外委外明細'!$A$4:$A$162,$B$4)</x:f>
        <x:v>460000000</x:v>
      </x:c>
      <x:c r="I46" s="40" t="n">
        <x:f>SUMIFS('國外委外明細'!$H$4:$H$162,'國外委外明細'!$F$4:$F$162,G46,'國外委外明細'!$A$4:$A$162,$B$4)</x:f>
        <x:v>690570828</x:v>
      </x:c>
      <x:c r="J46" s="43" t="n">
        <x:f>IFERROR(H46/SUM($H$9:$H$54),0)</x:f>
        <x:v>0.00476326022052869</x:v>
      </x:c>
      <x:c r="K46" s="32" t="n">
        <x:f>RANK(H46,$H$9:$H$54,0)</x:f>
        <x:v>37</x:v>
      </x:c>
    </x:row>
    <x:row r="47">
      <x:c r="G47" s="30" t="str">
        <x:v>信安環球</x:v>
      </x:c>
      <x:c r="H47" s="40" t="n">
        <x:f>SUMIFS('國外委外明細'!$G$4:$G$162,'國外委外明細'!$F$4:$F$162,G47,'國外委外明細'!$A$4:$A$162,$B$4)</x:f>
        <x:v>425091462</x:v>
      </x:c>
      <x:c r="I47" s="40" t="n">
        <x:f>SUMIFS('國外委外明細'!$H$4:$H$162,'國外委外明細'!$F$4:$F$162,G47,'國外委外明細'!$A$4:$A$162,$B$4)</x:f>
        <x:v>478192278</x:v>
      </x:c>
      <x:c r="J47" s="43" t="n">
        <x:f>IFERROR(H47/SUM($H$9:$H$54),0)</x:f>
        <x:v>0.004401785328328224</x:v>
      </x:c>
      <x:c r="K47" s="32" t="n">
        <x:f>RANK(H47,$H$9:$H$54,0)</x:f>
        <x:v>39</x:v>
      </x:c>
    </x:row>
    <x:row r="48">
      <x:c r="G48" s="30" t="str">
        <x:v>LGIM</x:v>
      </x:c>
      <x:c r="H48" s="40" t="n">
        <x:f>SUMIFS('國外委外明細'!$G$4:$G$162,'國外委外明細'!$F$4:$F$162,G48,'國外委外明細'!$A$4:$A$162,$B$4)</x:f>
        <x:v>400000000</x:v>
      </x:c>
      <x:c r="I48" s="40" t="n">
        <x:f>SUMIFS('國外委外明細'!$H$4:$H$162,'國外委外明細'!$F$4:$F$162,G48,'國外委外明細'!$A$4:$A$162,$B$4)</x:f>
        <x:v>593041556</x:v>
      </x:c>
      <x:c r="J48" s="43" t="n">
        <x:f>IFERROR(H48/SUM($H$9:$H$54),0)</x:f>
        <x:v>0.004141965409155382</x:v>
      </x:c>
      <x:c r="K48" s="32" t="n">
        <x:f>RANK(H48,$H$9:$H$54,0)</x:f>
        <x:v>40</x:v>
      </x:c>
    </x:row>
    <x:row r="49">
      <x:c r="G49" s="30" t="str">
        <x:v>Center Square</x:v>
      </x:c>
      <x:c r="H49" s="40" t="n">
        <x:f>SUMIFS('國外委外明細'!$G$4:$G$162,'國外委外明細'!$F$4:$F$162,G49,'國外委外明細'!$A$4:$A$162,$B$4)</x:f>
        <x:v>400000000</x:v>
      </x:c>
      <x:c r="I49" s="40" t="n">
        <x:f>SUMIFS('國外委外明細'!$H$4:$H$162,'國外委外明細'!$F$4:$F$162,G49,'國外委外明細'!$A$4:$A$162,$B$4)</x:f>
        <x:v>458409894</x:v>
      </x:c>
      <x:c r="J49" s="43" t="n">
        <x:f>IFERROR(H49/SUM($H$9:$H$54),0)</x:f>
        <x:v>0.004141965409155382</x:v>
      </x:c>
      <x:c r="K49" s="32" t="n">
        <x:f>RANK(H49,$H$9:$H$54,0)</x:f>
        <x:v>40</x:v>
      </x:c>
    </x:row>
    <x:row r="50">
      <x:c r="G50" s="30" t="str">
        <x:v>HSBC</x:v>
      </x:c>
      <x:c r="H50" s="40" t="n">
        <x:f>SUMIFS('國外委外明細'!$G$4:$G$162,'國外委外明細'!$F$4:$F$162,G50,'國外委外明細'!$A$4:$A$162,$B$4)</x:f>
        <x:v>400000000</x:v>
      </x:c>
      <x:c r="I50" s="40" t="n">
        <x:f>SUMIFS('國外委外明細'!$H$4:$H$162,'國外委外明細'!$F$4:$F$162,G50,'國外委外明細'!$A$4:$A$162,$B$4)</x:f>
        <x:v>421747465</x:v>
      </x:c>
      <x:c r="J50" s="43" t="n">
        <x:f>IFERROR(H50/SUM($H$9:$H$54),0)</x:f>
        <x:v>0.004141965409155382</x:v>
      </x:c>
      <x:c r="K50" s="32" t="n">
        <x:f>RANK(H50,$H$9:$H$54,0)</x:f>
        <x:v>40</x:v>
      </x:c>
    </x:row>
    <x:row r="51">
      <x:c r="G51" s="30" t="str">
        <x:v>UBS</x:v>
      </x:c>
      <x:c r="H51" s="40" t="n">
        <x:f>SUMIFS('國外委外明細'!$G$4:$G$162,'國外委外明細'!$F$4:$F$162,G51,'國外委外明細'!$A$4:$A$162,$B$4)</x:f>
        <x:v>400000000</x:v>
      </x:c>
      <x:c r="I51" s="40" t="n">
        <x:f>SUMIFS('國外委外明細'!$H$4:$H$162,'國外委外明細'!$F$4:$F$162,G51,'國外委外明細'!$A$4:$A$162,$B$4)</x:f>
        <x:v>422040147</x:v>
      </x:c>
      <x:c r="J51" s="43" t="n">
        <x:f>IFERROR(H51/SUM($H$9:$H$54),0)</x:f>
        <x:v>0.004141965409155382</x:v>
      </x:c>
      <x:c r="K51" s="32" t="n">
        <x:f>RANK(H51,$H$9:$H$54,0)</x:f>
        <x:v>40</x:v>
      </x:c>
    </x:row>
    <x:row r="52">
      <x:c r="G52" s="30" t="str">
        <x:v>瑞銀</x:v>
      </x:c>
      <x:c r="H52" s="40" t="n">
        <x:f>SUMIFS('國外委外明細'!$G$4:$G$162,'國外委外明細'!$F$4:$F$162,G52,'國外委外明細'!$A$4:$A$162,$B$4)</x:f>
        <x:v>361201485</x:v>
      </x:c>
      <x:c r="I52" s="40" t="n">
        <x:f>SUMIFS('國外委外明細'!$H$4:$H$162,'國外委外明細'!$F$4:$F$162,G52,'國外委外明細'!$A$4:$A$162,$B$4)</x:f>
        <x:v>367521178</x:v>
      </x:c>
      <x:c r="J52" s="43" t="n">
        <x:f>IFERROR(H52/SUM($H$9:$H$54),0)</x:f>
        <x:v>0.003740210141513892</x:v>
      </x:c>
      <x:c r="K52" s="32" t="n">
        <x:f>RANK(H52,$H$9:$H$54,0)</x:f>
        <x:v>44</x:v>
      </x:c>
    </x:row>
    <x:row r="53">
      <x:c r="G53" s="30" t="str">
        <x:v>Allianz</x:v>
      </x:c>
      <x:c r="H53" s="40" t="n">
        <x:f>SUMIFS('國外委外明細'!$G$4:$G$162,'國外委外明細'!$F$4:$F$162,G53,'國外委外明細'!$A$4:$A$162,$B$4)</x:f>
        <x:v>275923278</x:v>
      </x:c>
      <x:c r="I53" s="40" t="n">
        <x:f>SUMIFS('國外委外明細'!$H$4:$H$162,'國外委外明細'!$F$4:$F$162,G53,'國外委外明細'!$A$4:$A$162,$B$4)</x:f>
        <x:v>275639320</x:v>
      </x:c>
      <x:c r="J53" s="43" t="n">
        <x:f>IFERROR(H53/SUM($H$9:$H$54),0)</x:f>
        <x:v>0.002857161682641911</x:v>
      </x:c>
      <x:c r="K53" s="32" t="n">
        <x:f>RANK(H53,$H$9:$H$54,0)</x:f>
        <x:v>45</x:v>
      </x:c>
    </x:row>
    <x:row r="54">
      <x:c r="G54" s="33" t="str">
        <x:v>ClearBridge</x:v>
      </x:c>
      <x:c r="H54" s="41" t="n">
        <x:f>SUMIFS('國外委外明細'!$G$4:$G$162,'國外委外明細'!$F$4:$F$162,G54,'國外委外明細'!$A$4:$A$162,$B$4)</x:f>
        <x:v>60000000</x:v>
      </x:c>
      <x:c r="I54" s="41" t="n">
        <x:f>SUMIFS('國外委外明細'!$H$4:$H$162,'國外委外明細'!$F$4:$F$162,G54,'國外委外明細'!$A$4:$A$162,$B$4)</x:f>
        <x:v>90179012</x:v>
      </x:c>
      <x:c r="J54" s="44" t="n">
        <x:f>IFERROR(H54/SUM($H$9:$H$54),0)</x:f>
        <x:v>0.0006212948113733074</x:v>
      </x:c>
      <x:c r="K54" s="35" t="n">
        <x:f>RANK(H54,$H$9:$H$54,0)</x:f>
        <x:v>46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1a1b1e73e90b4539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3.5600004196167" hidden="0" customWidth="1"/>
    <x:col min="7" max="7" width="36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83" t="str">
        <x:v>1</x:v>
      </x:c>
      <x:c r="B4" s="84" t="str">
        <x:v>月度資產配置</x:v>
      </x:c>
      <x:c r="C4" s="84" t="str">
        <x:v>新制、舊制各資產配置列</x:v>
      </x:c>
      <x:c r="D4" s="84" t="str">
        <x:v>日期、基金、項目、金額、比率、來源</x:v>
      </x:c>
      <x:c r="E4" s="84" t="str">
        <x:v>PDF「資產配置」</x:v>
      </x:c>
      <x:c r="F4" s="84" t="str">
        <x:v>最新配置與合計圖</x:v>
      </x:c>
      <x:c r="G4" s="85" t="str">
        <x:v>保留父項與子項（如委託經營-固定收益）</x:v>
      </x:c>
    </x:row>
    <x:row r="5">
      <x:c r="A5" s="86" t="str">
        <x:v>2</x:v>
      </x:c>
      <x:c r="B5" s="87" t="str">
        <x:v>國內委外明細</x:v>
      </x:c>
      <x:c r="C5" s="87" t="str">
        <x:v>各批次／業者一列</x:v>
      </x:c>
      <x:c r="D5" s="87" t="str">
        <x:v>日期、基金、批次、業者、金額、淨資產、兩種報酬率</x:v>
      </x:c>
      <x:c r="E5" s="87" t="str">
        <x:v>PDF「國內委外投資概況」</x:v>
      </x:c>
      <x:c r="F5" s="87" t="str">
        <x:v>國內業者彙總</x:v>
      </x:c>
      <x:c r="G5" s="88" t="str">
        <x:v>新增批次直接新增列</x:v>
      </x:c>
    </x:row>
    <x:row r="6">
      <x:c r="A6" s="86" t="str">
        <x:v>3</x:v>
      </x:c>
      <x:c r="B6" s="87" t="str">
        <x:v>國外委外明細</x:v>
      </x:c>
      <x:c r="C6" s="87" t="str">
        <x:v>各批次／業者一列</x:v>
      </x:c>
      <x:c r="D6" s="87" t="str">
        <x:v>日期、基金、批次、業者、金額、淨資產、兩種報酬率、單位</x:v>
      </x:c>
      <x:c r="E6" s="87" t="str">
        <x:v>PDF「國外委外投資概況」</x:v>
      </x:c>
      <x:c r="F6" s="87" t="str">
        <x:v>國外業者彙總</x:v>
      </x:c>
      <x:c r="G6" s="88" t="str">
        <x:v>保留美元／其他原始幣別，不自行換匯</x:v>
      </x:c>
    </x:row>
    <x:row r="7">
      <x:c r="A7" s="86" t="str">
        <x:v>4</x:v>
      </x:c>
      <x:c r="B7" s="87" t="str">
        <x:v>業者彙總</x:v>
      </x:c>
      <x:c r="C7" s="87" t="str">
        <x:v>不需手動新增</x:v>
      </x:c>
      <x:c r="D7" s="87" t="str">
        <x:v>調整控制項日期／基金</x:v>
      </x:c>
      <x:c r="E7" s="87" t="str">
        <x:v>工作表上方 B4、B5</x:v>
      </x:c>
      <x:c r="F7" s="87" t="str">
        <x:v>市占與排名</x:v>
      </x:c>
      <x:c r="G7" s="88" t="str">
        <x:v>若新增業者，於各區塊底部增加業者名稱與複製公式</x:v>
      </x:c>
    </x:row>
    <x:row r="8">
      <x:c r="A8" s="89" t="str">
        <x:v>5</x:v>
      </x:c>
      <x:c r="B8" s="90" t="str">
        <x:v>資料品質檢核</x:v>
      </x:c>
      <x:c r="C8" s="90" t="str">
        <x:v>不需手動新增</x:v>
      </x:c>
      <x:c r="D8" s="90" t="str">
        <x:v>確認狀態為 OK</x:v>
      </x:c>
      <x:c r="E8" s="90" t="str">
        <x:v>檢核頁</x:v>
      </x:c>
      <x:c r="F8" s="90" t="str">
        <x:v>驗證來源與總額</x:v>
      </x:c>
      <x:c r="G8" s="91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109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159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