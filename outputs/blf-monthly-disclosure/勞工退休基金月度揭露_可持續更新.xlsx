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b4ba3ff83a4f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b8c25c88a2f640c0"/>
    <x:sheet xmlns:r="http://schemas.openxmlformats.org/officeDocument/2006/relationships" name="儀表板(美元)" sheetId="2" r:id="Rfbf4731fed154582"/>
    <x:sheet xmlns:r="http://schemas.openxmlformats.org/officeDocument/2006/relationships" name="月度資產配置" sheetId="3" r:id="Re3083570204b47dc"/>
    <x:sheet xmlns:r="http://schemas.openxmlformats.org/officeDocument/2006/relationships" name="國內委外明細" sheetId="4" r:id="R3cd99703685841da"/>
    <x:sheet xmlns:r="http://schemas.openxmlformats.org/officeDocument/2006/relationships" name="國外委外明細" sheetId="5" r:id="R3a6dccb0afb5447f"/>
    <x:sheet xmlns:r="http://schemas.openxmlformats.org/officeDocument/2006/relationships" name="批次彙總" sheetId="6" r:id="Ra7ef2fe6150e47a7"/>
    <x:sheet xmlns:r="http://schemas.openxmlformats.org/officeDocument/2006/relationships" name="業者彙總" sheetId="7" r:id="Red8fc15f34ff41ac"/>
    <x:sheet xmlns:r="http://schemas.openxmlformats.org/officeDocument/2006/relationships" name="更新說明" sheetId="8" r:id="Rcc903e8c231247d2"/>
    <x:sheet xmlns:r="http://schemas.openxmlformats.org/officeDocument/2006/relationships" name="資料品質檢核" sheetId="9" r:id="R404a20a288e44e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0" fillId="2" borderId="7" xfId="0" applyNumberFormat="1" applyFont="1" applyFill="1" applyBorder="1" applyAlignment="1">
      <x:alignment vertical="center"/>
    </x:xf>
    <x:xf numFmtId="205" fontId="0" fillId="2" borderId="8" xfId="0" applyNumberFormat="1" applyFont="1" applyFill="1" applyBorder="1" applyAlignment="1">
      <x:alignment vertical="center"/>
    </x:xf>
    <x:xf numFmtId="205" fontId="0" fillId="2" borderId="9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205" fontId="2" fillId="2" borderId="8" xfId="0" applyNumberFormat="1" applyFont="1" applyFill="1" applyBorder="1" applyAlignment="1">
      <x:alignment vertical="center"/>
    </x:xf>
    <x:xf numFmtId="205" fontId="2" fillId="2" borderId="9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205" fontId="0" fillId="4" borderId="8" xfId="0" applyNumberFormat="1" applyFont="1" applyFill="1" applyBorder="1" applyAlignment="1">
      <x:alignment vertical="center"/>
    </x:xf>
    <x:xf numFmtId="205" fontId="0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205" fontId="5" fillId="4" borderId="8" xfId="0" applyNumberFormat="1" applyFont="1" applyFill="1" applyBorder="1" applyAlignment="1">
      <x:alignment vertical="center"/>
    </x:xf>
    <x:xf numFmtId="205" fontId="5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 wrapText="1"/>
    </x:xf>
    <x:xf numFmtId="205" fontId="5" fillId="4" borderId="8" xfId="0" applyNumberFormat="1" applyFont="1" applyFill="1" applyBorder="1" applyAlignment="1">
      <x:alignment vertical="center" wrapText="1"/>
    </x:xf>
    <x:xf numFmtId="205" fontId="5" fillId="4" borderId="9" xfId="0" applyNumberFormat="1" applyFont="1" applyFill="1" applyBorder="1" applyAlignment="1">
      <x:alignment vertical="center" wrapText="1"/>
    </x:xf>
    <x:xf numFmtId="205" fontId="3" fillId="0" borderId="8" xfId="0" applyNumberFormat="1" applyFont="1" applyFill="1" applyBorder="1" applyAlignment="1">
      <x:alignment vertical="center"/>
    </x:xf>
    <x:xf numFmtId="206" fontId="3" fillId="0" borderId="8" xfId="0" applyNumberFormat="1" applyFont="1" applyFill="1" applyBorder="1" applyAlignment="1">
      <x:alignment vertical="center"/>
    </x:xf>
    <x:xf numFmtId="207" fontId="0" fillId="0" borderId="8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318396a3eb49a3" /><Relationship Type="http://schemas.openxmlformats.org/officeDocument/2006/relationships/theme" Target="/xl/theme/theme1.xml" Id="Rcfc6da13413a4909" /><Relationship Type="http://schemas.openxmlformats.org/officeDocument/2006/relationships/sharedStrings" Target="/xl/sharedStrings.xml" Id="Rc4261be58665435e" /><Relationship Type="http://schemas.openxmlformats.org/officeDocument/2006/relationships/worksheet" Target="/xl/worksheets/sheet1.xml" Id="Rb8c25c88a2f640c0" /><Relationship Type="http://schemas.openxmlformats.org/officeDocument/2006/relationships/worksheet" Target="/xl/worksheets/sheet2.xml" Id="Rfbf4731fed154582" /><Relationship Type="http://schemas.openxmlformats.org/officeDocument/2006/relationships/worksheet" Target="/xl/worksheets/sheet3.xml" Id="Re3083570204b47dc" /><Relationship Type="http://schemas.openxmlformats.org/officeDocument/2006/relationships/worksheet" Target="/xl/worksheets/sheet4.xml" Id="R3cd99703685841da" /><Relationship Type="http://schemas.openxmlformats.org/officeDocument/2006/relationships/worksheet" Target="/xl/worksheets/sheet5.xml" Id="R3a6dccb0afb5447f" /><Relationship Type="http://schemas.openxmlformats.org/officeDocument/2006/relationships/worksheet" Target="/xl/worksheets/sheet6.xml" Id="Ra7ef2fe6150e47a7" /><Relationship Type="http://schemas.openxmlformats.org/officeDocument/2006/relationships/worksheet" Target="/xl/worksheets/sheet7.xml" Id="Red8fc15f34ff41ac" /><Relationship Type="http://schemas.openxmlformats.org/officeDocument/2006/relationships/worksheet" Target="/xl/worksheets/sheet8.xml" Id="Rcc903e8c231247d2" /><Relationship Type="http://schemas.openxmlformats.org/officeDocument/2006/relationships/worksheet" Target="/xl/worksheets/sheet9.xml" Id="R404a20a288e44e8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e090fc872ca44d6" /><Relationship Type="http://schemas.openxmlformats.org/officeDocument/2006/relationships/chart" Target="/xl/drawings/charts/chart2.xml" Id="Raa4e2ceca7f24e18" /><Relationship Type="http://schemas.openxmlformats.org/officeDocument/2006/relationships/chart" Target="/xl/drawings/charts/chart3.xml" Id="R86de0416bd58434f" /><Relationship Type="http://schemas.openxmlformats.org/officeDocument/2006/relationships/chart" Target="/xl/drawings/charts/chart4.xml" Id="R56aa6737fda142aa" /><Relationship Type="http://schemas.openxmlformats.org/officeDocument/2006/relationships/chart" Target="/xl/drawings/charts/chart5.xml" Id="Rb5dc42da74c84112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f3830c8402c244e3" /><Relationship Type="http://schemas.openxmlformats.org/officeDocument/2006/relationships/chart" Target="/xl/drawings/charts/chart7.xml" Id="Rc9594640f7114fed" /><Relationship Type="http://schemas.openxmlformats.org/officeDocument/2006/relationships/chart" Target="/xl/drawings/charts/chart8.xml" Id="Rf81d2728f128444b" /><Relationship Type="http://schemas.openxmlformats.org/officeDocument/2006/relationships/chart" Target="/xl/drawings/charts/chart9.xml" Id="Rab58cca5d14e4623" /><Relationship Type="http://schemas.openxmlformats.org/officeDocument/2006/relationships/chart" Target="/xl/drawings/charts/chart10.xml" Id="R8625e1dcd2294341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76d4b215d0584385" /><Relationship Type="http://schemas.openxmlformats.org/officeDocument/2006/relationships/chart" Target="/xl/drawings/charts/chart12.xml" Id="Rff0db4a54fc84930" /><Relationship Type="http://schemas.openxmlformats.org/officeDocument/2006/relationships/chart" Target="/xl/drawings/charts/chart13.xml" Id="Rd1c86133f7e64f98" /><Relationship Type="http://schemas.openxmlformats.org/officeDocument/2006/relationships/chart" Target="/xl/drawings/charts/chart14.xml" Id="R2c2bd3ae2f16497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'儀表板'!$V$12:$V$19</c:f>
              <c:strCache>
                <c:ptCount val="0"/>
              </c:strCache>
            </c:strRef>
          </c:cat>
          <c:val>
            <c:numRef>
              <c:f>'儀表板'!$W$12:$W$19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'儀表板'!$X$12:$X$19</c:f>
              <c:strCache>
                <c:ptCount val="0"/>
              </c:strCache>
            </c:strRef>
          </c:cat>
          <c:val>
            <c:numRef>
              <c:f>'儀表板'!$Y$12:$Y$19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'儀表板'!$Z$12:$Z$19</c:f>
              <c:strCache>
                <c:ptCount val="0"/>
              </c:strCache>
            </c:strRef>
          </c:cat>
          <c:val>
            <c:numRef>
              <c:f>'儀表板'!$AA$12:$AA$19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'儀表板'!$AB$12:$AB$19</c:f>
              <c:strCache>
                <c:ptCount val="0"/>
              </c:strCache>
            </c:strRef>
          </c:cat>
          <c:val>
            <c:numRef>
              <c:f>'儀表板'!$AC$12:$AC$19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'儀表板'!$AD$12:$AD$19</c:f>
              <c:strCache>
                <c:ptCount val="0"/>
              </c:strCache>
            </c:strRef>
          </c:cat>
          <c:val>
            <c:numRef>
              <c:f>'儀表板'!$AE$12:$AE$19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'儀表板(美元)'!$V$12:$V$19</c:f>
              <c:strCache>
                <c:ptCount val="0"/>
              </c:strCache>
            </c:strRef>
          </c:cat>
          <c:val>
            <c:numRef>
              <c:f>'儀表板(美元)'!$W$12:$W$19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'儀表板(美元)'!$X$12:$X$19</c:f>
              <c:strCache>
                <c:ptCount val="0"/>
              </c:strCache>
            </c:strRef>
          </c:cat>
          <c:val>
            <c:numRef>
              <c:f>'儀表板(美元)'!$Y$12:$Y$19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'儀表板(美元)'!$Z$12:$Z$19</c:f>
              <c:strCache>
                <c:ptCount val="0"/>
              </c:strCache>
            </c:strRef>
          </c:cat>
          <c:val>
            <c:numRef>
              <c:f>'儀表板(美元)'!$AA$12:$AA$19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'儀表板(美元)'!$AB$12:$AB$19</c:f>
              <c:strCache>
                <c:ptCount val="0"/>
              </c:strCache>
            </c:strRef>
          </c:cat>
          <c:val>
            <c:numRef>
              <c:f>'儀表板(美元)'!$AC$12:$AC$19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'儀表板(美元)'!$AD$12:$AD$19</c:f>
              <c:strCache>
                <c:ptCount val="0"/>
              </c:strCache>
            </c:strRef>
          </c:cat>
          <c:val>
            <c:numRef>
              <c:f>'儀表板(美元)'!$AE$12:$AE$19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e090fc872ca44d6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4e2ceca7f24e18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de0416bd58434f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6aa6737fda142aa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5dc42da74c841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3830c8402c244e3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9594640f7114fed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81d2728f128444b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b58cca5d14e4623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25e1dcd229434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d4b215d0584385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0db4a54fc84930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1c86133f7e64f98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2bd3ae2f16497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N116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N188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102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1F4E79"/>
      </a:accent4>
      <a:accent5>
        <a:srgbClr val="F4B183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3d1fef28b724a1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dcf6dd24f2d64d5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710eded6acdf4e5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2fefa60842ba4dd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e180f79d5ec64f0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85f230f5829c452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f83ae911498749b3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65" t="n">
        <x:f>SUMIFS('月度資產配置'!$E$4:$E$263,'月度資產配置'!$A$4:$A$263,$A$6,'月度資產配置'!$C$4:$C$263,"新制",'月度資產配置'!$D$4:$D$263,$A15)/(100000000)</x:f>
        <x:v>11715.97084307</x:v>
      </x:c>
      <x:c r="C15" s="65" t="n">
        <x:f>SUMIFS('月度資產配置'!$E$4:$E$263,'月度資產配置'!$A$4:$A$263,$A$6,'月度資產配置'!$C$4:$C$263,"舊制",'月度資產配置'!$D$4:$D$263,$A15)/(100000000)</x:f>
        <x:v>1838.53928809</x:v>
      </x:c>
      <x:c r="D15" s="65" t="n">
        <x:f>SUMIFS('月度資產配置'!$E$4:$E$263,'月度資產配置'!$A$4:$A$263,$A$6,'月度資產配置'!$C$4:$C$263,"勞工保險",'月度資產配置'!$D$4:$D$263,$A15)/(100000000)</x:f>
        <x:v>684.61127545</x:v>
      </x:c>
      <x:c r="E15" s="65" t="n">
        <x:f>SUMIFS('月度資產配置'!$E$4:$E$263,'月度資產配置'!$A$4:$A$263,$A$6,'月度資產配置'!$C$4:$C$263,"國民年金",'月度資產配置'!$D$4:$D$263,$A15)/(100000000)</x:f>
        <x:v>1005.75817739</x:v>
      </x:c>
      <x:c r="F15" s="66" t="n">
        <x:f>SUM(B15:E15)</x:f>
        <x:v>15244.879584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65" t="n">
        <x:f>SUMIFS('月度資產配置'!$E$4:$E$263,'月度資產配置'!$A$4:$A$263,$A$6,'月度資產配置'!$C$4:$C$263,"新制",'月度資產配置'!$D$4:$D$263,$A16)/(100000000)</x:f>
        <x:v>5962.66506088</x:v>
      </x:c>
      <x:c r="C16" s="65" t="n">
        <x:f>SUMIFS('月度資產配置'!$E$4:$E$263,'月度資產配置'!$A$4:$A$263,$A$6,'月度資產配置'!$C$4:$C$263,"舊制",'月度資產配置'!$D$4:$D$263,$A16)/(100000000)</x:f>
        <x:v>1101.43623315</x:v>
      </x:c>
      <x:c r="D16" s="65" t="n">
        <x:f>SUMIFS('月度資產配置'!$E$4:$E$263,'月度資產配置'!$A$4:$A$263,$A$6,'月度資產配置'!$C$4:$C$263,"勞工保險",'月度資產配置'!$D$4:$D$263,$A16)/(100000000)</x:f>
        <x:v>948.09693597</x:v>
      </x:c>
      <x:c r="E16" s="65" t="n">
        <x:f>SUMIFS('月度資產配置'!$E$4:$E$263,'月度資產配置'!$A$4:$A$263,$A$6,'月度資產配置'!$C$4:$C$263,"國民年金",'月度資產配置'!$D$4:$D$263,$A16)/(100000000)</x:f>
        <x:v>431.71984301</x:v>
      </x:c>
      <x:c r="F16" s="66" t="n">
        <x:f>SUM(B16:E16)</x:f>
        <x:v>8443.91807301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65" t="n">
        <x:f>SUMIFS('月度資產配置'!$E$4:$E$263,'月度資產配置'!$A$4:$A$263,$A$6,'月度資產配置'!$C$4:$C$263,"新制",'月度資產配置'!$D$4:$D$263,$A17)/(100000000)</x:f>
        <x:v>15744.26402328</x:v>
      </x:c>
      <x:c r="C17" s="65" t="n">
        <x:f>SUMIFS('月度資產配置'!$E$4:$E$263,'月度資產配置'!$A$4:$A$263,$A$6,'月度資產配置'!$C$4:$C$263,"舊制",'月度資產配置'!$D$4:$D$263,$A17)/(100000000)</x:f>
        <x:v>2438.69586211</x:v>
      </x:c>
      <x:c r="D17" s="65" t="n">
        <x:f>SUMIFS('月度資產配置'!$E$4:$E$263,'月度資產配置'!$A$4:$A$263,$A$6,'月度資產配置'!$C$4:$C$263,"勞工保險",'月度資產配置'!$D$4:$D$263,$A17)/(100000000)</x:f>
        <x:v>2249.86107597</x:v>
      </x:c>
      <x:c r="E17" s="65" t="n">
        <x:f>SUMIFS('月度資產配置'!$E$4:$E$263,'月度資產配置'!$A$4:$A$263,$A$6,'月度資產配置'!$C$4:$C$263,"國民年金",'月度資產配置'!$D$4:$D$263,$A17)/(100000000)</x:f>
        <x:v>1700.76314183</x:v>
      </x:c>
      <x:c r="F17" s="66" t="n">
        <x:f>SUM(B17:E17)</x:f>
        <x:v>22133.584103189998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65" t="n">
        <x:f>SUMIFS('月度資產配置'!$E$4:$E$263,'月度資產配置'!$A$4:$A$263,$A$6,'月度資產配置'!$C$4:$C$263,"新制",'月度資產配置'!$D$4:$D$263,$A18)/(100000000)</x:f>
        <x:v>5838.75182966</x:v>
      </x:c>
      <x:c r="C18" s="65" t="n">
        <x:f>SUMIFS('月度資產配置'!$E$4:$E$263,'月度資產配置'!$A$4:$A$263,$A$6,'月度資產配置'!$C$4:$C$263,"舊制",'月度資產配置'!$D$4:$D$263,$A18)/(100000000)</x:f>
        <x:v>1207.10845465</x:v>
      </x:c>
      <x:c r="D18" s="65" t="n">
        <x:f>SUMIFS('月度資產配置'!$E$4:$E$263,'月度資產配置'!$A$4:$A$263,$A$6,'月度資產配置'!$C$4:$C$263,"勞工保險",'月度資產配置'!$D$4:$D$263,$A18)/(100000000)</x:f>
        <x:v>1381.29973312</x:v>
      </x:c>
      <x:c r="E18" s="65" t="n">
        <x:f>SUMIFS('月度資產配置'!$E$4:$E$263,'月度資產配置'!$A$4:$A$263,$A$6,'月度資產配置'!$C$4:$C$263,"國民年金",'月度資產配置'!$D$4:$D$263,$A18)/(100000000)</x:f>
        <x:v>302.8003688</x:v>
      </x:c>
      <x:c r="F18" s="66" t="n">
        <x:f>SUM(B18:E18)</x:f>
        <x:v>8729.960386230001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65" t="n">
        <x:f>SUMIFS('月度資產配置'!$E$4:$E$263,'月度資產配置'!$A$4:$A$263,$A$6,'月度資產配置'!$C$4:$C$263,"新制",'月度資產配置'!$D$4:$D$263,$A19)/(100000000)</x:f>
        <x:v>4782.91754572</x:v>
      </x:c>
      <x:c r="C19" s="65" t="n">
        <x:f>SUMIFS('月度資產配置'!$E$4:$E$263,'月度資產配置'!$A$4:$A$263,$A$6,'月度資產配置'!$C$4:$C$263,"舊制",'月度資產配置'!$D$4:$D$263,$A19)/(100000000)</x:f>
        <x:v>2438.18801079</x:v>
      </x:c>
      <x:c r="D19" s="65" t="n">
        <x:f>SUMIFS('月度資產配置'!$E$4:$E$263,'月度資產配置'!$A$4:$A$263,$A$6,'月度資產配置'!$C$4:$C$263,"勞工保險",'月度資產配置'!$D$4:$D$263,$A19)/(100000000)</x:f>
        <x:v>1628.5862642</x:v>
      </x:c>
      <x:c r="E19" s="65" t="n">
        <x:f>SUMIFS('月度資產配置'!$E$4:$E$263,'月度資產配置'!$A$4:$A$263,$A$6,'月度資產配置'!$C$4:$C$263,"國民年金",'月度資產配置'!$D$4:$D$263,$A19)/(100000000)</x:f>
        <x:v>424.96498692</x:v>
      </x:c>
      <x:c r="F19" s="66" t="n">
        <x:f>SUM(B19:E19)</x:f>
        <x:v>9274.65680763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30" t="str">
        <x:v>政策性貸款</x:v>
      </x:c>
      <x:c r="B20" s="65" t="n">
        <x:f>SUMIFS('月度資產配置'!$E$4:$E$263,'月度資產配置'!$A$4:$A$263,$A$6,'月度資產配置'!$C$4:$C$263,"新制",'月度資產配置'!$D$4:$D$263,$A20)/(100000000)</x:f>
        <x:v>0</x:v>
      </x:c>
      <x:c r="C20" s="65" t="n">
        <x:f>SUMIFS('月度資產配置'!$E$4:$E$263,'月度資產配置'!$A$4:$A$263,$A$6,'月度資產配置'!$C$4:$C$263,"舊制",'月度資產配置'!$D$4:$D$263,$A20)/(100000000)</x:f>
        <x:v>0</x:v>
      </x:c>
      <x:c r="D20" s="65" t="n">
        <x:f>SUMIFS('月度資產配置'!$E$4:$E$263,'月度資產配置'!$A$4:$A$263,$A$6,'月度資產配置'!$C$4:$C$263,"勞工保險",'月度資產配置'!$D$4:$D$263,$A20)/(100000000)</x:f>
        <x:v>0</x:v>
      </x:c>
      <x:c r="E20" s="65" t="n">
        <x:f>SUMIFS('月度資產配置'!$E$4:$E$263,'月度資產配置'!$A$4:$A$263,$A$6,'月度資產配置'!$C$4:$C$263,"國民年金",'月度資產配置'!$D$4:$D$263,$A20)/(100000000)</x:f>
        <x:v>0</x:v>
      </x:c>
      <x:c r="F20" s="66" t="n">
        <x:f>SUM(B20:E20)</x:f>
        <x:v>0</x:v>
      </x:c>
    </x:row>
    <x:row r="21">
      <x:c r="A21" s="30" t="str">
        <x:v>短期票券</x:v>
      </x:c>
      <x:c r="B21" s="65" t="n">
        <x:f>SUMIFS('月度資產配置'!$E$4:$E$263,'月度資產配置'!$A$4:$A$263,$A$6,'月度資產配置'!$C$4:$C$263,"新制",'月度資產配置'!$D$4:$D$263,$A21)/(100000000)</x:f>
        <x:v>1528.03509826</x:v>
      </x:c>
      <x:c r="C21" s="65" t="n">
        <x:f>SUMIFS('月度資產配置'!$E$4:$E$263,'月度資產配置'!$A$4:$A$263,$A$6,'月度資產配置'!$C$4:$C$263,"舊制",'月度資產配置'!$D$4:$D$263,$A21)/(100000000)</x:f>
        <x:v>735.24579727</x:v>
      </x:c>
      <x:c r="D21" s="65" t="n">
        <x:f>SUMIFS('月度資產配置'!$E$4:$E$263,'月度資產配置'!$A$4:$A$263,$A$6,'月度資產配置'!$C$4:$C$263,"勞工保險",'月度資產配置'!$D$4:$D$263,$A21)/(100000000)</x:f>
        <x:v>431.60086648</x:v>
      </x:c>
      <x:c r="E21" s="65" t="n">
        <x:f>SUMIFS('月度資產配置'!$E$4:$E$263,'月度資產配置'!$A$4:$A$263,$A$6,'月度資產配置'!$C$4:$C$263,"國民年金",'月度資產配置'!$D$4:$D$263,$A21)/(100000000)</x:f>
        <x:v>154.70496937</x:v>
      </x:c>
      <x:c r="F21" s="66" t="n">
        <x:f>SUM(B21:E21)</x:f>
        <x:v>2849.5867313800004</x:v>
      </x:c>
    </x:row>
    <x:row r="22">
      <x:c r="A22" s="30" t="str">
        <x:v>公債、公司債、金融債券及特別股</x:v>
      </x:c>
      <x:c r="B22" s="65" t="n">
        <x:f>SUMIFS('月度資產配置'!$E$4:$E$263,'月度資產配置'!$A$4:$A$263,$A$6,'月度資產配置'!$C$4:$C$263,"新制",'月度資產配置'!$D$4:$D$263,$A22)/(100000000)</x:f>
        <x:v>2517.34539206</x:v>
      </x:c>
      <x:c r="C22" s="65" t="n">
        <x:f>SUMIFS('月度資產配置'!$E$4:$E$263,'月度資產配置'!$A$4:$A$263,$A$6,'月度資產配置'!$C$4:$C$263,"舊制",'月度資產配置'!$D$4:$D$263,$A22)/(100000000)</x:f>
        <x:v>0</x:v>
      </x:c>
      <x:c r="D22" s="65" t="n">
        <x:f>SUMIFS('月度資產配置'!$E$4:$E$263,'月度資產配置'!$A$4:$A$263,$A$6,'月度資產配置'!$C$4:$C$263,"勞工保險",'月度資產配置'!$D$4:$D$263,$A22)/(100000000)</x:f>
        <x:v>727.26377661</x:v>
      </x:c>
      <x:c r="E22" s="65" t="n">
        <x:f>SUMIFS('月度資產配置'!$E$4:$E$263,'月度資產配置'!$A$4:$A$263,$A$6,'月度資產配置'!$C$4:$C$263,"國民年金",'月度資產配置'!$D$4:$D$263,$A22)/(100000000)</x:f>
        <x:v>612.12952203</x:v>
      </x:c>
      <x:c r="F22" s="66" t="n">
        <x:f>SUM(B22:E22)</x:f>
        <x:v>3856.7386907</x:v>
      </x:c>
    </x:row>
    <x:row r="23">
      <x:c r="A23" s="30" t="str">
        <x:v>公債、金融債券、公司債及證券化商品</x:v>
      </x:c>
      <x:c r="B23" s="65" t="n">
        <x:f>SUMIFS('月度資產配置'!$E$4:$E$263,'月度資產配置'!$A$4:$A$263,$A$6,'月度資產配置'!$C$4:$C$263,"新制",'月度資產配置'!$D$4:$D$263,$A23)/(100000000)</x:f>
        <x:v>0</x:v>
      </x:c>
      <x:c r="C23" s="65" t="n">
        <x:f>SUMIFS('月度資產配置'!$E$4:$E$263,'月度資產配置'!$A$4:$A$263,$A$6,'月度資產配置'!$C$4:$C$263,"舊制",'月度資產配置'!$D$4:$D$263,$A23)/(100000000)</x:f>
        <x:v>869.36556465</x:v>
      </x:c>
      <x:c r="D23" s="65" t="n">
        <x:f>SUMIFS('月度資產配置'!$E$4:$E$263,'月度資產配置'!$A$4:$A$263,$A$6,'月度資產配置'!$C$4:$C$263,"勞工保險",'月度資產配置'!$D$4:$D$263,$A23)/(100000000)</x:f>
        <x:v>0</x:v>
      </x:c>
      <x:c r="E23" s="65" t="n">
        <x:f>SUMIFS('月度資產配置'!$E$4:$E$263,'月度資產配置'!$A$4:$A$263,$A$6,'月度資產配置'!$C$4:$C$263,"國民年金",'月度資產配置'!$D$4:$D$263,$A23)/(100000000)</x:f>
        <x:v>0</x:v>
      </x:c>
      <x:c r="F23" s="66" t="n">
        <x:f>SUM(B23:E23)</x:f>
        <x:v>869.36556465</x:v>
      </x:c>
    </x:row>
    <x:row r="24">
      <x:c r="A24" s="30" t="str">
        <x:v>房屋及土地</x:v>
      </x:c>
      <x:c r="B24" s="65" t="n">
        <x:f>SUMIFS('月度資產配置'!$E$4:$E$263,'月度資產配置'!$A$4:$A$263,$A$6,'月度資產配置'!$C$4:$C$263,"新制",'月度資產配置'!$D$4:$D$263,$A24)/(100000000)</x:f>
        <x:v>0</x:v>
      </x:c>
      <x:c r="C24" s="65" t="n">
        <x:f>SUMIFS('月度資產配置'!$E$4:$E$263,'月度資產配置'!$A$4:$A$263,$A$6,'月度資產配置'!$C$4:$C$263,"舊制",'月度資產配置'!$D$4:$D$263,$A24)/(100000000)</x:f>
        <x:v>0</x:v>
      </x:c>
      <x:c r="D24" s="65" t="n">
        <x:f>SUMIFS('月度資產配置'!$E$4:$E$263,'月度資產配置'!$A$4:$A$263,$A$6,'月度資產配置'!$C$4:$C$263,"勞工保險",'月度資產配置'!$D$4:$D$263,$A24)/(100000000)</x:f>
        <x:v>15.69739937</x:v>
      </x:c>
      <x:c r="E24" s="65" t="n">
        <x:f>SUMIFS('月度資產配置'!$E$4:$E$263,'月度資產配置'!$A$4:$A$263,$A$6,'月度資產配置'!$C$4:$C$263,"國民年金",'月度資產配置'!$D$4:$D$263,$A24)/(100000000)</x:f>
        <x:v>0</x:v>
      </x:c>
      <x:c r="F24" s="66" t="n">
        <x:f>SUM(B24:E24)</x:f>
        <x:v>15.69739937</x:v>
      </x:c>
    </x:row>
    <x:row r="25">
      <x:c r="A25" s="30" t="str">
        <x:v>政府或公營事業貸款</x:v>
      </x:c>
      <x:c r="B25" s="65" t="n">
        <x:f>SUMIFS('月度資產配置'!$E$4:$E$263,'月度資產配置'!$A$4:$A$263,$A$6,'月度資產配置'!$C$4:$C$263,"新制",'月度資產配置'!$D$4:$D$263,$A25)/(100000000)</x:f>
        <x:v>0</x:v>
      </x:c>
      <x:c r="C25" s="65" t="n">
        <x:f>SUMIFS('月度資產配置'!$E$4:$E$263,'月度資產配置'!$A$4:$A$263,$A$6,'月度資產配置'!$C$4:$C$263,"舊制",'月度資產配置'!$D$4:$D$263,$A25)/(100000000)</x:f>
        <x:v>0</x:v>
      </x:c>
      <x:c r="D25" s="65" t="n">
        <x:f>SUMIFS('月度資產配置'!$E$4:$E$263,'月度資產配置'!$A$4:$A$263,$A$6,'月度資產配置'!$C$4:$C$263,"勞工保險",'月度資產配置'!$D$4:$D$263,$A25)/(100000000)</x:f>
        <x:v>7.5</x:v>
      </x:c>
      <x:c r="E25" s="65" t="n">
        <x:f>SUMIFS('月度資產配置'!$E$4:$E$263,'月度資產配置'!$A$4:$A$263,$A$6,'月度資產配置'!$C$4:$C$263,"國民年金",'月度資產配置'!$D$4:$D$263,$A25)/(100000000)</x:f>
        <x:v>0</x:v>
      </x:c>
      <x:c r="F25" s="66" t="n">
        <x:f>SUM(B25:E25)</x:f>
        <x:v>7.5</x:v>
      </x:c>
    </x:row>
    <x:row r="26">
      <x:c r="A26" s="30" t="str">
        <x:v>被保險人貸款</x:v>
      </x:c>
      <x:c r="B26" s="65" t="n">
        <x:f>SUMIFS('月度資產配置'!$E$4:$E$263,'月度資產配置'!$A$4:$A$263,$A$6,'月度資產配置'!$C$4:$C$263,"新制",'月度資產配置'!$D$4:$D$263,$A26)/(100000000)</x:f>
        <x:v>0</x:v>
      </x:c>
      <x:c r="C26" s="65" t="n">
        <x:f>SUMIFS('月度資產配置'!$E$4:$E$263,'月度資產配置'!$A$4:$A$263,$A$6,'月度資產配置'!$C$4:$C$263,"舊制",'月度資產配置'!$D$4:$D$263,$A26)/(100000000)</x:f>
        <x:v>0</x:v>
      </x:c>
      <x:c r="D26" s="65" t="n">
        <x:f>SUMIFS('月度資產配置'!$E$4:$E$263,'月度資產配置'!$A$4:$A$263,$A$6,'月度資產配置'!$C$4:$C$263,"勞工保險",'月度資產配置'!$D$4:$D$263,$A26)/(100000000)</x:f>
        <x:v>339.59565172</x:v>
      </x:c>
      <x:c r="E26" s="65" t="n">
        <x:f>SUMIFS('月度資產配置'!$E$4:$E$263,'月度資產配置'!$A$4:$A$263,$A$6,'月度資產配置'!$C$4:$C$263,"國民年金",'月度資產配置'!$D$4:$D$263,$A26)/(100000000)</x:f>
        <x:v>0</x:v>
      </x:c>
      <x:c r="F26" s="66" t="n">
        <x:f>SUM(B26:E26)</x:f>
        <x:v>339.59565172</x:v>
      </x:c>
    </x:row>
    <x:row r="27">
      <x:c r="A27" s="30" t="str">
        <x:v>股票及受益憑證投資（含期貨）</x:v>
      </x:c>
      <x:c r="B27" s="65" t="n">
        <x:f>SUMIFS('月度資產配置'!$E$4:$E$263,'月度資產配置'!$A$4:$A$263,$A$6,'月度資產配置'!$C$4:$C$263,"新制",'月度資產配置'!$D$4:$D$263,$A27)/(100000000)</x:f>
        <x:v>3115.55741999</x:v>
      </x:c>
      <x:c r="C27" s="65" t="n">
        <x:f>SUMIFS('月度資產配置'!$E$4:$E$263,'月度資產配置'!$A$4:$A$263,$A$6,'月度資產配置'!$C$4:$C$263,"舊制",'月度資產配置'!$D$4:$D$263,$A27)/(100000000)</x:f>
        <x:v>866.7977463</x:v>
      </x:c>
      <x:c r="D27" s="65" t="n">
        <x:f>SUMIFS('月度資產配置'!$E$4:$E$263,'月度資產配置'!$A$4:$A$263,$A$6,'月度資產配置'!$C$4:$C$263,"勞工保險",'月度資產配置'!$D$4:$D$263,$A27)/(100000000)</x:f>
        <x:v>5132.67409855</x:v>
      </x:c>
      <x:c r="E27" s="65" t="n">
        <x:f>SUMIFS('月度資產配置'!$E$4:$E$263,'月度資產配置'!$A$4:$A$263,$A$6,'月度資產配置'!$C$4:$C$263,"國民年金",'月度資產配置'!$D$4:$D$263,$A27)/(100000000)</x:f>
        <x:v>2321.96292425</x:v>
      </x:c>
      <x:c r="F27" s="66" t="n">
        <x:f>SUM(B27:E27)</x:f>
        <x:v>11436.992189089999</x:v>
      </x:c>
    </x:row>
    <x:row r="28">
      <x:c r="A28" s="33" t="str">
        <x:v>國外投資</x:v>
      </x:c>
      <x:c r="B28" s="67" t="n">
        <x:f>SUMIFS('月度資產配置'!$E$4:$E$263,'月度資產配置'!$A$4:$A$263,$A$6,'月度資產配置'!$C$4:$C$263,"新制",'月度資產配置'!$D$4:$D$263,$A28)/(100000000)</x:f>
        <x:v>8513.40644551</x:v>
      </x:c>
      <x:c r="C28" s="67" t="n">
        <x:f>SUMIFS('月度資產配置'!$E$4:$E$263,'月度資產配置'!$A$4:$A$263,$A$6,'月度資產配置'!$C$4:$C$263,"舊制",'月度資產配置'!$D$4:$D$263,$A28)/(100000000)</x:f>
        <x:v>518.54437267</x:v>
      </x:c>
      <x:c r="D28" s="67" t="n">
        <x:f>SUMIFS('月度資產配置'!$E$4:$E$263,'月度資產配置'!$A$4:$A$263,$A$6,'月度資產配置'!$C$4:$C$263,"勞工保險",'月度資產配置'!$D$4:$D$263,$A28)/(100000000)</x:f>
        <x:v>3019.41939259</x:v>
      </x:c>
      <x:c r="E28" s="67" t="n">
        <x:f>SUMIFS('月度資產配置'!$E$4:$E$263,'月度資產配置'!$A$4:$A$263,$A$6,'月度資產配置'!$C$4:$C$263,"國民年金",'月度資產配置'!$D$4:$D$263,$A28)/(100000000)</x:f>
        <x:v>1907.66953274</x:v>
      </x:c>
      <x:c r="F28" s="68" t="n">
        <x:f>SUM(B28:E28)</x:f>
        <x:v>13959.039743509999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33d1fef28b724a17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36.67544480535295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5.755327243981844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2.143093678040382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3.1484056265143217</x:v>
      </x:c>
      <x:c r="F15" s="75" t="n">
        <x:f>SUM(B15:E15)</x:f>
        <x:v>47.7222713538895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18.665409487807167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3.447914331350759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2.9679040099233056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1.3514473094694006</x:v>
      </x:c>
      <x:c r="F16" s="75" t="n">
        <x:f>SUM(B16:E16)</x:f>
        <x:v>26.432675138550632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74" t="n">
        <x:f>SUMIFS('月度資產配置'!$E$4:$E$263,'月度資產配置'!$A$4:$A$263,$A$6,'月度資產配置'!$C$4:$C$263,"新制",'月度資產配置'!$D$4:$D$263,$A17)/(1000000000*'儀表板(美元)'!$C$21)</x:f>
        <x:v>49.285534585318516</x:v>
      </x:c>
      <x:c r="C17" s="74" t="n">
        <x:f>SUMIFS('月度資產配置'!$E$4:$E$263,'月度資產配置'!$A$4:$A$263,$A$6,'月度資產配置'!$C$4:$C$263,"舊制",'月度資產配置'!$D$4:$D$263,$A17)/(1000000000*'儀表板(美元)'!$C$21)</x:f>
        <x:v>7.6340455849428706</x:v>
      </x:c>
      <x:c r="D17" s="74" t="n">
        <x:f>SUMIFS('月度資產配置'!$E$4:$E$263,'月度資產配置'!$A$4:$A$263,$A$6,'月度資產配置'!$C$4:$C$263,"勞工保險",'月度資產配置'!$D$4:$D$263,$A17)/(1000000000*'儀表板(美元)'!$C$21)</x:f>
        <x:v>7.042920882673345</x:v>
      </x:c>
      <x:c r="E17" s="74" t="n">
        <x:f>SUMIFS('月度資產配置'!$E$4:$E$263,'月度資產配置'!$A$4:$A$263,$A$6,'月度資產配置'!$C$4:$C$263,"國民年金",'月度資產配置'!$D$4:$D$263,$A17)/(1000000000*'儀表板(美元)'!$C$21)</x:f>
        <x:v>5.324035504241666</x:v>
      </x:c>
      <x:c r="F17" s="75" t="n">
        <x:f>SUM(B17:E17)</x:f>
        <x:v>69.28653655717639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74" t="n">
        <x:f>SUMIFS('月度資產配置'!$E$4:$E$263,'月度資產配置'!$A$4:$A$263,$A$6,'月度資產配置'!$C$4:$C$263,"新制",'月度資產配置'!$D$4:$D$263,$A18)/(1000000000*'儀表板(美元)'!$C$21)</x:f>
        <x:v>18.27751394478009</x:v>
      </x:c>
      <x:c r="C18" s="74" t="n">
        <x:f>SUMIFS('月度資產配置'!$E$4:$E$263,'月度資產配置'!$A$4:$A$263,$A$6,'月度資產配置'!$C$4:$C$263,"舊制",'月度資產配置'!$D$4:$D$263,$A18)/(1000000000*'儀表板(美元)'!$C$21)</x:f>
        <x:v>3.778708576146502</x:v>
      </x:c>
      <x:c r="D18" s="74" t="n">
        <x:f>SUMIFS('月度資產配置'!$E$4:$E$263,'月度資產配置'!$A$4:$A$263,$A$6,'月度資產配置'!$C$4:$C$263,"勞工保險",'月度資產配置'!$D$4:$D$263,$A18)/(1000000000*'儀表板(美元)'!$C$21)</x:f>
        <x:v>4.3239935298794805</x:v>
      </x:c>
      <x:c r="E18" s="74" t="n">
        <x:f>SUMIFS('月度資產配置'!$E$4:$E$263,'月度資產配置'!$A$4:$A$263,$A$6,'月度資產配置'!$C$4:$C$263,"國民年金",'月度資產配置'!$D$4:$D$263,$A18)/(1000000000*'儀表板(美元)'!$C$21)</x:f>
        <x:v>0.9478803218030991</x:v>
      </x:c>
      <x:c r="F18" s="75" t="n">
        <x:f>SUM(B18:E18)</x:f>
        <x:v>27.32809637260917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74" t="n">
        <x:f>SUMIFS('月度資產配置'!$E$4:$E$263,'月度資產配置'!$A$4:$A$263,$A$6,'月度資產配置'!$C$4:$C$263,"新制",'月度資產配置'!$D$4:$D$263,$A19)/(1000000000*'儀表板(美元)'!$C$21)</x:f>
        <x:v>14.972351058757239</x:v>
      </x:c>
      <x:c r="C19" s="74" t="n">
        <x:f>SUMIFS('月度資產配置'!$E$4:$E$263,'月度資產配置'!$A$4:$A$263,$A$6,'月度資產配置'!$C$4:$C$263,"舊制",'月度資產配置'!$D$4:$D$263,$A19)/(1000000000*'儀表板(美元)'!$C$21)</x:f>
        <x:v>7.632455817154484</x:v>
      </x:c>
      <x:c r="D19" s="74" t="n">
        <x:f>SUMIFS('月度資產配置'!$E$4:$E$263,'月度資產配置'!$A$4:$A$263,$A$6,'月度資產配置'!$C$4:$C$263,"勞工保險",'月度資產配置'!$D$4:$D$263,$A19)/(1000000000*'儀表板(美元)'!$C$21)</x:f>
        <x:v>5.098094425418688</x:v>
      </x:c>
      <x:c r="E19" s="74" t="n">
        <x:f>SUMIFS('月度資產配置'!$E$4:$E$263,'月度資產配置'!$A$4:$A$263,$A$6,'月度資產配置'!$C$4:$C$263,"國民年金",'月度資產配置'!$D$4:$D$263,$A19)/(1000000000*'儀表板(美元)'!$C$21)</x:f>
        <x:v>1.330302040757552</x:v>
      </x:c>
      <x:c r="F19" s="75" t="n">
        <x:f>SUM(B19:E19)</x:f>
        <x:v>29.033203342087965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81" t="str">
        <x:v>美元換算匯率｜公開報價</x:v>
      </x:c>
      <x:c r="B20" s="82" t="n">
        <x:f>SUMIFS('月度資產配置'!$E$4:$E$263,'月度資產配置'!$A$4:$A$263,$A$6,'月度資產配置'!$C$4:$C$263,"新制",'月度資產配置'!$D$4:$D$263,$A20)/(1000000000*'儀表板(美元)'!$C$21)</x:f>
        <x:v>0</x:v>
      </x:c>
      <x:c r="C20" s="82" t="n">
        <x:f>SUMIFS('月度資產配置'!$E$4:$E$263,'月度資產配置'!$A$4:$A$263,$A$6,'月度資產配置'!$C$4:$C$263,"舊制",'月度資產配置'!$D$4:$D$263,$A20)/(1000000000*'儀表板(美元)'!$C$21)</x:f>
        <x:v>0</x:v>
      </x:c>
      <x:c r="D20" s="82" t="n">
        <x:f>SUMIFS('月度資產配置'!$E$4:$E$263,'月度資產配置'!$A$4:$A$263,$A$6,'月度資產配置'!$C$4:$C$263,"勞工保險",'月度資產配置'!$D$4:$D$263,$A20)/(1000000000*'儀表板(美元)'!$C$21)</x:f>
        <x:v>0</x:v>
      </x:c>
      <x:c r="E20" s="82" t="n">
        <x:f>SUMIFS('月度資產配置'!$E$4:$E$263,'月度資產配置'!$A$4:$A$263,$A$6,'月度資產配置'!$C$4:$C$263,"國民年金",'月度資產配置'!$D$4:$D$263,$A20)/(1000000000*'儀表板(美元)'!$C$21)</x:f>
        <x:v>0</x:v>
      </x:c>
      <x:c r="F20" s="83" t="n">
        <x:f>SUM(B20:E20)</x:f>
        <x:v>0</x:v>
      </x:c>
    </x:row>
    <x:row r="21">
      <x:c r="A21" s="30" t="str">
        <x:v>幣別</x:v>
      </x:c>
      <x:c r="B21" s="74" t="str">
        <x:v>匯率類型</x:v>
      </x:c>
      <x:c r="C21" s="94" t="n">
        <x:v>31.945</x:v>
      </x:c>
      <x:c r="D21" s="74" t="str">
        <x:v>報價時間</x:v>
      </x:c>
      <x:c r="E21" s="95" t="str">
        <x:v>2026-08-26 04:40</x:v>
      </x:c>
      <x:c r="F21" s="74" t="str">
        <x:v>TWD／USD</x:v>
      </x:c>
    </x:row>
    <x:row r="22">
      <x:c r="A22" s="90" t="str">
        <x:v>來源：https://rate.bot.com.tw/xrt?Lang=en-US（臺灣銀行公開即時匯率；可直接覆蓋 C21 更新換算）</x:v>
      </x:c>
      <x:c r="B22" s="91" t="n">
        <x:f>SUMIFS('月度資產配置'!$E$4:$E$263,'月度資產配置'!$A$4:$A$263,$A$6,'月度資產配置'!$C$4:$C$263,"新制",'月度資產配置'!$D$4:$D$263,$A22)/(1000000000*'儀表板(美元)'!$C$21)</x:f>
        <x:v>0</x:v>
      </x:c>
      <x:c r="C22" s="91" t="n">
        <x:f>SUMIFS('月度資產配置'!$E$4:$E$263,'月度資產配置'!$A$4:$A$263,$A$6,'月度資產配置'!$C$4:$C$263,"舊制",'月度資產配置'!$D$4:$D$263,$A22)/(1000000000*'儀表板(美元)'!$C$21)</x:f>
        <x:v>0</x:v>
      </x:c>
      <x:c r="D22" s="91" t="n">
        <x:f>SUMIFS('月度資產配置'!$E$4:$E$263,'月度資產配置'!$A$4:$A$263,$A$6,'月度資產配置'!$C$4:$C$263,"勞工保險",'月度資產配置'!$D$4:$D$263,$A22)/(1000000000*'儀表板(美元)'!$C$21)</x:f>
        <x:v>0</x:v>
      </x:c>
      <x:c r="E22" s="91" t="n">
        <x:f>SUMIFS('月度資產配置'!$E$4:$E$263,'月度資產配置'!$A$4:$A$263,$A$6,'月度資產配置'!$C$4:$C$263,"國民年金",'月度資產配置'!$D$4:$D$263,$A22)/(1000000000*'儀表板(美元)'!$C$21)</x:f>
        <x:v>0</x:v>
      </x:c>
      <x:c r="F22" s="92" t="n">
        <x:f>SUM(B22:E22)</x:f>
        <x:v>0</x:v>
      </x:c>
    </x:row>
    <x:row r="23">
      <x:c r="A23" s="30" t="str">
        <x:v>公債、金融債券、公司債及證券化商品</x:v>
      </x:c>
      <x:c r="B23" s="74" t="n">
        <x:f>SUMIFS('月度資產配置'!$E$4:$E$263,'月度資產配置'!$A$4:$A$263,$A$6,'月度資產配置'!$C$4:$C$263,"新制",'月度資產配置'!$D$4:$D$263,$A23)/(1000000000*'儀表板(美元)'!$C$21)</x:f>
        <x:v>0</x:v>
      </x:c>
      <x:c r="C23" s="74" t="n">
        <x:f>SUMIFS('月度資產配置'!$E$4:$E$263,'月度資產配置'!$A$4:$A$263,$A$6,'月度資產配置'!$C$4:$C$263,"舊制",'月度資產配置'!$D$4:$D$263,$A23)/(1000000000*'儀表板(美元)'!$C$21)</x:f>
        <x:v>2.721444872906558</x:v>
      </x:c>
      <x:c r="D23" s="74" t="n">
        <x:f>SUMIFS('月度資產配置'!$E$4:$E$263,'月度資產配置'!$A$4:$A$263,$A$6,'月度資產配置'!$C$4:$C$263,"勞工保險",'月度資產配置'!$D$4:$D$263,$A23)/(1000000000*'儀表板(美元)'!$C$21)</x:f>
        <x:v>0</x:v>
      </x:c>
      <x:c r="E23" s="74" t="n">
        <x:f>SUMIFS('月度資產配置'!$E$4:$E$263,'月度資產配置'!$A$4:$A$263,$A$6,'月度資產配置'!$C$4:$C$263,"國民年金",'月度資產配置'!$D$4:$D$263,$A23)/(1000000000*'儀表板(美元)'!$C$21)</x:f>
        <x:v>0</x:v>
      </x:c>
      <x:c r="F23" s="75" t="n">
        <x:f>SUM(B23:E23)</x:f>
        <x:v>2.721444872906558</x:v>
      </x:c>
    </x:row>
    <x:row r="24">
      <x:c r="A24" s="30" t="str">
        <x:v>房屋及土地</x:v>
      </x:c>
      <x:c r="B24" s="74" t="n">
        <x:f>SUMIFS('月度資產配置'!$E$4:$E$263,'月度資產配置'!$A$4:$A$263,$A$6,'月度資產配置'!$C$4:$C$263,"新制",'月度資產配置'!$D$4:$D$263,$A24)/(1000000000*'儀表板(美元)'!$C$21)</x:f>
        <x:v>0</x:v>
      </x:c>
      <x:c r="C24" s="74" t="n">
        <x:f>SUMIFS('月度資產配置'!$E$4:$E$263,'月度資產配置'!$A$4:$A$263,$A$6,'月度資產配置'!$C$4:$C$263,"舊制",'月度資產配置'!$D$4:$D$263,$A24)/(1000000000*'儀表板(美元)'!$C$21)</x:f>
        <x:v>0</x:v>
      </x:c>
      <x:c r="D24" s="74" t="n">
        <x:f>SUMIFS('月度資產配置'!$E$4:$E$263,'月度資產配置'!$A$4:$A$263,$A$6,'月度資產配置'!$C$4:$C$263,"勞工保險",'月度資產配置'!$D$4:$D$263,$A24)/(1000000000*'儀表板(美元)'!$C$21)</x:f>
        <x:v>0.049138830395993115</x:v>
      </x:c>
      <x:c r="E24" s="74" t="n">
        <x:f>SUMIFS('月度資產配置'!$E$4:$E$263,'月度資產配置'!$A$4:$A$263,$A$6,'月度資產配置'!$C$4:$C$263,"國民年金",'月度資產配置'!$D$4:$D$263,$A24)/(1000000000*'儀表板(美元)'!$C$21)</x:f>
        <x:v>0</x:v>
      </x:c>
      <x:c r="F24" s="75" t="n">
        <x:f>SUM(B24:E24)</x:f>
        <x:v>0.049138830395993115</x:v>
      </x:c>
    </x:row>
    <x:row r="25">
      <x:c r="A25" s="30" t="str">
        <x:v>政府或公營事業貸款</x:v>
      </x:c>
      <x:c r="B25" s="74" t="n">
        <x:f>SUMIFS('月度資產配置'!$E$4:$E$263,'月度資產配置'!$A$4:$A$263,$A$6,'月度資產配置'!$C$4:$C$263,"新制",'月度資產配置'!$D$4:$D$263,$A25)/(1000000000*'儀表板(美元)'!$C$21)</x:f>
        <x:v>0</x:v>
      </x:c>
      <x:c r="C25" s="74" t="n">
        <x:f>SUMIFS('月度資產配置'!$E$4:$E$263,'月度資產配置'!$A$4:$A$263,$A$6,'月度資產配置'!$C$4:$C$263,"舊制",'月度資產配置'!$D$4:$D$263,$A25)/(1000000000*'儀表板(美元)'!$C$21)</x:f>
        <x:v>0</x:v>
      </x:c>
      <x:c r="D25" s="74" t="n">
        <x:f>SUMIFS('月度資產配置'!$E$4:$E$263,'月度資產配置'!$A$4:$A$263,$A$6,'月度資產配置'!$C$4:$C$263,"勞工保險",'月度資產配置'!$D$4:$D$263,$A25)/(1000000000*'儀表板(美元)'!$C$21)</x:f>
        <x:v>0.023477852559085927</x:v>
      </x:c>
      <x:c r="E25" s="74" t="n">
        <x:f>SUMIFS('月度資產配置'!$E$4:$E$263,'月度資產配置'!$A$4:$A$263,$A$6,'月度資產配置'!$C$4:$C$263,"國民年金",'月度資產配置'!$D$4:$D$263,$A25)/(1000000000*'儀表板(美元)'!$C$21)</x:f>
        <x:v>0</x:v>
      </x:c>
      <x:c r="F25" s="75" t="n">
        <x:f>SUM(B25:E25)</x:f>
        <x:v>0.023477852559085927</x:v>
      </x:c>
    </x:row>
    <x:row r="26">
      <x:c r="A26" s="30" t="str">
        <x:v>被保險人貸款</x:v>
      </x:c>
      <x:c r="B26" s="74" t="n">
        <x:f>SUMIFS('月度資產配置'!$E$4:$E$263,'月度資產配置'!$A$4:$A$263,$A$6,'月度資產配置'!$C$4:$C$263,"新制",'月度資產配置'!$D$4:$D$263,$A26)/(1000000000*'儀表板(美元)'!$C$21)</x:f>
        <x:v>0</x:v>
      </x:c>
      <x:c r="C26" s="74" t="n">
        <x:f>SUMIFS('月度資產配置'!$E$4:$E$263,'月度資產配置'!$A$4:$A$263,$A$6,'月度資產配置'!$C$4:$C$263,"舊制",'月度資產配置'!$D$4:$D$263,$A26)/(1000000000*'儀表板(美元)'!$C$21)</x:f>
        <x:v>0</x:v>
      </x:c>
      <x:c r="D26" s="74" t="n">
        <x:f>SUMIFS('月度資產配置'!$E$4:$E$263,'月度資產配置'!$A$4:$A$263,$A$6,'月度資產配置'!$C$4:$C$263,"勞工保險",'月度資產配置'!$D$4:$D$263,$A26)/(1000000000*'儀表板(美元)'!$C$21)</x:f>
        <x:v>1.0630635521051808</x:v>
      </x:c>
      <x:c r="E26" s="74" t="n">
        <x:f>SUMIFS('月度資產配置'!$E$4:$E$263,'月度資產配置'!$A$4:$A$263,$A$6,'月度資產配置'!$C$4:$C$263,"國民年金",'月度資產配置'!$D$4:$D$263,$A26)/(1000000000*'儀表板(美元)'!$C$21)</x:f>
        <x:v>0</x:v>
      </x:c>
      <x:c r="F26" s="75" t="n">
        <x:f>SUM(B26:E26)</x:f>
        <x:v>1.0630635521051808</x:v>
      </x:c>
    </x:row>
    <x:row r="27">
      <x:c r="A27" s="30" t="str">
        <x:v>股票及受益憑證投資（含期貨）</x:v>
      </x:c>
      <x:c r="B27" s="74" t="n">
        <x:f>SUMIFS('月度資產配置'!$E$4:$E$263,'月度資產配置'!$A$4:$A$263,$A$6,'月度資產配置'!$C$4:$C$263,"新制",'月度資產配置'!$D$4:$D$263,$A27)/(1000000000*'儀表板(美元)'!$C$21)</x:f>
        <x:v>9.752879699452183</x:v>
      </x:c>
      <x:c r="C27" s="74" t="n">
        <x:f>SUMIFS('月度資產配置'!$E$4:$E$263,'月度資產配置'!$A$4:$A$263,$A$6,'月度資產配置'!$C$4:$C$263,"舊制",'月度資產配置'!$D$4:$D$263,$A27)/(1000000000*'儀表板(美元)'!$C$21)</x:f>
        <x:v>2.713406624823916</x:v>
      </x:c>
      <x:c r="D27" s="74" t="n">
        <x:f>SUMIFS('月度資產配置'!$E$4:$E$263,'月度資產配置'!$A$4:$A$263,$A$6,'月度資產配置'!$C$4:$C$263,"勞工保險",'月度資產配置'!$D$4:$D$263,$A27)/(1000000000*'儀表板(美元)'!$C$21)</x:f>
        <x:v>16.067222095946157</x:v>
      </x:c>
      <x:c r="E27" s="74" t="n">
        <x:f>SUMIFS('月度資產配置'!$E$4:$E$263,'月度資產配置'!$A$4:$A$263,$A$6,'月度資產配置'!$C$4:$C$263,"國民年金",'月度資產配置'!$D$4:$D$263,$A27)/(1000000000*'儀表板(美元)'!$C$21)</x:f>
        <x:v>7.268627091094068</x:v>
      </x:c>
      <x:c r="F27" s="75" t="n">
        <x:f>SUM(B27:E27)</x:f>
        <x:v>35.80213551131632</x:v>
      </x:c>
    </x:row>
    <x:row r="28">
      <x:c r="A28" s="33" t="str">
        <x:v>國外投資</x:v>
      </x:c>
      <x:c r="B28" s="76" t="n">
        <x:f>SUMIFS('月度資產配置'!$E$4:$E$263,'月度資產配置'!$A$4:$A$263,$A$6,'月度資產配置'!$C$4:$C$263,"新制",'月度資產配置'!$D$4:$D$263,$A28)/(1000000000*'儀表板(美元)'!$C$21)</x:f>
        <x:v>26.650200173767413</x:v>
      </x:c>
      <x:c r="C28" s="76" t="n">
        <x:f>SUMIFS('月度資產配置'!$E$4:$E$263,'月度資產配置'!$A$4:$A$263,$A$6,'月度資產配置'!$C$4:$C$263,"舊制",'月度資產配置'!$D$4:$D$263,$A28)/(1000000000*'儀表板(美元)'!$C$21)</x:f>
        <x:v>1.6232411102519957</x:v>
      </x:c>
      <x:c r="D28" s="76" t="n">
        <x:f>SUMIFS('月度資產配置'!$E$4:$E$263,'月度資產配置'!$A$4:$A$263,$A$6,'月度資產配置'!$C$4:$C$263,"勞工保險",'月度資產配置'!$D$4:$D$263,$A28)/(1000000000*'儀表板(美元)'!$C$21)</x:f>
        <x:v>9.451931108436375</x:v>
      </x:c>
      <x:c r="E28" s="76" t="n">
        <x:f>SUMIFS('月度資產配置'!$E$4:$E$263,'月度資產配置'!$A$4:$A$263,$A$6,'月度資產配置'!$C$4:$C$263,"國民年金",'月度資產配置'!$D$4:$D$263,$A28)/(1000000000*'儀表板(美元)'!$C$21)</x:f>
        <x:v>5.971731202817343</x:v>
      </x:c>
      <x:c r="F28" s="77" t="n">
        <x:f>SUM(B28:E28)</x:f>
        <x:v>43.69710359527313</x:v>
      </x:c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dcf6dd24f2d64d51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4" hidden="0" customWidth="1"/>
    <x:col min="2" max="2" width="7.329999923706055" hidden="0" customWidth="1"/>
    <x:col min="3" max="3" width="7" hidden="0" customWidth="1"/>
    <x:col min="4" max="4" width="28" hidden="0" customWidth="1"/>
    <x:col min="5" max="5" width="14.109999656677246" hidden="0" customWidth="1"/>
    <x:col min="6" max="6" width="14.109999656677246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自行運用-國外-固定收益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自行運用-國外-權益證券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自行運用-國外-另類投資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委託經營-國內-權益證券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委託經營-國外-固定收益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委託經營-國外-權益證券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委託經營-國外-另類投資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自行運用-國外-固定收益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自行運用-國外-權益證券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自行運用-國外-另類投資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委託經營-國內-權益證券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委託經營-國外-固定收益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委託經營-國外-權益證券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委託經營-國外-另類投資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自行運用-國外-固定收益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自行運用-國外-權益證券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自行運用-國外-另類投資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委託經營-國內-權益證券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委託經營-國外-固定收益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委託經營-國外-權益證券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委託經營-國外-另類投資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自行運用-國外-固定收益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自行運用-國外-權益證券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自行運用-國外-另類投資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委託經營-國內-權益證券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委託經營-國外-固定收益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委託經營-國外-權益證券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委託經營-國外-另類投資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自行運用-國外-固定收益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自行運用-國外-權益證券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自行運用-國外-另類投資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委託經營-國內-權益證券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委託經營-國外-固定收益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委託經營-國外-權益證券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委託經營-國外-另類投資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自行運用-國外-固定收益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自行運用-國外-權益證券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自行運用-國外-另類投資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委託經營-國內-權益證券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委託經營-國外-固定收益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委託經營-國外-權益證券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委託經營-國外-另類投資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自行運用-國外-固定收益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自行運用-國外-權益證券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自行運用-國外-另類投資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委託經營-國內-權益證券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委託經營-國外-固定收益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委託經營-國外-權益證券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委託經營-國外-另類投資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自行運用-國外-固定收益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自行運用-國外-權益證券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自行運用-國外-另類投資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委託經營-國內-權益證券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委託經營-國外-固定收益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委託經營-國外-權益證券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委託經營-國外-另類投資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自行運用-國外-固定收益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自行運用-國外-權益證券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自行運用-國外-另類投資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委託經營-國內-權益證券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委託經營-國外-固定收益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委託經營-國外-權益證券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委託經營-國外-另類投資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自行運用-國外-固定收益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自行運用-國外-權益證券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自行運用-國外-另類投資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委託經營-國內-權益證券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委託經營-國外-固定收益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委託經營-國外-權益證券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委託經營-國外-另類投資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自行運用-國外-固定收益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自行運用-國外-權益證券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自行運用-國外-另類投資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委託經營-國內-權益證券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委託經營-國外-固定收益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委託經營-國外-權益證券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委託經營-國外-另類投資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自行運用-國外-固定收益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自行運用-國外-權益證券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自行運用-國外-另類投資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委託經營-國內-權益證券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委託經營-國外-固定收益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委託經營-國外-權益證券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委託經營-國外-另類投資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自行運用-國外-固定收益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自行運用-國外-權益證券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自行運用-國外-另類投資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委託經營-國內-權益證券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委託經營-國外-固定收益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委託經營-國外-權益證券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委託經營-國外-另類投資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自行運用-國外-固定收益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自行運用-國外-權益證券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自行運用-國外-另類投資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委託經營-國內-權益證券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委託經營-國外-固定收益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委託經營-國外-權益證券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委託經營-國外-另類投資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自行運用-國外-固定收益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自行運用-國外-權益證券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自行運用-國外-另類投資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委託經營-國內-權益證券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委託經營-國外-固定收益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委託經營-國外-權益證券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委託經營-國外-另類投資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自行運用-國外-固定收益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自行運用-國外-權益證券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自行運用-國外-另類投資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委託經營-國內-權益證券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委託經營-國外-固定收益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委託經營-國外-權益證券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委託經營-國外-另類投資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710eded6acdf4e5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1.779999732971191" hidden="0" customWidth="1"/>
    <x:col min="8" max="8" width="12.779999732971191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持續</x:v>
      </x:c>
      <x:c r="K4" s="28" t="str">
        <x:v>新臺幣元</x:v>
      </x:c>
      <x:c r="L4" s="42" t="n">
        <x:v>0.9453</x:v>
      </x:c>
      <x:c r="M4" s="42" t="n">
        <x:v>0.0527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持續</x:v>
      </x:c>
      <x:c r="K5" s="31" t="str">
        <x:v>新臺幣元</x:v>
      </x:c>
      <x:c r="L5" s="43" t="n">
        <x:v>2.3936</x:v>
      </x:c>
      <x:c r="M5" s="43" t="n">
        <x:v>0.2113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持續</x:v>
      </x:c>
      <x:c r="K6" s="31" t="str">
        <x:v>新臺幣元</x:v>
      </x:c>
      <x:c r="L6" s="43" t="n">
        <x:v>1.2808000000000002</x:v>
      </x:c>
      <x:c r="M6" s="43" t="n">
        <x:v>0.1198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持續</x:v>
      </x:c>
      <x:c r="K7" s="31" t="str">
        <x:v>新臺幣元</x:v>
      </x:c>
      <x:c r="L7" s="43" t="n">
        <x:v>0.7268000000000001</x:v>
      </x:c>
      <x:c r="M7" s="43" t="n">
        <x:v>0.1198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持續</x:v>
      </x:c>
      <x:c r="K8" s="31" t="str">
        <x:v>新臺幣元</x:v>
      </x:c>
      <x:c r="L8" s="43" t="n">
        <x:v>1.4969999999999999</x:v>
      </x:c>
      <x:c r="M8" s="43" t="n">
        <x:v>0.22089999999999999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持續</x:v>
      </x:c>
      <x:c r="K9" s="31" t="str">
        <x:v>新臺幣元</x:v>
      </x:c>
      <x:c r="L9" s="43" t="n">
        <x:v>1.7350999999999999</x:v>
      </x:c>
      <x:c r="M9" s="43" t="n">
        <x:v>1.6263999999999998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持續</x:v>
      </x:c>
      <x:c r="K10" s="31" t="str">
        <x:v>新臺幣元</x:v>
      </x:c>
      <x:c r="L10" s="43" t="n">
        <x:v>1.6579</x:v>
      </x:c>
      <x:c r="M10" s="43" t="n">
        <x:v>0.1191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持續</x:v>
      </x:c>
      <x:c r="K11" s="31" t="str">
        <x:v>新臺幣元</x:v>
      </x:c>
      <x:c r="L11" s="43" t="n">
        <x:v>0.8642</x:v>
      </x:c>
      <x:c r="M11" s="43" t="n">
        <x:v>0.1191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持續</x:v>
      </x:c>
      <x:c r="K12" s="31" t="str">
        <x:v>新臺幣元</x:v>
      </x:c>
      <x:c r="L12" s="43" t="n">
        <x:v>0.5015999999999999</x:v>
      </x:c>
      <x:c r="M12" s="43" t="n">
        <x:v>0.36619999999999997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持續</x:v>
      </x:c>
      <x:c r="K13" s="31" t="str">
        <x:v>新臺幣元</x:v>
      </x:c>
      <x:c r="L13" s="43" t="n">
        <x:v>0.4313</x:v>
      </x:c>
      <x:c r="M13" s="43" t="n">
        <x:v>0.36619999999999997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持續</x:v>
      </x:c>
      <x:c r="K14" s="31" t="str">
        <x:v>新臺幣元</x:v>
      </x:c>
      <x:c r="L14" s="43" t="n">
        <x:v>1.6085</x:v>
      </x:c>
      <x:c r="M14" s="43" t="n">
        <x:v>0.2302</x:v>
      </x:c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持續</x:v>
      </x:c>
      <x:c r="K15" s="31" t="str">
        <x:v>新臺幣元</x:v>
      </x:c>
      <x:c r="L15" s="43" t="n">
        <x:v>0.7082999999999999</x:v>
      </x:c>
      <x:c r="M15" s="43" t="n">
        <x:v>0.6726000000000001</x:v>
      </x:c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持續</x:v>
      </x:c>
      <x:c r="K16" s="31" t="str">
        <x:v>新臺幣元</x:v>
      </x:c>
      <x:c r="L16" s="43" t="n">
        <x:v>0.6894</x:v>
      </x:c>
      <x:c r="M16" s="43" t="n">
        <x:v>0.6726000000000001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持續</x:v>
      </x:c>
      <x:c r="K17" s="31" t="str">
        <x:v>新臺幣元</x:v>
      </x:c>
      <x:c r="L17" s="43" t="n">
        <x:v>0.7049</x:v>
      </x:c>
      <x:c r="M17" s="43" t="n">
        <x:v>0.6726000000000001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持續</x:v>
      </x:c>
      <x:c r="K18" s="31" t="str">
        <x:v>新臺幣元</x:v>
      </x:c>
      <x:c r="L18" s="43" t="n">
        <x:v>0.6829999999999999</x:v>
      </x:c>
      <x:c r="M18" s="43" t="n">
        <x:v>0.6726000000000001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持續</x:v>
      </x:c>
      <x:c r="K19" s="31" t="str">
        <x:v>新臺幣元</x:v>
      </x:c>
      <x:c r="L19" s="43" t="n">
        <x:v>0.7106999999999999</x:v>
      </x:c>
      <x:c r="M19" s="43" t="n">
        <x:v>0.6726000000000001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持續</x:v>
      </x:c>
      <x:c r="K20" s="31" t="str">
        <x:v>新臺幣元</x:v>
      </x:c>
      <x:c r="L20" s="43" t="n">
        <x:v>1.6942</x:v>
      </x:c>
      <x:c r="M20" s="43" t="n">
        <x:v>0.1998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持續</x:v>
      </x:c>
      <x:c r="K21" s="31" t="str">
        <x:v>新臺幣元</x:v>
      </x:c>
      <x:c r="L21" s="43" t="n">
        <x:v>1.2009</x:v>
      </x:c>
      <x:c r="M21" s="43" t="n">
        <x:v>0.1998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持續</x:v>
      </x:c>
      <x:c r="K22" s="31" t="str">
        <x:v>新臺幣元</x:v>
      </x:c>
      <x:c r="L22" s="43" t="n">
        <x:v>2.0039</x:v>
      </x:c>
      <x:c r="M22" s="43" t="n">
        <x:v>0.21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持續</x:v>
      </x:c>
      <x:c r="K23" s="31" t="str">
        <x:v>新臺幣元</x:v>
      </x:c>
      <x:c r="L23" s="43" t="n">
        <x:v>1.3041999999999998</x:v>
      </x:c>
      <x:c r="M23" s="43" t="n">
        <x:v>0.21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持續</x:v>
      </x:c>
      <x:c r="K24" s="31" t="str">
        <x:v>新臺幣元</x:v>
      </x:c>
      <x:c r="L24" s="43" t="n">
        <x:v>1.1314</x:v>
      </x:c>
      <x:c r="M24" s="43" t="n">
        <x:v>0.21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持續</x:v>
      </x:c>
      <x:c r="K25" s="31" t="str">
        <x:v>新臺幣元</x:v>
      </x:c>
      <x:c r="L25" s="43" t="n">
        <x:v>1.4447</x:v>
      </x:c>
      <x:c r="M25" s="43" t="n">
        <x:v>0.21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持續</x:v>
      </x:c>
      <x:c r="K26" s="31" t="str">
        <x:v>新臺幣元</x:v>
      </x:c>
      <x:c r="L26" s="43" t="n">
        <x:v>2.0913999999999997</x:v>
      </x:c>
      <x:c r="M26" s="43" t="n">
        <x:v>2.0934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持續</x:v>
      </x:c>
      <x:c r="K27" s="31" t="str">
        <x:v>新臺幣元</x:v>
      </x:c>
      <x:c r="L27" s="43" t="n">
        <x:v>2.1505</x:v>
      </x:c>
      <x:c r="M27" s="43" t="n">
        <x:v>2.0934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持續</x:v>
      </x:c>
      <x:c r="K28" s="31" t="str">
        <x:v>新臺幣元</x:v>
      </x:c>
      <x:c r="L28" s="43" t="n">
        <x:v>2.1793</x:v>
      </x:c>
      <x:c r="M28" s="43" t="n">
        <x:v>2.0934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持續</x:v>
      </x:c>
      <x:c r="K29" s="31" t="str">
        <x:v>新臺幣元</x:v>
      </x:c>
      <x:c r="L29" s="43" t="n">
        <x:v>2.126</x:v>
      </x:c>
      <x:c r="M29" s="43" t="n">
        <x:v>2.0934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持續</x:v>
      </x:c>
      <x:c r="K30" s="31" t="str">
        <x:v>新臺幣元</x:v>
      </x:c>
      <x:c r="L30" s="43" t="n">
        <x:v>2.2522</x:v>
      </x:c>
      <x:c r="M30" s="43" t="n">
        <x:v>2.0934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持續</x:v>
      </x:c>
      <x:c r="K31" s="31" t="str">
        <x:v>新臺幣元</x:v>
      </x:c>
      <x:c r="L31" s="43" t="n">
        <x:v>2.1319999999999997</x:v>
      </x:c>
      <x:c r="M31" s="43" t="n">
        <x:v>2.0934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持續</x:v>
      </x:c>
      <x:c r="K32" s="31" t="str">
        <x:v>新臺幣元</x:v>
      </x:c>
      <x:c r="L32" s="43" t="n">
        <x:v>2.2617</x:v>
      </x:c>
      <x:c r="M32" s="43" t="n">
        <x:v>2.0934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持續</x:v>
      </x:c>
      <x:c r="K33" s="31" t="str">
        <x:v>新臺幣元</x:v>
      </x:c>
      <x:c r="L33" s="43" t="n">
        <x:v>1.2308</x:v>
      </x:c>
      <x:c r="M33" s="43" t="n">
        <x:v>0.1286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持續</x:v>
      </x:c>
      <x:c r="K34" s="31" t="str">
        <x:v>新臺幣元</x:v>
      </x:c>
      <x:c r="L34" s="43" t="n">
        <x:v>1.6446</x:v>
      </x:c>
      <x:c r="M34" s="43" t="n">
        <x:v>0.1286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持續</x:v>
      </x:c>
      <x:c r="K35" s="31" t="str">
        <x:v>新臺幣元</x:v>
      </x:c>
      <x:c r="L35" s="43" t="n">
        <x:v>1.1039</x:v>
      </x:c>
      <x:c r="M35" s="43" t="n">
        <x:v>0.1286</x:v>
      </x:c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持續</x:v>
      </x:c>
      <x:c r="K36" s="31" t="str">
        <x:v>新臺幣元</x:v>
      </x:c>
      <x:c r="L36" s="43" t="n">
        <x:v>1.7790000000000001</x:v>
      </x:c>
      <x:c r="M36" s="43" t="n">
        <x:v>0.1286</x:v>
      </x:c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持續</x:v>
      </x:c>
      <x:c r="K37" s="31" t="str">
        <x:v>新臺幣元</x:v>
      </x:c>
      <x:c r="L37" s="43" t="n">
        <x:v>1.1596</x:v>
      </x:c>
      <x:c r="M37" s="43" t="n">
        <x:v>0.1286</x:v>
      </x:c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持續</x:v>
      </x:c>
      <x:c r="K38" s="31" t="str">
        <x:v>新臺幣元</x:v>
      </x:c>
      <x:c r="L38" s="43" t="n">
        <x:v>1.1694</x:v>
      </x:c>
      <x:c r="M38" s="43" t="n">
        <x:v>0.1286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持續</x:v>
      </x:c>
      <x:c r="K39" s="31" t="str">
        <x:v>新臺幣元</x:v>
      </x:c>
      <x:c r="L39" s="43" t="n">
        <x:v>-0.0748</x:v>
      </x:c>
      <x:c r="M39" s="43" t="n">
        <x:v>0.013600000000000001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持續</x:v>
      </x:c>
      <x:c r="K40" s="31" t="str">
        <x:v>新臺幣元</x:v>
      </x:c>
      <x:c r="L40" s="43" t="n">
        <x:v>-0.0942</x:v>
      </x:c>
      <x:c r="M40" s="43" t="n">
        <x:v>0.013600000000000001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持續</x:v>
      </x:c>
      <x:c r="K41" s="31" t="str">
        <x:v>新臺幣元</x:v>
      </x:c>
      <x:c r="L41" s="43" t="n">
        <x:v>-0.1412</x:v>
      </x:c>
      <x:c r="M41" s="43" t="n">
        <x:v>0.013600000000000001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持續</x:v>
      </x:c>
      <x:c r="K42" s="31" t="str">
        <x:v>新臺幣元</x:v>
      </x:c>
      <x:c r="L42" s="43" t="n">
        <x:v>-0.0882</x:v>
      </x:c>
      <x:c r="M42" s="43" t="n">
        <x:v>0.013600000000000001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持續</x:v>
      </x:c>
      <x:c r="K43" s="31" t="str">
        <x:v>新臺幣元</x:v>
      </x:c>
      <x:c r="L43" s="43" t="n">
        <x:v>-0.11710000000000001</x:v>
      </x:c>
      <x:c r="M43" s="43" t="n">
        <x:v>0.013600000000000001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持續</x:v>
      </x:c>
      <x:c r="K44" s="31" t="str">
        <x:v>新臺幣元</x:v>
      </x:c>
      <x:c r="L44" s="43" t="n">
        <x:v>1.2791</x:v>
      </x:c>
      <x:c r="M44" s="43" t="n">
        <x:v>1.2554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持續</x:v>
      </x:c>
      <x:c r="K45" s="31" t="str">
        <x:v>新臺幣元</x:v>
      </x:c>
      <x:c r="L45" s="43" t="n">
        <x:v>1.2836</x:v>
      </x:c>
      <x:c r="M45" s="43" t="n">
        <x:v>1.2554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持續</x:v>
      </x:c>
      <x:c r="K46" s="31" t="str">
        <x:v>新臺幣元</x:v>
      </x:c>
      <x:c r="L46" s="43" t="n">
        <x:v>1.2375</x:v>
      </x:c>
      <x:c r="M46" s="43" t="n">
        <x:v>1.2554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持續</x:v>
      </x:c>
      <x:c r="K47" s="31" t="str">
        <x:v>新臺幣元</x:v>
      </x:c>
      <x:c r="L47" s="43" t="n">
        <x:v>1.3363999999999998</x:v>
      </x:c>
      <x:c r="M47" s="43" t="n">
        <x:v>1.2554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持續</x:v>
      </x:c>
      <x:c r="K48" s="31" t="str">
        <x:v>新臺幣元</x:v>
      </x:c>
      <x:c r="L48" s="43" t="n">
        <x:v>1.2166</x:v>
      </x:c>
      <x:c r="M48" s="43" t="n">
        <x:v>1.2554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持續</x:v>
      </x:c>
      <x:c r="K49" s="31" t="str">
        <x:v>新臺幣元</x:v>
      </x:c>
      <x:c r="L49" s="43" t="n">
        <x:v>1.729</x:v>
      </x:c>
      <x:c r="M49" s="43" t="n">
        <x:v>0.2808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持續</x:v>
      </x:c>
      <x:c r="K50" s="31" t="str">
        <x:v>新臺幣元</x:v>
      </x:c>
      <x:c r="L50" s="43" t="n">
        <x:v>1.111</x:v>
      </x:c>
      <x:c r="M50" s="43" t="n">
        <x:v>0.2808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持續</x:v>
      </x:c>
      <x:c r="K51" s="31" t="str">
        <x:v>新臺幣元</x:v>
      </x:c>
      <x:c r="L51" s="43" t="n">
        <x:v>1.6996</x:v>
      </x:c>
      <x:c r="M51" s="43" t="n">
        <x:v>0.2808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持續</x:v>
      </x:c>
      <x:c r="K52" s="31" t="str">
        <x:v>新臺幣元</x:v>
      </x:c>
      <x:c r="L52" s="43" t="n">
        <x:v>1.1247</x:v>
      </x:c>
      <x:c r="M52" s="43" t="n">
        <x:v>0.2808</x:v>
      </x:c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持續</x:v>
      </x:c>
      <x:c r="K53" s="31" t="str">
        <x:v>新臺幣元</x:v>
      </x:c>
      <x:c r="L53" s="43" t="n">
        <x:v>2.1054</x:v>
      </x:c>
      <x:c r="M53" s="43" t="n">
        <x:v>0.2808</x:v>
      </x:c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持續</x:v>
      </x:c>
      <x:c r="K54" s="31" t="str">
        <x:v>新臺幣元</x:v>
      </x:c>
      <x:c r="L54" s="43" t="n">
        <x:v>1.6864</x:v>
      </x:c>
      <x:c r="M54" s="43" t="n">
        <x:v>0.2808</x:v>
      </x:c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持續</x:v>
      </x:c>
      <x:c r="K55" s="31" t="str">
        <x:v>新臺幣元</x:v>
      </x:c>
      <x:c r="L55" s="43" t="n">
        <x:v>1.0719</x:v>
      </x:c>
      <x:c r="M55" s="43" t="n">
        <x:v>0.1681</x:v>
      </x:c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持續</x:v>
      </x:c>
      <x:c r="K56" s="31" t="str">
        <x:v>新臺幣元</x:v>
      </x:c>
      <x:c r="L56" s="43" t="n">
        <x:v>2.0507</x:v>
      </x:c>
      <x:c r="M56" s="43" t="n">
        <x:v>0.1681</x:v>
      </x:c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持續</x:v>
      </x:c>
      <x:c r="K57" s="31" t="str">
        <x:v>新臺幣元</x:v>
      </x:c>
      <x:c r="L57" s="43" t="n">
        <x:v>1.6005</x:v>
      </x:c>
      <x:c r="M57" s="43" t="n">
        <x:v>0.1681</x:v>
      </x:c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持續</x:v>
      </x:c>
      <x:c r="K58" s="31" t="str">
        <x:v>新臺幣元</x:v>
      </x:c>
      <x:c r="L58" s="43" t="n">
        <x:v>1.1255</x:v>
      </x:c>
      <x:c r="M58" s="43" t="n">
        <x:v>0.1681</x:v>
      </x:c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持續</x:v>
      </x:c>
      <x:c r="K59" s="31" t="str">
        <x:v>新臺幣元</x:v>
      </x:c>
      <x:c r="L59" s="43" t="n">
        <x:v>2.1375</x:v>
      </x:c>
      <x:c r="M59" s="43" t="n">
        <x:v>0.1681</x:v>
      </x:c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持續</x:v>
      </x:c>
      <x:c r="K60" s="31" t="str">
        <x:v>新臺幣元</x:v>
      </x:c>
      <x:c r="L60" s="43" t="n">
        <x:v>0.40130000000000005</x:v>
      </x:c>
      <x:c r="M60" s="43" t="n">
        <x:v>0.1681</x:v>
      </x:c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持續</x:v>
      </x:c>
      <x:c r="K61" s="31" t="str">
        <x:v>新臺幣元</x:v>
      </x:c>
      <x:c r="L61" s="43" t="n">
        <x:v>1.3118</x:v>
      </x:c>
      <x:c r="M61" s="43" t="n">
        <x:v>0.1681</x:v>
      </x:c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持續</x:v>
      </x:c>
      <x:c r="K62" s="31" t="str">
        <x:v>新臺幣元</x:v>
      </x:c>
      <x:c r="L62" s="43" t="n">
        <x:v>1.5</x:v>
      </x:c>
      <x:c r="M62" s="43" t="n">
        <x:v>1.1673</x:v>
      </x:c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持續</x:v>
      </x:c>
      <x:c r="K63" s="31" t="str">
        <x:v>新臺幣元</x:v>
      </x:c>
      <x:c r="L63" s="43" t="n">
        <x:v>1.2703</x:v>
      </x:c>
      <x:c r="M63" s="43" t="n">
        <x:v>1.1673</x:v>
      </x:c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持續</x:v>
      </x:c>
      <x:c r="K64" s="31" t="str">
        <x:v>新臺幣元</x:v>
      </x:c>
      <x:c r="L64" s="43" t="n">
        <x:v>1.2777</x:v>
      </x:c>
      <x:c r="M64" s="43" t="n">
        <x:v>1.1673</x:v>
      </x:c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持續</x:v>
      </x:c>
      <x:c r="K65" s="31" t="str">
        <x:v>新臺幣元</x:v>
      </x:c>
      <x:c r="L65" s="43" t="n">
        <x:v>1.1823000000000001</x:v>
      </x:c>
      <x:c r="M65" s="43" t="n">
        <x:v>1.1673</x:v>
      </x:c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持續</x:v>
      </x:c>
      <x:c r="K66" s="31" t="str">
        <x:v>新臺幣元</x:v>
      </x:c>
      <x:c r="L66" s="43" t="n">
        <x:v>1.2054</x:v>
      </x:c>
      <x:c r="M66" s="43" t="n">
        <x:v>1.1673</x:v>
      </x:c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持續</x:v>
      </x:c>
      <x:c r="K67" s="31" t="str">
        <x:v>新臺幣元</x:v>
      </x:c>
      <x:c r="L67" s="43" t="n">
        <x:v>1.2443</x:v>
      </x:c>
      <x:c r="M67" s="43" t="n">
        <x:v>1.1673</x:v>
      </x:c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持續</x:v>
      </x:c>
      <x:c r="K68" s="31" t="str">
        <x:v>新臺幣元</x:v>
      </x:c>
      <x:c r="L68" s="43" t="n">
        <x:v>0.46659999999999996</x:v>
      </x:c>
      <x:c r="M68" s="43" t="n">
        <x:v>0.0444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持續</x:v>
      </x:c>
      <x:c r="K69" s="31" t="str">
        <x:v>新臺幣元</x:v>
      </x:c>
      <x:c r="L69" s="43" t="n">
        <x:v>0.5784</x:v>
      </x:c>
      <x:c r="M69" s="43" t="n">
        <x:v>0.0444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持續</x:v>
      </x:c>
      <x:c r="K70" s="31" t="str">
        <x:v>新臺幣元</x:v>
      </x:c>
      <x:c r="L70" s="43" t="n">
        <x:v>0.6163000000000001</x:v>
      </x:c>
      <x:c r="M70" s="43" t="n">
        <x:v>0.0444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持續</x:v>
      </x:c>
      <x:c r="K71" s="31" t="str">
        <x:v>新臺幣元</x:v>
      </x:c>
      <x:c r="L71" s="43" t="n">
        <x:v>0.5424</x:v>
      </x:c>
      <x:c r="M71" s="43" t="n">
        <x:v>0.0444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持續</x:v>
      </x:c>
      <x:c r="K72" s="31" t="str">
        <x:v>新臺幣元</x:v>
      </x:c>
      <x:c r="L72" s="43" t="n">
        <x:v>0.5698</x:v>
      </x:c>
      <x:c r="M72" s="43" t="n">
        <x:v>0.0444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持續</x:v>
      </x:c>
      <x:c r="K73" s="31" t="str">
        <x:v>新臺幣元</x:v>
      </x:c>
      <x:c r="L73" s="43" t="n">
        <x:v>-0.0526</x:v>
      </x:c>
      <x:c r="M73" s="43"/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持續</x:v>
      </x:c>
      <x:c r="K74" s="31" t="str">
        <x:v>新臺幣元</x:v>
      </x:c>
      <x:c r="L74" s="43" t="n">
        <x:v>1.0713</x:v>
      </x:c>
      <x:c r="M74" s="43" t="n">
        <x:v>0.0947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持續</x:v>
      </x:c>
      <x:c r="K75" s="31" t="str">
        <x:v>新臺幣元</x:v>
      </x:c>
      <x:c r="L75" s="43" t="n">
        <x:v>0.9856</x:v>
      </x:c>
      <x:c r="M75" s="43" t="n">
        <x:v>0.0947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持續</x:v>
      </x:c>
      <x:c r="K76" s="31" t="str">
        <x:v>新臺幣元</x:v>
      </x:c>
      <x:c r="L76" s="43" t="n">
        <x:v>1.0556999999999999</x:v>
      </x:c>
      <x:c r="M76" s="43" t="n">
        <x:v>0.9778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持續</x:v>
      </x:c>
      <x:c r="K77" s="31" t="str">
        <x:v>新臺幣元</x:v>
      </x:c>
      <x:c r="L77" s="43" t="n">
        <x:v>1.8681999999999999</x:v>
      </x:c>
      <x:c r="M77" s="43" t="n">
        <x:v>0.132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持續</x:v>
      </x:c>
      <x:c r="K78" s="31" t="str">
        <x:v>新臺幣元</x:v>
      </x:c>
      <x:c r="L78" s="43" t="n">
        <x:v>1.6941</x:v>
      </x:c>
      <x:c r="M78" s="43" t="n">
        <x:v>0.1998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持續</x:v>
      </x:c>
      <x:c r="K79" s="31" t="str">
        <x:v>新臺幣元</x:v>
      </x:c>
      <x:c r="L79" s="43" t="n">
        <x:v>1.1693</x:v>
      </x:c>
      <x:c r="M79" s="43" t="n">
        <x:v>0.1998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持續</x:v>
      </x:c>
      <x:c r="K80" s="31" t="str">
        <x:v>新臺幣元</x:v>
      </x:c>
      <x:c r="L80" s="43" t="n">
        <x:v>2.0039</x:v>
      </x:c>
      <x:c r="M80" s="43" t="n">
        <x:v>0.21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持續</x:v>
      </x:c>
      <x:c r="K81" s="31" t="str">
        <x:v>新臺幣元</x:v>
      </x:c>
      <x:c r="L81" s="43" t="n">
        <x:v>1.2893000000000001</x:v>
      </x:c>
      <x:c r="M81" s="43" t="n">
        <x:v>0.21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持續</x:v>
      </x:c>
      <x:c r="K82" s="31" t="str">
        <x:v>新臺幣元</x:v>
      </x:c>
      <x:c r="L82" s="43" t="n">
        <x:v>1.1309</x:v>
      </x:c>
      <x:c r="M82" s="43" t="n">
        <x:v>0.21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持續</x:v>
      </x:c>
      <x:c r="K83" s="31" t="str">
        <x:v>新臺幣元</x:v>
      </x:c>
      <x:c r="L83" s="43" t="n">
        <x:v>1.4385</x:v>
      </x:c>
      <x:c r="M83" s="43" t="n">
        <x:v>0.21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持續</x:v>
      </x:c>
      <x:c r="K84" s="31" t="str">
        <x:v>新臺幣元</x:v>
      </x:c>
      <x:c r="L84" s="43" t="n">
        <x:v>1.2483</x:v>
      </x:c>
      <x:c r="M84" s="43" t="n">
        <x:v>1.2554</x:v>
      </x:c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持續</x:v>
      </x:c>
      <x:c r="K85" s="31" t="str">
        <x:v>新臺幣元</x:v>
      </x:c>
      <x:c r="L85" s="43" t="n">
        <x:v>1.2382</x:v>
      </x:c>
      <x:c r="M85" s="43" t="n">
        <x:v>1.2554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持續</x:v>
      </x:c>
      <x:c r="K86" s="31" t="str">
        <x:v>新臺幣元</x:v>
      </x:c>
      <x:c r="L86" s="43" t="n">
        <x:v>1.1848</x:v>
      </x:c>
      <x:c r="M86" s="43" t="n">
        <x:v>1.2554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持續</x:v>
      </x:c>
      <x:c r="K87" s="31" t="str">
        <x:v>新臺幣元</x:v>
      </x:c>
      <x:c r="L87" s="43" t="n">
        <x:v>1.2799</x:v>
      </x:c>
      <x:c r="M87" s="43" t="n">
        <x:v>1.2554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持續</x:v>
      </x:c>
      <x:c r="K88" s="31" t="str">
        <x:v>新臺幣元</x:v>
      </x:c>
      <x:c r="L88" s="43" t="n">
        <x:v>1.1886</x:v>
      </x:c>
      <x:c r="M88" s="43" t="n">
        <x:v>1.2554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持續</x:v>
      </x:c>
      <x:c r="K89" s="31" t="str">
        <x:v>新臺幣元</x:v>
      </x:c>
      <x:c r="L89" s="43" t="n">
        <x:v>1.0949</x:v>
      </x:c>
      <x:c r="M89" s="43" t="n">
        <x:v>0.1681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持續</x:v>
      </x:c>
      <x:c r="K90" s="31" t="str">
        <x:v>新臺幣元</x:v>
      </x:c>
      <x:c r="L90" s="43" t="n">
        <x:v>2.0665</x:v>
      </x:c>
      <x:c r="M90" s="43" t="n">
        <x:v>0.1681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持續</x:v>
      </x:c>
      <x:c r="K91" s="31" t="str">
        <x:v>新臺幣元</x:v>
      </x:c>
      <x:c r="L91" s="43" t="n">
        <x:v>1.6488999999999998</x:v>
      </x:c>
      <x:c r="M91" s="43" t="n">
        <x:v>0.1681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持續</x:v>
      </x:c>
      <x:c r="K92" s="31" t="str">
        <x:v>新臺幣元</x:v>
      </x:c>
      <x:c r="L92" s="43" t="n">
        <x:v>1.1372</x:v>
      </x:c>
      <x:c r="M92" s="43" t="n">
        <x:v>0.1681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持續</x:v>
      </x:c>
      <x:c r="K93" s="31" t="str">
        <x:v>新臺幣元</x:v>
      </x:c>
      <x:c r="L93" s="43" t="n">
        <x:v>2.1261</x:v>
      </x:c>
      <x:c r="M93" s="43" t="n">
        <x:v>0.1681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持續</x:v>
      </x:c>
      <x:c r="K94" s="31" t="str">
        <x:v>新臺幣元</x:v>
      </x:c>
      <x:c r="L94" s="43" t="n">
        <x:v>0.43560000000000004</x:v>
      </x:c>
      <x:c r="M94" s="43" t="n">
        <x:v>0.1681</x:v>
      </x:c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持續</x:v>
      </x:c>
      <x:c r="K95" s="31" t="str">
        <x:v>新臺幣元</x:v>
      </x:c>
      <x:c r="L95" s="43" t="n">
        <x:v>1.3285</x:v>
      </x:c>
      <x:c r="M95" s="43" t="n">
        <x:v>0.1681</x:v>
      </x:c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持續</x:v>
      </x:c>
      <x:c r="K96" s="31" t="str">
        <x:v>新臺幣元</x:v>
      </x:c>
      <x:c r="L96" s="43" t="n">
        <x:v>1.5816</x:v>
      </x:c>
      <x:c r="M96" s="43" t="n">
        <x:v>0.1689</x:v>
      </x:c>
      <x:c r="N96" s="32" t="str">
        <x:v>勞工保險基金-115年7月.pdf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持續</x:v>
      </x:c>
      <x:c r="K97" s="31" t="str">
        <x:v>新臺幣元</x:v>
      </x:c>
      <x:c r="L97" s="43" t="n">
        <x:v>1.4922</x:v>
      </x:c>
      <x:c r="M97" s="43" t="n">
        <x:v>0.12210000000000001</x:v>
      </x:c>
      <x:c r="N97" s="32" t="str">
        <x:v>勞工保險基金-115年7月.pdf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持續</x:v>
      </x:c>
      <x:c r="K98" s="31" t="str">
        <x:v>新臺幣元</x:v>
      </x:c>
      <x:c r="L98" s="43" t="n">
        <x:v>1.5265</x:v>
      </x:c>
      <x:c r="M98" s="43" t="n">
        <x:v>0.1675</x:v>
      </x:c>
      <x:c r="N98" s="32" t="str">
        <x:v>勞工保險基金-115年7月.pdf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持續</x:v>
      </x:c>
      <x:c r="K99" s="31" t="str">
        <x:v>新臺幣元</x:v>
      </x:c>
      <x:c r="L99" s="43" t="n">
        <x:v>1.6194</x:v>
      </x:c>
      <x:c r="M99" s="43" t="n">
        <x:v>0.1675</x:v>
      </x:c>
      <x:c r="N99" s="32" t="str">
        <x:v>勞工保險基金-115年7月.pdf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持續</x:v>
      </x:c>
      <x:c r="K100" s="31" t="str">
        <x:v>新臺幣元</x:v>
      </x:c>
      <x:c r="L100" s="43" t="n">
        <x:v>1.63</x:v>
      </x:c>
      <x:c r="M100" s="43" t="n">
        <x:v>0.1675</x:v>
      </x:c>
      <x:c r="N100" s="32" t="str">
        <x:v>勞工保險基金-115年7月.pdf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持續</x:v>
      </x:c>
      <x:c r="K101" s="31" t="str">
        <x:v>新臺幣元</x:v>
      </x:c>
      <x:c r="L101" s="43" t="n">
        <x:v>1.1815</x:v>
      </x:c>
      <x:c r="M101" s="43" t="n">
        <x:v>0.1675</x:v>
      </x:c>
      <x:c r="N101" s="32" t="str">
        <x:v>勞工保險基金-115年7月.pdf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持續</x:v>
      </x:c>
      <x:c r="K102" s="31" t="str">
        <x:v>新臺幣元</x:v>
      </x:c>
      <x:c r="L102" s="43" t="n">
        <x:v>0.8889</x:v>
      </x:c>
      <x:c r="M102" s="43" t="n">
        <x:v>0.1675</x:v>
      </x:c>
      <x:c r="N102" s="32" t="str">
        <x:v>勞工保險基金-115年7月.pdf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持續</x:v>
      </x:c>
      <x:c r="K103" s="31" t="str">
        <x:v>新臺幣元</x:v>
      </x:c>
      <x:c r="L103" s="43" t="n">
        <x:v>1.3153</x:v>
      </x:c>
      <x:c r="M103" s="43" t="n">
        <x:v>0.1675</x:v>
      </x:c>
      <x:c r="N103" s="32" t="str">
        <x:v>勞工保險基金-115年7月.pdf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新增</x:v>
      </x:c>
      <x:c r="K104" s="31" t="str">
        <x:v>新臺幣元</x:v>
      </x:c>
      <x:c r="L104" s="43" t="n">
        <x:v>1.2519</x:v>
      </x:c>
      <x:c r="M104" s="43" t="n">
        <x:v>1.2554</x:v>
      </x:c>
      <x:c r="N104" s="32" t="str">
        <x:v>勞工保險基金-115年7月.pdf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新增</x:v>
      </x:c>
      <x:c r="K105" s="31" t="str">
        <x:v>新臺幣元</x:v>
      </x:c>
      <x:c r="L105" s="43" t="n">
        <x:v>1.2381</x:v>
      </x:c>
      <x:c r="M105" s="43" t="n">
        <x:v>1.2554</x:v>
      </x:c>
      <x:c r="N105" s="32" t="str">
        <x:v>勞工保險基金-115年7月.pdf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新增</x:v>
      </x:c>
      <x:c r="K106" s="31" t="str">
        <x:v>新臺幣元</x:v>
      </x:c>
      <x:c r="L106" s="43" t="n">
        <x:v>1.185</x:v>
      </x:c>
      <x:c r="M106" s="43" t="n">
        <x:v>1.2554</x:v>
      </x:c>
      <x:c r="N106" s="32" t="str">
        <x:v>勞工保險基金-115年7月.pdf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新增</x:v>
      </x:c>
      <x:c r="K107" s="31" t="str">
        <x:v>新臺幣元</x:v>
      </x:c>
      <x:c r="L107" s="43" t="n">
        <x:v>1.2793</x:v>
      </x:c>
      <x:c r="M107" s="43" t="n">
        <x:v>1.2554</x:v>
      </x:c>
      <x:c r="N107" s="32" t="str">
        <x:v>勞工保險基金-115年7月.pdf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持續</x:v>
      </x:c>
      <x:c r="K108" s="31" t="str">
        <x:v>新臺幣元</x:v>
      </x:c>
      <x:c r="L108" s="43" t="n">
        <x:v>1.1781</x:v>
      </x:c>
      <x:c r="M108" s="43" t="n">
        <x:v>1.1673</x:v>
      </x:c>
      <x:c r="N108" s="32" t="str">
        <x:v>國民年金保險基金-115年7月.pdf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持續</x:v>
      </x:c>
      <x:c r="K109" s="31" t="str">
        <x:v>新臺幣元</x:v>
      </x:c>
      <x:c r="L109" s="43" t="n">
        <x:v>1.198</x:v>
      </x:c>
      <x:c r="M109" s="43" t="n">
        <x:v>1.1673</x:v>
      </x:c>
      <x:c r="N109" s="32" t="str">
        <x:v>國民年金保險基金-115年7月.pdf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持續</x:v>
      </x:c>
      <x:c r="K110" s="31" t="str">
        <x:v>新臺幣元</x:v>
      </x:c>
      <x:c r="L110" s="43" t="n">
        <x:v>-0.047</x:v>
      </x:c>
      <x:c r="M110" s="43" t="n">
        <x:v>0.009000000000000001</x:v>
      </x:c>
      <x:c r="N110" s="32" t="str">
        <x:v>國民年金保險基金-115年7月.pdf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持續</x:v>
      </x:c>
      <x:c r="K111" s="31" t="str">
        <x:v>新臺幣元</x:v>
      </x:c>
      <x:c r="L111" s="43" t="n">
        <x:v>-0.16670000000000001</x:v>
      </x:c>
      <x:c r="M111" s="43" t="n">
        <x:v>0.009000000000000001</x:v>
      </x:c>
      <x:c r="N111" s="32" t="str">
        <x:v>國民年金保險基金-115年7月.pdf</x:v>
      </x:c>
    </x:row>
    <x:row r="112">
      <x:c r="A112" s="37" t="n">
        <x:v>46204</x:v>
      </x:c>
      <x:c r="B112" s="31" t="str">
        <x:v>115年7月</x:v>
      </x:c>
      <x:c r="C112" s="31" t="str">
        <x:v>國民年金</x:v>
      </x:c>
      <x:c r="D112" s="31" t="str">
        <x:v>國內</x:v>
      </x:c>
      <x:c r="E112" s="31" t="str">
        <x:v>114年第一次委託經營</x:v>
      </x:c>
      <x:c r="F112" s="31" t="str">
        <x:v>野村</x:v>
      </x:c>
      <x:c r="G112" s="40" t="n">
        <x:v>400000000</x:v>
      </x:c>
      <x:c r="H112" s="40" t="n">
        <x:v>341538111</x:v>
      </x:c>
      <x:c r="I112" s="40" t="n">
        <x:v>-55332604</x:v>
      </x:c>
      <x:c r="J112" s="31" t="str">
        <x:v>持續</x:v>
      </x:c>
      <x:c r="K112" s="31" t="str">
        <x:v>新臺幣元</x:v>
      </x:c>
      <x:c r="L112" s="43" t="n">
        <x:v>-0.1462</x:v>
      </x:c>
      <x:c r="M112" s="43" t="n">
        <x:v>0.009000000000000001</x:v>
      </x:c>
      <x:c r="N112" s="32" t="str">
        <x:v>國民年金保險基金-115年7月.pdf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新制</x:v>
      </x:c>
      <x:c r="D113" s="31" t="str">
        <x:v>國內</x:v>
      </x:c>
      <x:c r="E113" s="31" t="str">
        <x:v>114年第一次委託經營</x:v>
      </x:c>
      <x:c r="F113" s="31" t="str">
        <x:v>安聯</x:v>
      </x:c>
      <x:c r="G113" s="40" t="n">
        <x:v>0</x:v>
      </x:c>
      <x:c r="H113" s="40" t="n">
        <x:v>0</x:v>
      </x:c>
      <x:c r="I113" s="40" t="n">
        <x:v>-1528889549</x:v>
      </x:c>
      <x:c r="J113" s="31" t="str">
        <x:v>解約</x:v>
      </x:c>
      <x:c r="K113" s="31" t="str">
        <x:v>新臺幣元</x:v>
      </x:c>
      <x:c r="L113" s="43"/>
      <x:c r="M113" s="43"/>
      <x:c r="N113" s="32" t="str"/>
    </x:row>
    <x:row r="114">
      <x:c r="A114" s="37" t="n">
        <x:v>46204</x:v>
      </x:c>
      <x:c r="B114" s="31" t="str">
        <x:v>115年7月</x:v>
      </x:c>
      <x:c r="C114" s="31" t="str">
        <x:v>新制</x:v>
      </x:c>
      <x:c r="D114" s="31" t="str">
        <x:v>國內</x:v>
      </x:c>
      <x:c r="E114" s="31" t="str">
        <x:v>114年第一次委託經營</x:v>
      </x:c>
      <x:c r="F114" s="31" t="str">
        <x:v>施羅德</x:v>
      </x:c>
      <x:c r="G114" s="40" t="n">
        <x:v>0</x:v>
      </x:c>
      <x:c r="H114" s="40" t="n">
        <x:v>0</x:v>
      </x:c>
      <x:c r="I114" s="40" t="n">
        <x:v>-1474347055</x:v>
      </x:c>
      <x:c r="J114" s="31" t="str">
        <x:v>解約</x:v>
      </x:c>
      <x:c r="K114" s="31" t="str">
        <x:v>新臺幣元</x:v>
      </x:c>
      <x:c r="L114" s="43"/>
      <x:c r="M114" s="43"/>
      <x:c r="N114" s="32" t="str"/>
    </x:row>
    <x:row r="115">
      <x:c r="A115" s="37" t="n">
        <x:v>46204</x:v>
      </x:c>
      <x:c r="B115" s="31" t="str">
        <x:v>115年7月</x:v>
      </x:c>
      <x:c r="C115" s="31" t="str">
        <x:v>新制</x:v>
      </x:c>
      <x:c r="D115" s="31" t="str">
        <x:v>國內</x:v>
      </x:c>
      <x:c r="E115" s="31" t="str">
        <x:v>114年第一次委託經營</x:v>
      </x:c>
      <x:c r="F115" s="31" t="str">
        <x:v>野村</x:v>
      </x:c>
      <x:c r="G115" s="40" t="n">
        <x:v>0</x:v>
      </x:c>
      <x:c r="H115" s="40" t="n">
        <x:v>0</x:v>
      </x:c>
      <x:c r="I115" s="40" t="n">
        <x:v>-1489331693</x:v>
      </x:c>
      <x:c r="J115" s="31" t="str">
        <x:v>解約</x:v>
      </x:c>
      <x:c r="K115" s="31" t="str">
        <x:v>新臺幣元</x:v>
      </x:c>
      <x:c r="L115" s="43"/>
      <x:c r="M115" s="43"/>
      <x:c r="N115" s="32" t="str"/>
    </x:row>
    <x:row r="116">
      <x:c r="A116" s="38" t="n">
        <x:v>46204</x:v>
      </x:c>
      <x:c r="B116" s="34" t="str">
        <x:v>115年7月</x:v>
      </x:c>
      <x:c r="C116" s="34" t="str">
        <x:v>新制</x:v>
      </x:c>
      <x:c r="D116" s="34" t="str">
        <x:v>國內</x:v>
      </x:c>
      <x:c r="E116" s="34" t="str">
        <x:v>114年第一次委託經營</x:v>
      </x:c>
      <x:c r="F116" s="34" t="str">
        <x:v>JPMorgan（國內）</x:v>
      </x:c>
      <x:c r="G116" s="41" t="n">
        <x:v>0</x:v>
      </x:c>
      <x:c r="H116" s="41" t="n">
        <x:v>0</x:v>
      </x:c>
      <x:c r="I116" s="41" t="n">
        <x:v>-1492945981</x:v>
      </x:c>
      <x:c r="J116" s="34" t="str">
        <x:v>解約</x:v>
      </x:c>
      <x:c r="K116" s="34" t="str">
        <x:v>新臺幣元</x:v>
      </x:c>
      <x:c r="L116" s="44"/>
      <x:c r="M116" s="44"/>
      <x:c r="N116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2fefa60842ba4dd8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0.890000343322754" hidden="0" customWidth="1"/>
    <x:col min="8" max="8" width="10.890000343322754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持續</x:v>
      </x:c>
      <x:c r="K4" s="28" t="str">
        <x:v>美元</x:v>
      </x:c>
      <x:c r="L4" s="42" t="n">
        <x:v>-0.003</x:v>
      </x:c>
      <x:c r="M4" s="42" t="n">
        <x:v>-0.0048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持續</x:v>
      </x:c>
      <x:c r="K5" s="31" t="str">
        <x:v>美元</x:v>
      </x:c>
      <x:c r="L5" s="43" t="n">
        <x:v>-0.0031</x:v>
      </x:c>
      <x:c r="M5" s="43" t="n">
        <x:v>-0.0048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持續</x:v>
      </x:c>
      <x:c r="K6" s="31" t="str">
        <x:v>美元</x:v>
      </x:c>
      <x:c r="L6" s="43" t="n">
        <x:v>-0.0496</x:v>
      </x:c>
      <x:c r="M6" s="43" t="n">
        <x:v>-0.07490000000000001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持續</x:v>
      </x:c>
      <x:c r="K7" s="31" t="str">
        <x:v>美元</x:v>
      </x:c>
      <x:c r="L7" s="43" t="n">
        <x:v>0.8793000000000001</x:v>
      </x:c>
      <x:c r="M7" s="43" t="n">
        <x:v>0.6754000000000001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持續</x:v>
      </x:c>
      <x:c r="K8" s="31" t="str">
        <x:v>美元</x:v>
      </x:c>
      <x:c r="L8" s="43" t="n">
        <x:v>0.6968000000000001</x:v>
      </x:c>
      <x:c r="M8" s="43" t="n">
        <x:v>0.6754000000000001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持續</x:v>
      </x:c>
      <x:c r="K9" s="31" t="str">
        <x:v>美元</x:v>
      </x:c>
      <x:c r="L9" s="43" t="n">
        <x:v>0.9876999999999999</x:v>
      </x:c>
      <x:c r="M9" s="43" t="n">
        <x:v>0.882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持續</x:v>
      </x:c>
      <x:c r="K10" s="31" t="str">
        <x:v>美元</x:v>
      </x:c>
      <x:c r="L10" s="43" t="n">
        <x:v>0.8826999999999999</x:v>
      </x:c>
      <x:c r="M10" s="43" t="n">
        <x:v>0.8704999999999999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持續</x:v>
      </x:c>
      <x:c r="K11" s="31" t="str">
        <x:v>美元</x:v>
      </x:c>
      <x:c r="L11" s="43" t="n">
        <x:v>0.8973</x:v>
      </x:c>
      <x:c r="M11" s="43" t="n">
        <x:v>0.8704999999999999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新增</x:v>
      </x:c>
      <x:c r="K12" s="31" t="str">
        <x:v>美元</x:v>
      </x:c>
      <x:c r="L12" s="43" t="n">
        <x:v>0.0183</x:v>
      </x:c>
      <x:c r="M12" s="43" t="n">
        <x:v>0.0174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新增</x:v>
      </x:c>
      <x:c r="K13" s="31" t="str">
        <x:v>美元</x:v>
      </x:c>
      <x:c r="L13" s="43" t="n">
        <x:v>0.0146</x:v>
      </x:c>
      <x:c r="M13" s="43" t="n">
        <x:v>0.0174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持續</x:v>
      </x:c>
      <x:c r="K14" s="31" t="str">
        <x:v>美元</x:v>
      </x:c>
      <x:c r="L14" s="43" t="n">
        <x:v>0.1306</x:v>
      </x:c>
      <x:c r="M14" s="43"/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持續</x:v>
      </x:c>
      <x:c r="K15" s="31" t="str">
        <x:v>美元</x:v>
      </x:c>
      <x:c r="L15" s="43" t="n">
        <x:v>0.08070000000000001</x:v>
      </x:c>
      <x:c r="M15" s="43"/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持續</x:v>
      </x:c>
      <x:c r="K16" s="31" t="str">
        <x:v>美元</x:v>
      </x:c>
      <x:c r="L16" s="43" t="n">
        <x:v>0.24969999999999998</x:v>
      </x:c>
      <x:c r="M16" s="43" t="n">
        <x:v>0.2728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持續</x:v>
      </x:c>
      <x:c r="K17" s="31" t="str">
        <x:v>美元</x:v>
      </x:c>
      <x:c r="L17" s="43" t="n">
        <x:v>0.345</x:v>
      </x:c>
      <x:c r="M17" s="43" t="n">
        <x:v>0.3337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持續</x:v>
      </x:c>
      <x:c r="K18" s="31" t="str">
        <x:v>美元</x:v>
      </x:c>
      <x:c r="L18" s="43" t="n">
        <x:v>0.3471</x:v>
      </x:c>
      <x:c r="M18" s="43" t="n">
        <x:v>0.3337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持續</x:v>
      </x:c>
      <x:c r="K19" s="31" t="str">
        <x:v>美元</x:v>
      </x:c>
      <x:c r="L19" s="43" t="n">
        <x:v>0.1744</x:v>
      </x:c>
      <x:c r="M19" s="43" t="n">
        <x:v>0.5083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持續</x:v>
      </x:c>
      <x:c r="K20" s="31" t="str">
        <x:v>美元</x:v>
      </x:c>
      <x:c r="L20" s="43" t="n">
        <x:v>0.5401</x:v>
      </x:c>
      <x:c r="M20" s="43" t="n">
        <x:v>0.5083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持續</x:v>
      </x:c>
      <x:c r="K21" s="31" t="str">
        <x:v>美元</x:v>
      </x:c>
      <x:c r="L21" s="43" t="n">
        <x:v>0.5279</x:v>
      </x:c>
      <x:c r="M21" s="43" t="n">
        <x:v>0.5083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持續</x:v>
      </x:c>
      <x:c r="K22" s="31" t="str">
        <x:v>美元</x:v>
      </x:c>
      <x:c r="L22" s="43" t="n">
        <x:v>0.1457</x:v>
      </x:c>
      <x:c r="M22" s="43" t="n">
        <x:v>0.1376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持續</x:v>
      </x:c>
      <x:c r="K23" s="31" t="str">
        <x:v>美元</x:v>
      </x:c>
      <x:c r="L23" s="43" t="n">
        <x:v>0.1346</x:v>
      </x:c>
      <x:c r="M23" s="43" t="n">
        <x:v>0.1376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持續</x:v>
      </x:c>
      <x:c r="K24" s="31" t="str">
        <x:v>美元</x:v>
      </x:c>
      <x:c r="L24" s="43" t="n">
        <x:v>0.1351</x:v>
      </x:c>
      <x:c r="M24" s="43" t="n">
        <x:v>0.1376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持續</x:v>
      </x:c>
      <x:c r="K25" s="31" t="str">
        <x:v>美元</x:v>
      </x:c>
      <x:c r="L25" s="43" t="n">
        <x:v>0.2121</x:v>
      </x:c>
      <x:c r="M25" s="43" t="n">
        <x:v>0.21989999999999998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新增</x:v>
      </x:c>
      <x:c r="K26" s="31" t="str">
        <x:v>美元</x:v>
      </x:c>
      <x:c r="L26" s="43" t="n">
        <x:v>0.20559999999999998</x:v>
      </x:c>
      <x:c r="M26" s="43" t="n">
        <x:v>0.21989999999999998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持續</x:v>
      </x:c>
      <x:c r="K27" s="31" t="str">
        <x:v>美元</x:v>
      </x:c>
      <x:c r="L27" s="43" t="n">
        <x:v>0.209</x:v>
      </x:c>
      <x:c r="M27" s="43" t="n">
        <x:v>0.21989999999999998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新增</x:v>
      </x:c>
      <x:c r="K28" s="31" t="str">
        <x:v>美元</x:v>
      </x:c>
      <x:c r="L28" s="43" t="n">
        <x:v>0.1375</x:v>
      </x:c>
      <x:c r="M28" s="43" t="n">
        <x:v>0.1247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新增</x:v>
      </x:c>
      <x:c r="K29" s="31" t="str">
        <x:v>美元</x:v>
      </x:c>
      <x:c r="L29" s="43" t="n">
        <x:v>0.1007</x:v>
      </x:c>
      <x:c r="M29" s="43" t="n">
        <x:v>0.1247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持續</x:v>
      </x:c>
      <x:c r="K30" s="31" t="str">
        <x:v>美元</x:v>
      </x:c>
      <x:c r="L30" s="43" t="n">
        <x:v>0.7456</x:v>
      </x:c>
      <x:c r="M30" s="43" t="n">
        <x:v>0.6866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持續</x:v>
      </x:c>
      <x:c r="K31" s="31" t="str">
        <x:v>美元</x:v>
      </x:c>
      <x:c r="L31" s="43" t="n">
        <x:v>0.9170999999999999</x:v>
      </x:c>
      <x:c r="M31" s="43" t="n">
        <x:v>0.914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持續</x:v>
      </x:c>
      <x:c r="K32" s="31" t="str">
        <x:v>美元</x:v>
      </x:c>
      <x:c r="L32" s="43" t="n">
        <x:v>0.9606999999999999</x:v>
      </x:c>
      <x:c r="M32" s="43" t="n">
        <x:v>0.914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持續</x:v>
      </x:c>
      <x:c r="K33" s="31" t="str">
        <x:v>美元</x:v>
      </x:c>
      <x:c r="L33" s="43" t="n">
        <x:v>0.9578</x:v>
      </x:c>
      <x:c r="M33" s="43" t="n">
        <x:v>0.914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持續</x:v>
      </x:c>
      <x:c r="K34" s="31" t="str">
        <x:v>美元</x:v>
      </x:c>
      <x:c r="L34" s="43" t="n">
        <x:v>0.9377</x:v>
      </x:c>
      <x:c r="M34" s="43" t="n">
        <x:v>0.914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持續</x:v>
      </x:c>
      <x:c r="K35" s="31" t="str">
        <x:v>美元</x:v>
      </x:c>
      <x:c r="L35" s="43" t="n">
        <x:v>0.22469999999999998</x:v>
      </x:c>
      <x:c r="M35" s="43"/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持續</x:v>
      </x:c>
      <x:c r="K36" s="31" t="str">
        <x:v>美元</x:v>
      </x:c>
      <x:c r="L36" s="43" t="n">
        <x:v>0.2735</x:v>
      </x:c>
      <x:c r="M36" s="43"/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持續</x:v>
      </x:c>
      <x:c r="K37" s="31" t="str">
        <x:v>美元</x:v>
      </x:c>
      <x:c r="L37" s="43" t="n">
        <x:v>0.2384</x:v>
      </x:c>
      <x:c r="M37" s="43"/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持續</x:v>
      </x:c>
      <x:c r="K38" s="31" t="str">
        <x:v>美元</x:v>
      </x:c>
      <x:c r="L38" s="43" t="n">
        <x:v>0.6008</x:v>
      </x:c>
      <x:c r="M38" s="43" t="n">
        <x:v>0.4412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持續</x:v>
      </x:c>
      <x:c r="K39" s="31" t="str">
        <x:v>美元</x:v>
      </x:c>
      <x:c r="L39" s="43" t="n">
        <x:v>0.3544</x:v>
      </x:c>
      <x:c r="M39" s="43" t="n">
        <x:v>0.4412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持續</x:v>
      </x:c>
      <x:c r="K40" s="31" t="str">
        <x:v>美元</x:v>
      </x:c>
      <x:c r="L40" s="43" t="n">
        <x:v>0.457</x:v>
      </x:c>
      <x:c r="M40" s="43" t="n">
        <x:v>0.4412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持續</x:v>
      </x:c>
      <x:c r="K41" s="31" t="str">
        <x:v>美元</x:v>
      </x:c>
      <x:c r="L41" s="43" t="n">
        <x:v>0.4711</x:v>
      </x:c>
      <x:c r="M41" s="43" t="n">
        <x:v>0.4412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持續</x:v>
      </x:c>
      <x:c r="K42" s="31" t="str">
        <x:v>美元</x:v>
      </x:c>
      <x:c r="L42" s="43" t="n">
        <x:v>0.42229999999999995</x:v>
      </x:c>
      <x:c r="M42" s="43" t="n">
        <x:v>0.4412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持續</x:v>
      </x:c>
      <x:c r="K43" s="31" t="str">
        <x:v>美元</x:v>
      </x:c>
      <x:c r="L43" s="43" t="n">
        <x:v>0.3882</x:v>
      </x:c>
      <x:c r="M43" s="43" t="n">
        <x:v>0.4412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持續</x:v>
      </x:c>
      <x:c r="K44" s="31" t="str">
        <x:v>美元</x:v>
      </x:c>
      <x:c r="L44" s="43" t="n">
        <x:v>0.40740000000000004</x:v>
      </x:c>
      <x:c r="M44" s="43" t="n">
        <x:v>0.4412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持續</x:v>
      </x:c>
      <x:c r="K45" s="31" t="str">
        <x:v>美元</x:v>
      </x:c>
      <x:c r="L45" s="43" t="n">
        <x:v>-0.009000000000000001</x:v>
      </x:c>
      <x:c r="M45" s="43" t="n">
        <x:v>-0.0070999999999999995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持續</x:v>
      </x:c>
      <x:c r="K46" s="31" t="str">
        <x:v>美元</x:v>
      </x:c>
      <x:c r="L46" s="43" t="n">
        <x:v>-0.0073</x:v>
      </x:c>
      <x:c r="M46" s="43" t="n">
        <x:v>-0.0070999999999999995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持續</x:v>
      </x:c>
      <x:c r="K47" s="31" t="str">
        <x:v>美元</x:v>
      </x:c>
      <x:c r="L47" s="43" t="n">
        <x:v>-0.0089</x:v>
      </x:c>
      <x:c r="M47" s="43" t="n">
        <x:v>-0.0070999999999999995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持續</x:v>
      </x:c>
      <x:c r="K48" s="31" t="str">
        <x:v>美元</x:v>
      </x:c>
      <x:c r="L48" s="43" t="n">
        <x:v>0.3861</x:v>
      </x:c>
      <x:c r="M48" s="43" t="n">
        <x:v>0.39909999999999995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持續</x:v>
      </x:c>
      <x:c r="K49" s="31" t="str">
        <x:v>美元</x:v>
      </x:c>
      <x:c r="L49" s="43" t="n">
        <x:v>0.5249</x:v>
      </x:c>
      <x:c r="M49" s="43" t="n">
        <x:v>0.39909999999999995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持續</x:v>
      </x:c>
      <x:c r="K50" s="31" t="str">
        <x:v>美元</x:v>
      </x:c>
      <x:c r="L50" s="43" t="n">
        <x:v>0.3725</x:v>
      </x:c>
      <x:c r="M50" s="43" t="n">
        <x:v>0.39909999999999995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持續</x:v>
      </x:c>
      <x:c r="K51" s="31" t="str">
        <x:v>美元</x:v>
      </x:c>
      <x:c r="L51" s="43" t="n">
        <x:v>0.395</x:v>
      </x:c>
      <x:c r="M51" s="43" t="n">
        <x:v>0.39909999999999995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持續</x:v>
      </x:c>
      <x:c r="K52" s="31" t="str">
        <x:v>美元</x:v>
      </x:c>
      <x:c r="L52" s="43" t="n">
        <x:v>0.2842</x:v>
      </x:c>
      <x:c r="M52" s="43"/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持續</x:v>
      </x:c>
      <x:c r="K53" s="31" t="str">
        <x:v>美元</x:v>
      </x:c>
      <x:c r="L53" s="43" t="n">
        <x:v>0.2163</x:v>
      </x:c>
      <x:c r="M53" s="43"/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持續</x:v>
      </x:c>
      <x:c r="K54" s="31" t="str">
        <x:v>美元</x:v>
      </x:c>
      <x:c r="L54" s="43" t="n">
        <x:v>0.2234</x:v>
      </x:c>
      <x:c r="M54" s="43"/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持續</x:v>
      </x:c>
      <x:c r="K55" s="31" t="str">
        <x:v>美元</x:v>
      </x:c>
      <x:c r="L55" s="43" t="n">
        <x:v>0.3411</x:v>
      </x:c>
      <x:c r="M55" s="43"/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持續</x:v>
      </x:c>
      <x:c r="K56" s="31" t="str">
        <x:v>美元</x:v>
      </x:c>
      <x:c r="L56" s="43" t="n">
        <x:v>0.2576</x:v>
      </x:c>
      <x:c r="M56" s="43"/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持續</x:v>
      </x:c>
      <x:c r="K57" s="31" t="str">
        <x:v>美元</x:v>
      </x:c>
      <x:c r="L57" s="43" t="n">
        <x:v>0.8184999999999999</x:v>
      </x:c>
      <x:c r="M57" s="43"/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持續</x:v>
      </x:c>
      <x:c r="K58" s="31" t="str">
        <x:v>美元</x:v>
      </x:c>
      <x:c r="L58" s="43" t="n">
        <x:v>0.7273000000000001</x:v>
      </x:c>
      <x:c r="M58" s="43"/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持續</x:v>
      </x:c>
      <x:c r="K59" s="31" t="str">
        <x:v>美元</x:v>
      </x:c>
      <x:c r="L59" s="43" t="n">
        <x:v>0.7391</x:v>
      </x:c>
      <x:c r="M59" s="43"/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持續</x:v>
      </x:c>
      <x:c r="K60" s="31" t="str">
        <x:v>美元</x:v>
      </x:c>
      <x:c r="L60" s="43" t="n">
        <x:v>0.7005</x:v>
      </x:c>
      <x:c r="M60" s="43"/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持續</x:v>
      </x:c>
      <x:c r="K61" s="31" t="str">
        <x:v>美元</x:v>
      </x:c>
      <x:c r="L61" s="43" t="n">
        <x:v>0.8192</x:v>
      </x:c>
      <x:c r="M61" s="43"/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持續</x:v>
      </x:c>
      <x:c r="K62" s="31" t="str">
        <x:v>美元</x:v>
      </x:c>
      <x:c r="L62" s="43" t="n">
        <x:v>0.20929999999999999</x:v>
      </x:c>
      <x:c r="M62" s="43"/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持續</x:v>
      </x:c>
      <x:c r="K63" s="31" t="str">
        <x:v>美元</x:v>
      </x:c>
      <x:c r="L63" s="43" t="n">
        <x:v>0.19640000000000002</x:v>
      </x:c>
      <x:c r="M63" s="43"/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持續</x:v>
      </x:c>
      <x:c r="K64" s="31" t="str">
        <x:v>美元</x:v>
      </x:c>
      <x:c r="L64" s="43" t="n">
        <x:v>0.2073</x:v>
      </x:c>
      <x:c r="M64" s="43"/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持續</x:v>
      </x:c>
      <x:c r="K65" s="31" t="str">
        <x:v>美元</x:v>
      </x:c>
      <x:c r="L65" s="43" t="n">
        <x:v>0.21350000000000002</x:v>
      </x:c>
      <x:c r="M65" s="43"/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持續</x:v>
      </x:c>
      <x:c r="K66" s="31" t="str">
        <x:v>美元</x:v>
      </x:c>
      <x:c r="L66" s="43" t="n">
        <x:v>0.126</x:v>
      </x:c>
      <x:c r="M66" s="43"/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持續</x:v>
      </x:c>
      <x:c r="K67" s="31" t="str">
        <x:v>美元</x:v>
      </x:c>
      <x:c r="L67" s="43" t="n">
        <x:v>0.177</x:v>
      </x:c>
      <x:c r="M67" s="43"/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持續</x:v>
      </x:c>
      <x:c r="K68" s="31" t="str">
        <x:v>美元</x:v>
      </x:c>
      <x:c r="L68" s="43" t="n">
        <x:v>0.38880000000000003</x:v>
      </x:c>
      <x:c r="M68" s="43" t="n">
        <x:v>0.4351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新增</x:v>
      </x:c>
      <x:c r="K69" s="31" t="str">
        <x:v>美元</x:v>
      </x:c>
      <x:c r="L69" s="43" t="n">
        <x:v>0.433</x:v>
      </x:c>
      <x:c r="M69" s="43" t="n">
        <x:v>0.4351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持續</x:v>
      </x:c>
      <x:c r="K70" s="31" t="str">
        <x:v>美元</x:v>
      </x:c>
      <x:c r="L70" s="43" t="n">
        <x:v>0.44060000000000005</x:v>
      </x:c>
      <x:c r="M70" s="43" t="n">
        <x:v>0.4351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持續</x:v>
      </x:c>
      <x:c r="K71" s="31" t="str">
        <x:v>美元</x:v>
      </x:c>
      <x:c r="L71" s="43" t="n">
        <x:v>0.4384</x:v>
      </x:c>
      <x:c r="M71" s="43" t="n">
        <x:v>0.4351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持續</x:v>
      </x:c>
      <x:c r="K72" s="31" t="str">
        <x:v>美元</x:v>
      </x:c>
      <x:c r="L72" s="43" t="n">
        <x:v>0.15439999999999998</x:v>
      </x:c>
      <x:c r="M72" s="43" t="n">
        <x:v>0.1201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持續</x:v>
      </x:c>
      <x:c r="K73" s="31" t="str">
        <x:v>美元</x:v>
      </x:c>
      <x:c r="L73" s="43" t="n">
        <x:v>0.1727</x:v>
      </x:c>
      <x:c r="M73" s="43" t="n">
        <x:v>0.1201</x:v>
      </x:c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持續</x:v>
      </x:c>
      <x:c r="K74" s="31" t="str">
        <x:v>美元</x:v>
      </x:c>
      <x:c r="L74" s="43" t="n">
        <x:v>0.1631</x:v>
      </x:c>
      <x:c r="M74" s="43" t="n">
        <x:v>0.1201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持續</x:v>
      </x:c>
      <x:c r="K75" s="31" t="str">
        <x:v>美元</x:v>
      </x:c>
      <x:c r="L75" s="43" t="n">
        <x:v>0.15960000000000002</x:v>
      </x:c>
      <x:c r="M75" s="43" t="n">
        <x:v>0.1201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持續</x:v>
      </x:c>
      <x:c r="K76" s="31" t="str">
        <x:v>美元</x:v>
      </x:c>
      <x:c r="L76" s="43" t="n">
        <x:v>0.1117</x:v>
      </x:c>
      <x:c r="M76" s="43" t="n">
        <x:v>0.1043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持續</x:v>
      </x:c>
      <x:c r="K77" s="31" t="str">
        <x:v>美元</x:v>
      </x:c>
      <x:c r="L77" s="43" t="n">
        <x:v>0.1032</x:v>
      </x:c>
      <x:c r="M77" s="43" t="n">
        <x:v>0.1043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持續</x:v>
      </x:c>
      <x:c r="K78" s="31" t="str">
        <x:v>美元</x:v>
      </x:c>
      <x:c r="L78" s="43" t="n">
        <x:v>0.1047</x:v>
      </x:c>
      <x:c r="M78" s="43" t="n">
        <x:v>0.1043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持續</x:v>
      </x:c>
      <x:c r="K79" s="31" t="str">
        <x:v>美元</x:v>
      </x:c>
      <x:c r="L79" s="43" t="n">
        <x:v>0.1054</x:v>
      </x:c>
      <x:c r="M79" s="43" t="n">
        <x:v>0.1043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持續</x:v>
      </x:c>
      <x:c r="K80" s="31" t="str">
        <x:v>美元</x:v>
      </x:c>
      <x:c r="L80" s="43" t="n">
        <x:v>0.3284</x:v>
      </x:c>
      <x:c r="M80" s="43" t="n">
        <x:v>0.2753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持續</x:v>
      </x:c>
      <x:c r="K81" s="31" t="str">
        <x:v>美元</x:v>
      </x:c>
      <x:c r="L81" s="43" t="n">
        <x:v>-0.047599999999999996</x:v>
      </x:c>
      <x:c r="M81" s="43" t="n">
        <x:v>-0.07490000000000001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持續</x:v>
      </x:c>
      <x:c r="K82" s="31" t="str">
        <x:v>美元</x:v>
      </x:c>
      <x:c r="L82" s="43" t="n">
        <x:v>-0.07769999999999999</x:v>
      </x:c>
      <x:c r="M82" s="43" t="n">
        <x:v>-0.07490000000000001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持續</x:v>
      </x:c>
      <x:c r="K83" s="31" t="str">
        <x:v>美元</x:v>
      </x:c>
      <x:c r="L83" s="43" t="n">
        <x:v>0.8691</x:v>
      </x:c>
      <x:c r="M83" s="43" t="n">
        <x:v>0.6754000000000001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持續</x:v>
      </x:c>
      <x:c r="K84" s="31" t="str">
        <x:v>美元</x:v>
      </x:c>
      <x:c r="L84" s="43" t="n">
        <x:v>0.9747</x:v>
      </x:c>
      <x:c r="M84" s="43"/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新增</x:v>
      </x:c>
      <x:c r="K85" s="31" t="str">
        <x:v>美元</x:v>
      </x:c>
      <x:c r="L85" s="43" t="n">
        <x:v>0.0151</x:v>
      </x:c>
      <x:c r="M85" s="43" t="n">
        <x:v>0.0174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新增</x:v>
      </x:c>
      <x:c r="K86" s="31" t="str">
        <x:v>美元</x:v>
      </x:c>
      <x:c r="L86" s="43" t="n">
        <x:v>0.018000000000000002</x:v>
      </x:c>
      <x:c r="M86" s="43" t="n">
        <x:v>0.0174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UBS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新增</x:v>
      </x:c>
      <x:c r="K87" s="31" t="str">
        <x:v>美元</x:v>
      </x:c>
      <x:c r="L87" s="43" t="n">
        <x:v>0.0175</x:v>
      </x:c>
      <x:c r="M87" s="43" t="n">
        <x:v>0.0174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新增</x:v>
      </x:c>
      <x:c r="K88" s="31" t="str">
        <x:v>美元</x:v>
      </x:c>
      <x:c r="L88" s="43" t="n">
        <x:v>0.016</x:v>
      </x:c>
      <x:c r="M88" s="43" t="n">
        <x:v>0.0174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持續</x:v>
      </x:c>
      <x:c r="K89" s="31" t="str">
        <x:v>美元</x:v>
      </x:c>
      <x:c r="L89" s="43" t="n">
        <x:v>0.34740000000000004</x:v>
      </x:c>
      <x:c r="M89" s="43" t="n">
        <x:v>0.3337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持續</x:v>
      </x:c>
      <x:c r="K90" s="31" t="str">
        <x:v>美元</x:v>
      </x:c>
      <x:c r="L90" s="43" t="n">
        <x:v>0.17370000000000002</x:v>
      </x:c>
      <x:c r="M90" s="43" t="n">
        <x:v>0.5083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持續</x:v>
      </x:c>
      <x:c r="K91" s="31" t="str">
        <x:v>美元</x:v>
      </x:c>
      <x:c r="L91" s="43" t="n">
        <x:v>0.5386</x:v>
      </x:c>
      <x:c r="M91" s="43" t="n">
        <x:v>0.5083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持續</x:v>
      </x:c>
      <x:c r="K92" s="31" t="str">
        <x:v>美元</x:v>
      </x:c>
      <x:c r="L92" s="43" t="n">
        <x:v>0.5278</x:v>
      </x:c>
      <x:c r="M92" s="43" t="n">
        <x:v>0.5083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持續</x:v>
      </x:c>
      <x:c r="K93" s="31" t="str">
        <x:v>美元</x:v>
      </x:c>
      <x:c r="L93" s="43" t="n">
        <x:v>0.4548</x:v>
      </x:c>
      <x:c r="M93" s="43" t="n">
        <x:v>0.4003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持續</x:v>
      </x:c>
      <x:c r="K94" s="31" t="str">
        <x:v>美元</x:v>
      </x:c>
      <x:c r="L94" s="43" t="n">
        <x:v>0.13</x:v>
      </x:c>
      <x:c r="M94" s="43"/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新增</x:v>
      </x:c>
      <x:c r="K95" s="31" t="str">
        <x:v>美元</x:v>
      </x:c>
      <x:c r="L95" s="43" t="n">
        <x:v>-0.001</x:v>
      </x:c>
      <x:c r="M95" s="43"/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新增</x:v>
      </x:c>
      <x:c r="K96" s="31" t="str">
        <x:v>美元</x:v>
      </x:c>
      <x:c r="L96" s="43" t="n">
        <x:v>0.0049</x:v>
      </x:c>
      <x:c r="M96" s="43"/>
      <x:c r="N96" s="32" t="str">
        <x:v>勞工退休基金-115年7月.pdf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新增</x:v>
      </x:c>
      <x:c r="K97" s="31" t="str">
        <x:v>美元</x:v>
      </x:c>
      <x:c r="L97" s="43" t="n">
        <x:v>0.0070999999999999995</x:v>
      </x:c>
      <x:c r="M97" s="43"/>
      <x:c r="N97" s="32" t="str">
        <x:v>勞工退休基金-115年7月.pdf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持續</x:v>
      </x:c>
      <x:c r="K98" s="31" t="str">
        <x:v>美元</x:v>
      </x:c>
      <x:c r="L98" s="43" t="n">
        <x:v>0.9107999999999999</x:v>
      </x:c>
      <x:c r="M98" s="43" t="n">
        <x:v>0.914</x:v>
      </x:c>
      <x:c r="N98" s="32" t="str">
        <x:v>勞工退休基金-115年7月.pdf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持續</x:v>
      </x:c>
      <x:c r="K99" s="31" t="str">
        <x:v>美元</x:v>
      </x:c>
      <x:c r="L99" s="43" t="n">
        <x:v>0.9586</x:v>
      </x:c>
      <x:c r="M99" s="43" t="n">
        <x:v>0.914</x:v>
      </x:c>
      <x:c r="N99" s="32" t="str">
        <x:v>勞工退休基金-115年7月.pdf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持續</x:v>
      </x:c>
      <x:c r="K100" s="31" t="str">
        <x:v>美元</x:v>
      </x:c>
      <x:c r="L100" s="43" t="n">
        <x:v>0.9547</x:v>
      </x:c>
      <x:c r="M100" s="43" t="n">
        <x:v>0.914</x:v>
      </x:c>
      <x:c r="N100" s="32" t="str">
        <x:v>勞工退休基金-115年7月.pdf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持續</x:v>
      </x:c>
      <x:c r="K101" s="31" t="str">
        <x:v>美元</x:v>
      </x:c>
      <x:c r="L101" s="43" t="n">
        <x:v>0.9358</x:v>
      </x:c>
      <x:c r="M101" s="43" t="n">
        <x:v>0.914</x:v>
      </x:c>
      <x:c r="N101" s="32" t="str">
        <x:v>勞工退休基金-115年7月.pdf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持續</x:v>
      </x:c>
      <x:c r="K102" s="31" t="str">
        <x:v>美元</x:v>
      </x:c>
      <x:c r="L102" s="43" t="n">
        <x:v>0.2243</x:v>
      </x:c>
      <x:c r="M102" s="43"/>
      <x:c r="N102" s="32" t="str">
        <x:v>勞工退休基金-115年7月.pdf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持續</x:v>
      </x:c>
      <x:c r="K103" s="31" t="str">
        <x:v>美元</x:v>
      </x:c>
      <x:c r="L103" s="43" t="n">
        <x:v>0.2789</x:v>
      </x:c>
      <x:c r="M103" s="43"/>
      <x:c r="N103" s="32" t="str">
        <x:v>勞工退休基金-115年7月.pdf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持續</x:v>
      </x:c>
      <x:c r="K104" s="31" t="str">
        <x:v>美元</x:v>
      </x:c>
      <x:c r="L104" s="43" t="n">
        <x:v>0.247</x:v>
      </x:c>
      <x:c r="M104" s="43"/>
      <x:c r="N104" s="32" t="str">
        <x:v>勞工退休基金-115年7月.pdf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持續</x:v>
      </x:c>
      <x:c r="K105" s="31" t="str">
        <x:v>美元</x:v>
      </x:c>
      <x:c r="L105" s="43" t="n">
        <x:v>0.6017</x:v>
      </x:c>
      <x:c r="M105" s="43"/>
      <x:c r="N105" s="32" t="str">
        <x:v>勞工退休基金-115年7月.pdf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持續</x:v>
      </x:c>
      <x:c r="K106" s="31" t="str">
        <x:v>美元</x:v>
      </x:c>
      <x:c r="L106" s="43" t="n">
        <x:v>0.3539</x:v>
      </x:c>
      <x:c r="M106" s="43"/>
      <x:c r="N106" s="32" t="str">
        <x:v>勞工退休基金-115年7月.pdf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持續</x:v>
      </x:c>
      <x:c r="K107" s="31" t="str">
        <x:v>美元</x:v>
      </x:c>
      <x:c r="L107" s="43" t="n">
        <x:v>0.4579</x:v>
      </x:c>
      <x:c r="M107" s="43"/>
      <x:c r="N107" s="32" t="str">
        <x:v>勞工退休基金-115年7月.pdf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持續</x:v>
      </x:c>
      <x:c r="K108" s="31" t="str">
        <x:v>美元</x:v>
      </x:c>
      <x:c r="L108" s="43" t="n">
        <x:v>0.3895</x:v>
      </x:c>
      <x:c r="M108" s="43" t="n">
        <x:v>0.39909999999999995</x:v>
      </x:c>
      <x:c r="N108" s="32" t="str">
        <x:v>勞工退休基金-115年7月.pdf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持續</x:v>
      </x:c>
      <x:c r="K109" s="31" t="str">
        <x:v>美元</x:v>
      </x:c>
      <x:c r="L109" s="43" t="n">
        <x:v>0.5423</x:v>
      </x:c>
      <x:c r="M109" s="43" t="n">
        <x:v>0.39909999999999995</x:v>
      </x:c>
      <x:c r="N109" s="32" t="str">
        <x:v>勞工退休基金-115年7月.pdf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持續</x:v>
      </x:c>
      <x:c r="K110" s="31" t="str">
        <x:v>美元</x:v>
      </x:c>
      <x:c r="L110" s="43" t="n">
        <x:v>0.38189999999999996</x:v>
      </x:c>
      <x:c r="M110" s="43" t="n">
        <x:v>0.39909999999999995</x:v>
      </x:c>
      <x:c r="N110" s="32" t="str">
        <x:v>勞工退休基金-115年7月.pdf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持續</x:v>
      </x:c>
      <x:c r="K111" s="31" t="str">
        <x:v>美元</x:v>
      </x:c>
      <x:c r="L111" s="43" t="n">
        <x:v>0.40380000000000005</x:v>
      </x:c>
      <x:c r="M111" s="43" t="n">
        <x:v>0.39909999999999995</x:v>
      </x:c>
      <x:c r="N111" s="32" t="str">
        <x:v>勞工退休基金-115年7月.pdf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持續</x:v>
      </x:c>
      <x:c r="K112" s="31" t="str">
        <x:v>美元</x:v>
      </x:c>
      <x:c r="L112" s="43" t="n">
        <x:v>0.2121</x:v>
      </x:c>
      <x:c r="M112" s="43" t="n">
        <x:v>0.6374</x:v>
      </x:c>
      <x:c r="N112" s="32" t="str">
        <x:v>勞工保險基金-115年7月.pdf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持續</x:v>
      </x:c>
      <x:c r="K113" s="31" t="str">
        <x:v>美元</x:v>
      </x:c>
      <x:c r="L113" s="43" t="n">
        <x:v>0.3655</x:v>
      </x:c>
      <x:c r="M113" s="43" t="n">
        <x:v>0.36829999999999996</x:v>
      </x:c>
      <x:c r="N113" s="32" t="str">
        <x:v>勞工保險基金-115年7月.pdf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持續</x:v>
      </x:c>
      <x:c r="K114" s="31" t="str">
        <x:v>美元</x:v>
      </x:c>
      <x:c r="L114" s="43" t="n">
        <x:v>0.0716</x:v>
      </x:c>
      <x:c r="M114" s="43" t="n">
        <x:v>0.0633</x:v>
      </x:c>
      <x:c r="N114" s="32" t="str">
        <x:v>勞工保險基金-115年7月.pdf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持續</x:v>
      </x:c>
      <x:c r="K115" s="31" t="str">
        <x:v>美元</x:v>
      </x:c>
      <x:c r="L115" s="43" t="n">
        <x:v>0.0672</x:v>
      </x:c>
      <x:c r="M115" s="43" t="n">
        <x:v>0.0633</x:v>
      </x:c>
      <x:c r="N115" s="32" t="str">
        <x:v>勞工保險基金-115年7月.pdf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持續</x:v>
      </x:c>
      <x:c r="K116" s="31" t="str">
        <x:v>美元</x:v>
      </x:c>
      <x:c r="L116" s="43" t="n">
        <x:v>0.2119</x:v>
      </x:c>
      <x:c r="M116" s="43" t="n">
        <x:v>0.21989999999999998</x:v>
      </x:c>
      <x:c r="N116" s="32" t="str">
        <x:v>勞工保險基金-115年7月.pdf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持續</x:v>
      </x:c>
      <x:c r="K117" s="31" t="str">
        <x:v>美元</x:v>
      </x:c>
      <x:c r="L117" s="43" t="n">
        <x:v>0.2057</x:v>
      </x:c>
      <x:c r="M117" s="43" t="n">
        <x:v>0.21989999999999998</x:v>
      </x:c>
      <x:c r="N117" s="32" t="str">
        <x:v>勞工保險基金-115年7月.pdf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持續</x:v>
      </x:c>
      <x:c r="K118" s="31" t="str">
        <x:v>美元</x:v>
      </x:c>
      <x:c r="L118" s="43" t="n">
        <x:v>0.20929999999999999</x:v>
      </x:c>
      <x:c r="M118" s="43" t="n">
        <x:v>0.21989999999999998</x:v>
      </x:c>
      <x:c r="N118" s="32" t="str">
        <x:v>勞工保險基金-115年7月.pdf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持續</x:v>
      </x:c>
      <x:c r="K119" s="31" t="str">
        <x:v>美元</x:v>
      </x:c>
      <x:c r="L119" s="43" t="n">
        <x:v>0.11720000000000001</x:v>
      </x:c>
      <x:c r="M119" s="43" t="n">
        <x:v>0.1247</x:v>
      </x:c>
      <x:c r="N119" s="32" t="str">
        <x:v>勞工保險基金-115年7月.pdf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持續</x:v>
      </x:c>
      <x:c r="K120" s="31" t="str">
        <x:v>美元</x:v>
      </x:c>
      <x:c r="L120" s="43" t="n">
        <x:v>0.1374</x:v>
      </x:c>
      <x:c r="M120" s="43" t="n">
        <x:v>0.1247</x:v>
      </x:c>
      <x:c r="N120" s="32" t="str">
        <x:v>勞工保險基金-115年7月.pdf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持續</x:v>
      </x:c>
      <x:c r="K121" s="31" t="str">
        <x:v>美元</x:v>
      </x:c>
      <x:c r="L121" s="43" t="n">
        <x:v>0.1007</x:v>
      </x:c>
      <x:c r="M121" s="43" t="n">
        <x:v>0.1247</x:v>
      </x:c>
      <x:c r="N121" s="32" t="str">
        <x:v>勞工保險基金-115年7月.pdf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持續</x:v>
      </x:c>
      <x:c r="K122" s="31" t="str">
        <x:v>美元</x:v>
      </x:c>
      <x:c r="L122" s="43" t="n">
        <x:v>0.1392</x:v>
      </x:c>
      <x:c r="M122" s="43" t="n">
        <x:v>0.1307</x:v>
      </x:c>
      <x:c r="N122" s="32" t="str">
        <x:v>勞工保險基金-115年7月.pdf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持續</x:v>
      </x:c>
      <x:c r="K123" s="31" t="str">
        <x:v>美元</x:v>
      </x:c>
      <x:c r="L123" s="43" t="n">
        <x:v>0.1249</x:v>
      </x:c>
      <x:c r="M123" s="43" t="n">
        <x:v>0.1307</x:v>
      </x:c>
      <x:c r="N123" s="32" t="str">
        <x:v>勞工保險基金-115年7月.pdf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新增</x:v>
      </x:c>
      <x:c r="K124" s="31" t="str">
        <x:v>美元</x:v>
      </x:c>
      <x:c r="L124" s="43" t="n">
        <x:v>0.0058</x:v>
      </x:c>
      <x:c r="M124" s="43"/>
      <x:c r="N124" s="32" t="str">
        <x:v>勞工保險基金-115年7月.pdf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新增</x:v>
      </x:c>
      <x:c r="K125" s="31" t="str">
        <x:v>美元</x:v>
      </x:c>
      <x:c r="L125" s="43" t="n">
        <x:v>0.008</x:v>
      </x:c>
      <x:c r="M125" s="43"/>
      <x:c r="N125" s="32" t="str">
        <x:v>勞工保險基金-115年7月.pdf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持續</x:v>
      </x:c>
      <x:c r="K126" s="31" t="str">
        <x:v>美元</x:v>
      </x:c>
      <x:c r="L126" s="43" t="n">
        <x:v>0.755</x:v>
      </x:c>
      <x:c r="M126" s="43" t="n">
        <x:v>0.6866</x:v>
      </x:c>
      <x:c r="N126" s="32" t="str">
        <x:v>勞工保險基金-115年7月.pdf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持續</x:v>
      </x:c>
      <x:c r="K127" s="31" t="str">
        <x:v>美元</x:v>
      </x:c>
      <x:c r="L127" s="43" t="n">
        <x:v>0.2249</x:v>
      </x:c>
      <x:c r="M127" s="43"/>
      <x:c r="N127" s="32" t="str">
        <x:v>勞工保險基金-115年7月.pdf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持續</x:v>
      </x:c>
      <x:c r="K128" s="31" t="str">
        <x:v>美元</x:v>
      </x:c>
      <x:c r="L128" s="43" t="n">
        <x:v>0.2776</x:v>
      </x:c>
      <x:c r="M128" s="43"/>
      <x:c r="N128" s="32" t="str">
        <x:v>勞工保險基金-115年7月.pdf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持續</x:v>
      </x:c>
      <x:c r="K129" s="31" t="str">
        <x:v>美元</x:v>
      </x:c>
      <x:c r="L129" s="43" t="n">
        <x:v>0.24670000000000003</x:v>
      </x:c>
      <x:c r="M129" s="43"/>
      <x:c r="N129" s="32" t="str">
        <x:v>勞工保險基金-115年7月.pdf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持續</x:v>
      </x:c>
      <x:c r="K130" s="31" t="str">
        <x:v>美元</x:v>
      </x:c>
      <x:c r="L130" s="43" t="n">
        <x:v>0.2122</x:v>
      </x:c>
      <x:c r="M130" s="43" t="n">
        <x:v>0.21989999999999998</x:v>
      </x:c>
      <x:c r="N130" s="32" t="str">
        <x:v>國民年金保險基金-115年7月.pdf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持續</x:v>
      </x:c>
      <x:c r="K131" s="31" t="str">
        <x:v>美元</x:v>
      </x:c>
      <x:c r="L131" s="43" t="n">
        <x:v>0.2054</x:v>
      </x:c>
      <x:c r="M131" s="43" t="n">
        <x:v>0.21989999999999998</x:v>
      </x:c>
      <x:c r="N131" s="32" t="str">
        <x:v>國民年金保險基金-115年7月.pdf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持續</x:v>
      </x:c>
      <x:c r="K132" s="31" t="str">
        <x:v>美元</x:v>
      </x:c>
      <x:c r="L132" s="43" t="n">
        <x:v>0.1391</x:v>
      </x:c>
      <x:c r="M132" s="43" t="n">
        <x:v>0.1307</x:v>
      </x:c>
      <x:c r="N132" s="32" t="str">
        <x:v>國民年金保險基金-115年7月.pdf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新增</x:v>
      </x:c>
      <x:c r="K133" s="31" t="str">
        <x:v>美元</x:v>
      </x:c>
      <x:c r="L133" s="43" t="n">
        <x:v>-0.0134</x:v>
      </x:c>
      <x:c r="M133" s="43" t="n">
        <x:v>-0.0173</x:v>
      </x:c>
      <x:c r="N133" s="32" t="str">
        <x:v>國民年金保險基金-115年7月.pdf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持續</x:v>
      </x:c>
      <x:c r="K134" s="31" t="str">
        <x:v>美元</x:v>
      </x:c>
      <x:c r="L134" s="43" t="n">
        <x:v>0.7531</x:v>
      </x:c>
      <x:c r="M134" s="43" t="n">
        <x:v>0.6866</x:v>
      </x:c>
      <x:c r="N134" s="32" t="str">
        <x:v>國民年金保險基金-115年7月.pdf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持續</x:v>
      </x:c>
      <x:c r="K135" s="31" t="str">
        <x:v>美元</x:v>
      </x:c>
      <x:c r="L135" s="43" t="n">
        <x:v>0.9148000000000001</x:v>
      </x:c>
      <x:c r="M135" s="43" t="n">
        <x:v>0.914</x:v>
      </x:c>
      <x:c r="N135" s="32" t="str">
        <x:v>國民年金保險基金-115年7月.pdf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持續</x:v>
      </x:c>
      <x:c r="K136" s="31" t="str">
        <x:v>美元</x:v>
      </x:c>
      <x:c r="L136" s="43" t="n">
        <x:v>0.9578</x:v>
      </x:c>
      <x:c r="M136" s="43" t="n">
        <x:v>0.914</x:v>
      </x:c>
      <x:c r="N136" s="32" t="str">
        <x:v>國民年金保險基金-115年7月.pdf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持續</x:v>
      </x:c>
      <x:c r="K137" s="31" t="str">
        <x:v>美元</x:v>
      </x:c>
      <x:c r="L137" s="43" t="n">
        <x:v>0.9549</x:v>
      </x:c>
      <x:c r="M137" s="43" t="n">
        <x:v>0.914</x:v>
      </x:c>
      <x:c r="N137" s="32" t="str">
        <x:v>國民年金保險基金-115年7月.pdf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持續</x:v>
      </x:c>
      <x:c r="K138" s="31" t="str">
        <x:v>美元</x:v>
      </x:c>
      <x:c r="L138" s="43" t="n">
        <x:v>0.9399</x:v>
      </x:c>
      <x:c r="M138" s="43" t="n">
        <x:v>0.914</x:v>
      </x:c>
      <x:c r="N138" s="32" t="str">
        <x:v>國民年金保險基金-115年7月.pdf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持續</x:v>
      </x:c>
      <x:c r="K139" s="31" t="str">
        <x:v>美元</x:v>
      </x:c>
      <x:c r="L139" s="43" t="n">
        <x:v>0.22469999999999998</x:v>
      </x:c>
      <x:c r="M139" s="43"/>
      <x:c r="N139" s="32" t="str">
        <x:v>國民年金保險基金-115年7月.pdf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持續</x:v>
      </x:c>
      <x:c r="K140" s="31" t="str">
        <x:v>美元</x:v>
      </x:c>
      <x:c r="L140" s="43" t="n">
        <x:v>0.2867</x:v>
      </x:c>
      <x:c r="M140" s="43"/>
      <x:c r="N140" s="32" t="str">
        <x:v>國民年金保險基金-115年7月.pdf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持續</x:v>
      </x:c>
      <x:c r="K141" s="31" t="str">
        <x:v>美元</x:v>
      </x:c>
      <x:c r="L141" s="43" t="n">
        <x:v>0.2432</x:v>
      </x:c>
      <x:c r="M141" s="43"/>
      <x:c r="N141" s="32" t="str">
        <x:v>國民年金保險基金-115年7月.pdf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持續</x:v>
      </x:c>
      <x:c r="K142" s="31" t="str">
        <x:v>美元</x:v>
      </x:c>
      <x:c r="L142" s="43" t="n">
        <x:v>0.6015999999999999</x:v>
      </x:c>
      <x:c r="M142" s="43"/>
      <x:c r="N142" s="32" t="str">
        <x:v>國民年金保險基金-115年7月.pdf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持續</x:v>
      </x:c>
      <x:c r="K143" s="31" t="str">
        <x:v>美元</x:v>
      </x:c>
      <x:c r="L143" s="43" t="n">
        <x:v>0.3544</x:v>
      </x:c>
      <x:c r="M143" s="43"/>
      <x:c r="N143" s="32" t="str">
        <x:v>國民年金保險基金-115年7月.pdf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持續</x:v>
      </x:c>
      <x:c r="K144" s="31" t="str">
        <x:v>美元</x:v>
      </x:c>
      <x:c r="L144" s="43" t="n">
        <x:v>0.4575</x:v>
      </x:c>
      <x:c r="M144" s="43"/>
      <x:c r="N144" s="32" t="str">
        <x:v>國民年金保險基金-115年7月.pdf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持續</x:v>
      </x:c>
      <x:c r="K145" s="31" t="str">
        <x:v>美元</x:v>
      </x:c>
      <x:c r="L145" s="43" t="n">
        <x:v>0.4728</x:v>
      </x:c>
      <x:c r="M145" s="43"/>
      <x:c r="N145" s="32" t="str">
        <x:v>國民年金保險基金-115年7月.pdf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持續</x:v>
      </x:c>
      <x:c r="K146" s="31" t="str">
        <x:v>美元</x:v>
      </x:c>
      <x:c r="L146" s="43" t="n">
        <x:v>-0.009399999999999999</x:v>
      </x:c>
      <x:c r="M146" s="43" t="n">
        <x:v>-0.0070999999999999995</x:v>
      </x:c>
      <x:c r="N146" s="32" t="str">
        <x:v>國民年金保險基金-115年7月.pdf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持續</x:v>
      </x:c>
      <x:c r="K147" s="31" t="str">
        <x:v>美元</x:v>
      </x:c>
      <x:c r="L147" s="43" t="n">
        <x:v>-0.0077</x:v>
      </x:c>
      <x:c r="M147" s="43" t="n">
        <x:v>-0.0070999999999999995</x:v>
      </x:c>
      <x:c r="N147" s="32" t="str">
        <x:v>國民年金保險基金-115年7月.pdf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持續</x:v>
      </x:c>
      <x:c r="K148" s="31" t="str">
        <x:v>美元</x:v>
      </x:c>
      <x:c r="L148" s="43" t="n">
        <x:v>-0.0089</x:v>
      </x:c>
      <x:c r="M148" s="43" t="n">
        <x:v>-0.0070999999999999995</x:v>
      </x:c>
      <x:c r="N148" s="32" t="str">
        <x:v>國民年金保險基金-115年7月.pdf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持續</x:v>
      </x:c>
      <x:c r="K149" s="31" t="str">
        <x:v>美元</x:v>
      </x:c>
      <x:c r="L149" s="43" t="n">
        <x:v>0.2807</x:v>
      </x:c>
      <x:c r="M149" s="43"/>
      <x:c r="N149" s="32" t="str">
        <x:v>國民年金保險基金-115年7月.pdf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持續</x:v>
      </x:c>
      <x:c r="K150" s="31" t="str">
        <x:v>美元</x:v>
      </x:c>
      <x:c r="L150" s="43" t="n">
        <x:v>0.21559999999999999</x:v>
      </x:c>
      <x:c r="M150" s="43"/>
      <x:c r="N150" s="32" t="str">
        <x:v>國民年金保險基金-115年7月.pdf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持續</x:v>
      </x:c>
      <x:c r="K151" s="31" t="str">
        <x:v>美元</x:v>
      </x:c>
      <x:c r="L151" s="43" t="n">
        <x:v>0.22719999999999999</x:v>
      </x:c>
      <x:c r="M151" s="43"/>
      <x:c r="N151" s="32" t="str">
        <x:v>國民年金保險基金-115年7月.pdf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持續</x:v>
      </x:c>
      <x:c r="K152" s="31" t="str">
        <x:v>美元</x:v>
      </x:c>
      <x:c r="L152" s="43" t="n">
        <x:v>0.3414</x:v>
      </x:c>
      <x:c r="M152" s="43"/>
      <x:c r="N152" s="32" t="str">
        <x:v>國民年金保險基金-115年7月.pdf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持續</x:v>
      </x:c>
      <x:c r="K153" s="31" t="str">
        <x:v>美元</x:v>
      </x:c>
      <x:c r="L153" s="43" t="n">
        <x:v>0.2609</x:v>
      </x:c>
      <x:c r="M153" s="43"/>
      <x:c r="N153" s="32" t="str">
        <x:v>國民年金保險基金-115年7月.pdf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持續</x:v>
      </x:c>
      <x:c r="K154" s="31" t="str">
        <x:v>美元</x:v>
      </x:c>
      <x:c r="L154" s="43" t="n">
        <x:v>0.8256</x:v>
      </x:c>
      <x:c r="M154" s="43" t="n">
        <x:v>0.7315</x:v>
      </x:c>
      <x:c r="N154" s="32" t="str">
        <x:v>國民年金保險基金-115年7月.pdf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持續</x:v>
      </x:c>
      <x:c r="K155" s="31" t="str">
        <x:v>美元</x:v>
      </x:c>
      <x:c r="L155" s="43" t="n">
        <x:v>0.7273999999999999</x:v>
      </x:c>
      <x:c r="M155" s="43" t="n">
        <x:v>0.7315</x:v>
      </x:c>
      <x:c r="N155" s="32" t="str">
        <x:v>國民年金保險基金-115年7月.pdf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持續</x:v>
      </x:c>
      <x:c r="K156" s="31" t="str">
        <x:v>美元</x:v>
      </x:c>
      <x:c r="L156" s="43" t="n">
        <x:v>0.7509999999999999</x:v>
      </x:c>
      <x:c r="M156" s="43" t="n">
        <x:v>0.7315</x:v>
      </x:c>
      <x:c r="N156" s="32" t="str">
        <x:v>國民年金保險基金-115年7月.pdf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持續</x:v>
      </x:c>
      <x:c r="K157" s="31" t="str">
        <x:v>美元</x:v>
      </x:c>
      <x:c r="L157" s="43" t="n">
        <x:v>0.7115</x:v>
      </x:c>
      <x:c r="M157" s="43" t="n">
        <x:v>0.7315</x:v>
      </x:c>
      <x:c r="N157" s="32" t="str">
        <x:v>國民年金保險基金-115年7月.pdf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持續</x:v>
      </x:c>
      <x:c r="K158" s="31" t="str">
        <x:v>美元</x:v>
      </x:c>
      <x:c r="L158" s="43" t="n">
        <x:v>0.8206</x:v>
      </x:c>
      <x:c r="M158" s="43" t="n">
        <x:v>0.7315</x:v>
      </x:c>
      <x:c r="N158" s="32" t="str">
        <x:v>國民年金保險基金-115年7月.pdf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持續</x:v>
      </x:c>
      <x:c r="K159" s="31" t="str">
        <x:v>美元</x:v>
      </x:c>
      <x:c r="L159" s="43" t="n">
        <x:v>0.39659999999999995</x:v>
      </x:c>
      <x:c r="M159" s="43" t="n">
        <x:v>0.4351</x:v>
      </x:c>
      <x:c r="N159" s="32" t="str">
        <x:v>國民年金保險基金-115年7月.pdf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持續</x:v>
      </x:c>
      <x:c r="K160" s="31" t="str">
        <x:v>美元</x:v>
      </x:c>
      <x:c r="L160" s="43" t="n">
        <x:v>0.4346</x:v>
      </x:c>
      <x:c r="M160" s="43" t="n">
        <x:v>0.4351</x:v>
      </x:c>
      <x:c r="N160" s="32" t="str">
        <x:v>國民年金保險基金-115年7月.pdf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持續</x:v>
      </x:c>
      <x:c r="K161" s="31" t="str">
        <x:v>美元</x:v>
      </x:c>
      <x:c r="L161" s="43" t="n">
        <x:v>0.44329999999999997</x:v>
      </x:c>
      <x:c r="M161" s="43" t="n">
        <x:v>0.4351</x:v>
      </x:c>
      <x:c r="N161" s="32" t="str">
        <x:v>國民年金保險基金-115年7月.pdf</x:v>
      </x:c>
    </x:row>
    <x:row r="162">
      <x:c r="A162" s="37" t="n">
        <x:v>46204</x:v>
      </x:c>
      <x:c r="B162" s="31" t="str">
        <x:v>115年7月</x:v>
      </x:c>
      <x:c r="C162" s="31" t="str">
        <x:v>國民年金</x:v>
      </x:c>
      <x:c r="D162" s="31" t="str">
        <x:v>國外</x:v>
      </x:c>
      <x:c r="E162" s="31" t="str">
        <x:v>112-1全球被動股票型</x:v>
      </x:c>
      <x:c r="F162" s="31" t="str">
        <x:v>北美信託</x:v>
      </x:c>
      <x:c r="G162" s="40" t="n">
        <x:v>100000000</x:v>
      </x:c>
      <x:c r="H162" s="40" t="n">
        <x:v>136973911</x:v>
      </x:c>
      <x:c r="I162" s="40" t="n">
        <x:v>235488</x:v>
      </x:c>
      <x:c r="J162" s="31" t="str">
        <x:v>持續</x:v>
      </x:c>
      <x:c r="K162" s="31" t="str">
        <x:v>美元</x:v>
      </x:c>
      <x:c r="L162" s="43" t="n">
        <x:v>0.4372</x:v>
      </x:c>
      <x:c r="M162" s="43" t="n">
        <x:v>0.4351</x:v>
      </x:c>
      <x:c r="N162" s="32" t="str">
        <x:v>國民年金保險基金-115年7月.pdf</x:v>
      </x:c>
    </x:row>
    <x:row r="163">
      <x:c r="A163" s="37" t="n">
        <x:v>46204</x:v>
      </x:c>
      <x:c r="B163" s="31" t="str">
        <x:v>115年7月</x:v>
      </x:c>
      <x:c r="C163" s="31" t="str">
        <x:v>新制</x:v>
      </x:c>
      <x:c r="D163" s="31" t="str">
        <x:v>國外</x:v>
      </x:c>
      <x:c r="E163" s="31" t="str">
        <x:v>100-1全球基本面指數被動股票型（續約2）</x:v>
      </x:c>
      <x:c r="F163" s="31" t="str">
        <x:v>道富</x:v>
      </x:c>
      <x:c r="G163" s="40" t="n">
        <x:v>0</x:v>
      </x:c>
      <x:c r="H163" s="40" t="n">
        <x:v>0</x:v>
      </x:c>
      <x:c r="I163" s="40" t="n">
        <x:v>-1683240295</x:v>
      </x:c>
      <x:c r="J163" s="31" t="str">
        <x:v>解約</x:v>
      </x:c>
      <x:c r="K163" s="31" t="str">
        <x:v>美元</x:v>
      </x:c>
      <x:c r="L163" s="43"/>
      <x:c r="M163" s="43"/>
      <x:c r="N163" s="32" t="str"/>
    </x:row>
    <x:row r="164">
      <x:c r="A164" s="37" t="n">
        <x:v>46204</x:v>
      </x:c>
      <x:c r="B164" s="31" t="str">
        <x:v>115年7月</x:v>
      </x:c>
      <x:c r="C164" s="31" t="str">
        <x:v>新制</x:v>
      </x:c>
      <x:c r="D164" s="31" t="str">
        <x:v>國外</x:v>
      </x:c>
      <x:c r="E164" s="31" t="str">
        <x:v>100-1全球基本面指數被動股票型（續約2）</x:v>
      </x:c>
      <x:c r="F164" s="31" t="str">
        <x:v>貝萊德</x:v>
      </x:c>
      <x:c r="G164" s="40" t="n">
        <x:v>0</x:v>
      </x:c>
      <x:c r="H164" s="40" t="n">
        <x:v>0</x:v>
      </x:c>
      <x:c r="I164" s="40" t="n">
        <x:v>-1687228552</x:v>
      </x:c>
      <x:c r="J164" s="31" t="str">
        <x:v>解約</x:v>
      </x:c>
      <x:c r="K164" s="31" t="str">
        <x:v>美元</x:v>
      </x:c>
      <x:c r="L164" s="43"/>
      <x:c r="M164" s="43"/>
      <x:c r="N164" s="32" t="str"/>
    </x:row>
    <x:row r="165">
      <x:c r="A165" s="37" t="n">
        <x:v>46204</x:v>
      </x:c>
      <x:c r="B165" s="31" t="str">
        <x:v>115年7月</x:v>
      </x:c>
      <x:c r="C165" s="31" t="str">
        <x:v>新制</x:v>
      </x:c>
      <x:c r="D165" s="31" t="str">
        <x:v>國外</x:v>
      </x:c>
      <x:c r="E165" s="31" t="str">
        <x:v>104-1全球高品質被動股票型（續約2）</x:v>
      </x:c>
      <x:c r="F165" s="31" t="str">
        <x:v>LGIM</x:v>
      </x:c>
      <x:c r="G165" s="40" t="n">
        <x:v>0</x:v>
      </x:c>
      <x:c r="H165" s="40" t="n">
        <x:v>0</x:v>
      </x:c>
      <x:c r="I165" s="40" t="n">
        <x:v>-3924793719</x:v>
      </x:c>
      <x:c r="J165" s="31" t="str">
        <x:v>解約</x:v>
      </x:c>
      <x:c r="K165" s="31" t="str">
        <x:v>美元</x:v>
      </x:c>
      <x:c r="L165" s="43"/>
      <x:c r="M165" s="43"/>
      <x:c r="N165" s="32" t="str"/>
    </x:row>
    <x:row r="166">
      <x:c r="A166" s="37" t="n">
        <x:v>46204</x:v>
      </x:c>
      <x:c r="B166" s="31" t="str">
        <x:v>115年7月</x:v>
      </x:c>
      <x:c r="C166" s="31" t="str">
        <x:v>新制</x:v>
      </x:c>
      <x:c r="D166" s="31" t="str">
        <x:v>國外</x:v>
      </x:c>
      <x:c r="E166" s="31" t="str">
        <x:v>104-2全球基礎建設有價證券型（續約）</x:v>
      </x:c>
      <x:c r="F166" s="31" t="str">
        <x:v>Magellan</x:v>
      </x:c>
      <x:c r="G166" s="40" t="n">
        <x:v>0</x:v>
      </x:c>
      <x:c r="H166" s="40" t="n">
        <x:v>0</x:v>
      </x:c>
      <x:c r="I166" s="40" t="n">
        <x:v>-1314198402</x:v>
      </x:c>
      <x:c r="J166" s="31" t="str">
        <x:v>解約</x:v>
      </x:c>
      <x:c r="K166" s="31" t="str">
        <x:v>美元</x:v>
      </x:c>
      <x:c r="L166" s="43"/>
      <x:c r="M166" s="43"/>
      <x:c r="N166" s="32" t="str"/>
    </x:row>
    <x:row r="167">
      <x:c r="A167" s="37" t="n">
        <x:v>46204</x:v>
      </x:c>
      <x:c r="B167" s="31" t="str">
        <x:v>115年7月</x:v>
      </x:c>
      <x:c r="C167" s="31" t="str">
        <x:v>新制</x:v>
      </x:c>
      <x:c r="D167" s="31" t="str">
        <x:v>國外</x:v>
      </x:c>
      <x:c r="E167" s="31" t="str">
        <x:v>104-2全球基礎建設有價證券型（續約）</x:v>
      </x:c>
      <x:c r="F167" s="31" t="str">
        <x:v>RREEF</x:v>
      </x:c>
      <x:c r="G167" s="40" t="n">
        <x:v>0</x:v>
      </x:c>
      <x:c r="H167" s="40" t="n">
        <x:v>0</x:v>
      </x:c>
      <x:c r="I167" s="40" t="n">
        <x:v>-1837050463</x:v>
      </x:c>
      <x:c r="J167" s="31" t="str">
        <x:v>解約</x:v>
      </x:c>
      <x:c r="K167" s="31" t="str">
        <x:v>美元</x:v>
      </x:c>
      <x:c r="L167" s="43"/>
      <x:c r="M167" s="43"/>
      <x:c r="N167" s="32" t="str"/>
    </x:row>
    <x:row r="168">
      <x:c r="A168" s="37" t="n">
        <x:v>46204</x:v>
      </x:c>
      <x:c r="B168" s="31" t="str">
        <x:v>115年7月</x:v>
      </x:c>
      <x:c r="C168" s="31" t="str">
        <x:v>新制</x:v>
      </x:c>
      <x:c r="D168" s="31" t="str">
        <x:v>國外</x:v>
      </x:c>
      <x:c r="E168" s="31" t="str">
        <x:v>105-1全球多元資產型(續約)</x:v>
      </x:c>
      <x:c r="F168" s="31" t="str">
        <x:v>Allianz</x:v>
      </x:c>
      <x:c r="G168" s="40" t="n">
        <x:v>0</x:v>
      </x:c>
      <x:c r="H168" s="40" t="n">
        <x:v>0</x:v>
      </x:c>
      <x:c r="I168" s="40" t="n">
        <x:v>-1216881012</x:v>
      </x:c>
      <x:c r="J168" s="31" t="str">
        <x:v>解約</x:v>
      </x:c>
      <x:c r="K168" s="31" t="str">
        <x:v>美元</x:v>
      </x:c>
      <x:c r="L168" s="43"/>
      <x:c r="M168" s="43"/>
      <x:c r="N168" s="32" t="str"/>
    </x:row>
    <x:row r="169">
      <x:c r="A169" s="37" t="n">
        <x:v>46204</x:v>
      </x:c>
      <x:c r="B169" s="31" t="str">
        <x:v>115年7月</x:v>
      </x:c>
      <x:c r="C169" s="31" t="str">
        <x:v>新制</x:v>
      </x:c>
      <x:c r="D169" s="31" t="str">
        <x:v>國外</x:v>
      </x:c>
      <x:c r="E169" s="31" t="str">
        <x:v>105-1全球多元資產型(續約)</x:v>
      </x:c>
      <x:c r="F169" s="31" t="str">
        <x:v>JPMorgan（國外）</x:v>
      </x:c>
      <x:c r="G169" s="40" t="n">
        <x:v>0</x:v>
      </x:c>
      <x:c r="H169" s="40" t="n">
        <x:v>0</x:v>
      </x:c>
      <x:c r="I169" s="40" t="n">
        <x:v>-2051054273</x:v>
      </x:c>
      <x:c r="J169" s="31" t="str">
        <x:v>解約</x:v>
      </x:c>
      <x:c r="K169" s="31" t="str">
        <x:v>美元</x:v>
      </x:c>
      <x:c r="L169" s="43"/>
      <x:c r="M169" s="43"/>
      <x:c r="N169" s="32" t="str"/>
    </x:row>
    <x:row r="170">
      <x:c r="A170" s="37" t="n">
        <x:v>46204</x:v>
      </x:c>
      <x:c r="B170" s="31" t="str">
        <x:v>115年7月</x:v>
      </x:c>
      <x:c r="C170" s="31" t="str">
        <x:v>新制</x:v>
      </x:c>
      <x:c r="D170" s="31" t="str">
        <x:v>國外</x:v>
      </x:c>
      <x:c r="E170" s="31" t="str">
        <x:v>105-1全球多元資產型(續約)</x:v>
      </x:c>
      <x:c r="F170" s="31" t="str">
        <x:v>DWS</x:v>
      </x:c>
      <x:c r="G170" s="40" t="n">
        <x:v>0</x:v>
      </x:c>
      <x:c r="H170" s="40" t="n">
        <x:v>0</x:v>
      </x:c>
      <x:c r="I170" s="40" t="n">
        <x:v>-1508632702</x:v>
      </x:c>
      <x:c r="J170" s="31" t="str">
        <x:v>解約</x:v>
      </x:c>
      <x:c r="K170" s="31" t="str">
        <x:v>美元</x:v>
      </x:c>
      <x:c r="L170" s="43"/>
      <x:c r="M170" s="43"/>
      <x:c r="N170" s="32" t="str"/>
    </x:row>
    <x:row r="171">
      <x:c r="A171" s="37" t="n">
        <x:v>46204</x:v>
      </x:c>
      <x:c r="B171" s="31" t="str">
        <x:v>115年7月</x:v>
      </x:c>
      <x:c r="C171" s="31" t="str">
        <x:v>新制</x:v>
      </x:c>
      <x:c r="D171" s="31" t="str">
        <x:v>國外</x:v>
      </x:c>
      <x:c r="E171" s="31" t="str">
        <x:v>105-1全球多元資產型(續約)</x:v>
      </x:c>
      <x:c r="F171" s="31" t="str">
        <x:v>柏瑞</x:v>
      </x:c>
      <x:c r="G171" s="40" t="n">
        <x:v>0</x:v>
      </x:c>
      <x:c r="H171" s="40" t="n">
        <x:v>0</x:v>
      </x:c>
      <x:c r="I171" s="40" t="n">
        <x:v>-422609458</x:v>
      </x:c>
      <x:c r="J171" s="31" t="str">
        <x:v>解約</x:v>
      </x:c>
      <x:c r="K171" s="31" t="str">
        <x:v>美元</x:v>
      </x:c>
      <x:c r="L171" s="43"/>
      <x:c r="M171" s="43"/>
      <x:c r="N171" s="32" t="str"/>
    </x:row>
    <x:row r="172">
      <x:c r="A172" s="37" t="n">
        <x:v>46204</x:v>
      </x:c>
      <x:c r="B172" s="31" t="str">
        <x:v>115年7月</x:v>
      </x:c>
      <x:c r="C172" s="31" t="str">
        <x:v>新制</x:v>
      </x:c>
      <x:c r="D172" s="31" t="str">
        <x:v>國外</x:v>
      </x:c>
      <x:c r="E172" s="31" t="str">
        <x:v>112-1全球被動股票型</x:v>
      </x:c>
      <x:c r="F172" s="31" t="str">
        <x:v>LGIM</x:v>
      </x:c>
      <x:c r="G172" s="40" t="n">
        <x:v>0</x:v>
      </x:c>
      <x:c r="H172" s="40" t="n">
        <x:v>0</x:v>
      </x:c>
      <x:c r="I172" s="40" t="n">
        <x:v>-543970609</x:v>
      </x:c>
      <x:c r="J172" s="31" t="str">
        <x:v>解約</x:v>
      </x:c>
      <x:c r="K172" s="31" t="str">
        <x:v>美元</x:v>
      </x:c>
      <x:c r="L172" s="43"/>
      <x:c r="M172" s="43"/>
      <x:c r="N172" s="32" t="str"/>
    </x:row>
    <x:row r="173">
      <x:c r="A173" s="37" t="n">
        <x:v>46204</x:v>
      </x:c>
      <x:c r="B173" s="31" t="str">
        <x:v>115年7月</x:v>
      </x:c>
      <x:c r="C173" s="31" t="str">
        <x:v>舊制</x:v>
      </x:c>
      <x:c r="D173" s="31" t="str">
        <x:v>國外</x:v>
      </x:c>
      <x:c r="E173" s="31" t="str">
        <x:v>100-1全球基本面指數被動股票型(續約2)</x:v>
      </x:c>
      <x:c r="F173" s="31" t="str">
        <x:v>貝萊德</x:v>
      </x:c>
      <x:c r="G173" s="40" t="n">
        <x:v>0</x:v>
      </x:c>
      <x:c r="H173" s="40" t="n">
        <x:v>0</x:v>
      </x:c>
      <x:c r="I173" s="40" t="n">
        <x:v>-303753501</x:v>
      </x:c>
      <x:c r="J173" s="31" t="str">
        <x:v>解約</x:v>
      </x:c>
      <x:c r="K173" s="31" t="str">
        <x:v>美元</x:v>
      </x:c>
      <x:c r="L173" s="43"/>
      <x:c r="M173" s="43"/>
      <x:c r="N173" s="32" t="str"/>
    </x:row>
    <x:row r="174">
      <x:c r="A174" s="37" t="n">
        <x:v>46204</x:v>
      </x:c>
      <x:c r="B174" s="31" t="str">
        <x:v>115年7月</x:v>
      </x:c>
      <x:c r="C174" s="31" t="str">
        <x:v>舊制</x:v>
      </x:c>
      <x:c r="D174" s="31" t="str">
        <x:v>國外</x:v>
      </x:c>
      <x:c r="E174" s="31" t="str">
        <x:v>100-1全球基本面指數被動股票型(續約2)</x:v>
      </x:c>
      <x:c r="F174" s="31" t="str">
        <x:v>道富</x:v>
      </x:c>
      <x:c r="G174" s="40" t="n">
        <x:v>0</x:v>
      </x:c>
      <x:c r="H174" s="40" t="n">
        <x:v>0</x:v>
      </x:c>
      <x:c r="I174" s="40" t="n">
        <x:v>-456179013</x:v>
      </x:c>
      <x:c r="J174" s="31" t="str">
        <x:v>解約</x:v>
      </x:c>
      <x:c r="K174" s="31" t="str">
        <x:v>美元</x:v>
      </x:c>
      <x:c r="L174" s="43"/>
      <x:c r="M174" s="43"/>
      <x:c r="N174" s="32" t="str"/>
    </x:row>
    <x:row r="175">
      <x:c r="A175" s="37" t="n">
        <x:v>46204</x:v>
      </x:c>
      <x:c r="B175" s="31" t="str">
        <x:v>115年7月</x:v>
      </x:c>
      <x:c r="C175" s="31" t="str">
        <x:v>舊制</x:v>
      </x:c>
      <x:c r="D175" s="31" t="str">
        <x:v>國外</x:v>
      </x:c>
      <x:c r="E175" s="31" t="str">
        <x:v>100-1全球基本面指數被動股票型(續約2)</x:v>
      </x:c>
      <x:c r="F175" s="31" t="str">
        <x:v>UBS</x:v>
      </x:c>
      <x:c r="G175" s="40" t="n">
        <x:v>0</x:v>
      </x:c>
      <x:c r="H175" s="40" t="n">
        <x:v>0</x:v>
      </x:c>
      <x:c r="I175" s="40" t="n">
        <x:v>-361201485</x:v>
      </x:c>
      <x:c r="J175" s="31" t="str">
        <x:v>解約</x:v>
      </x:c>
      <x:c r="K175" s="31" t="str">
        <x:v>美元</x:v>
      </x:c>
      <x:c r="L175" s="43"/>
      <x:c r="M175" s="43"/>
      <x:c r="N175" s="32" t="str"/>
    </x:row>
    <x:row r="176">
      <x:c r="A176" s="37" t="n">
        <x:v>46204</x:v>
      </x:c>
      <x:c r="B176" s="31" t="str">
        <x:v>115年7月</x:v>
      </x:c>
      <x:c r="C176" s="31" t="str">
        <x:v>舊制</x:v>
      </x:c>
      <x:c r="D176" s="31" t="str">
        <x:v>國外</x:v>
      </x:c>
      <x:c r="E176" s="31" t="str">
        <x:v>100-1全球基本面指數被動股票型(續約2)</x:v>
      </x:c>
      <x:c r="F176" s="31" t="str">
        <x:v>Nomura</x:v>
      </x:c>
      <x:c r="G176" s="40" t="n">
        <x:v>0</x:v>
      </x:c>
      <x:c r="H176" s="40" t="n">
        <x:v>0</x:v>
      </x:c>
      <x:c r="I176" s="40" t="n">
        <x:v>-405779245</x:v>
      </x:c>
      <x:c r="J176" s="31" t="str">
        <x:v>解約</x:v>
      </x:c>
      <x:c r="K176" s="31" t="str">
        <x:v>美元</x:v>
      </x:c>
      <x:c r="L176" s="43"/>
      <x:c r="M176" s="43"/>
      <x:c r="N176" s="32" t="str"/>
    </x:row>
    <x:row r="177">
      <x:c r="A177" s="37" t="n">
        <x:v>46204</x:v>
      </x:c>
      <x:c r="B177" s="31" t="str">
        <x:v>115年7月</x:v>
      </x:c>
      <x:c r="C177" s="31" t="str">
        <x:v>舊制</x:v>
      </x:c>
      <x:c r="D177" s="31" t="str">
        <x:v>國外</x:v>
      </x:c>
      <x:c r="E177" s="31" t="str">
        <x:v>105-1全球多元資產型(續約)</x:v>
      </x:c>
      <x:c r="F177" s="31" t="str">
        <x:v>Allianz</x:v>
      </x:c>
      <x:c r="G177" s="40" t="n">
        <x:v>0</x:v>
      </x:c>
      <x:c r="H177" s="40" t="n">
        <x:v>0</x:v>
      </x:c>
      <x:c r="I177" s="40" t="n">
        <x:v>-282822171</x:v>
      </x:c>
      <x:c r="J177" s="31" t="str">
        <x:v>解約</x:v>
      </x:c>
      <x:c r="K177" s="31" t="str">
        <x:v>美元</x:v>
      </x:c>
      <x:c r="L177" s="43"/>
      <x:c r="M177" s="43"/>
      <x:c r="N177" s="32" t="str"/>
    </x:row>
    <x:row r="178">
      <x:c r="A178" s="37" t="n">
        <x:v>46204</x:v>
      </x:c>
      <x:c r="B178" s="31" t="str">
        <x:v>115年7月</x:v>
      </x:c>
      <x:c r="C178" s="31" t="str">
        <x:v>舊制</x:v>
      </x:c>
      <x:c r="D178" s="31" t="str">
        <x:v>國外</x:v>
      </x:c>
      <x:c r="E178" s="31" t="str">
        <x:v>105-1全球多元資產型(續約)</x:v>
      </x:c>
      <x:c r="F178" s="31" t="str">
        <x:v>JPMorgan（國外）</x:v>
      </x:c>
      <x:c r="G178" s="40" t="n">
        <x:v>0</x:v>
      </x:c>
      <x:c r="H178" s="40" t="n">
        <x:v>0</x:v>
      </x:c>
      <x:c r="I178" s="40" t="n">
        <x:v>-746373228</x:v>
      </x:c>
      <x:c r="J178" s="31" t="str">
        <x:v>解約</x:v>
      </x:c>
      <x:c r="K178" s="31" t="str">
        <x:v>美元</x:v>
      </x:c>
      <x:c r="L178" s="43"/>
      <x:c r="M178" s="43"/>
      <x:c r="N178" s="32" t="str"/>
    </x:row>
    <x:row r="179">
      <x:c r="A179" s="37" t="n">
        <x:v>46204</x:v>
      </x:c>
      <x:c r="B179" s="31" t="str">
        <x:v>115年7月</x:v>
      </x:c>
      <x:c r="C179" s="31" t="str">
        <x:v>舊制</x:v>
      </x:c>
      <x:c r="D179" s="31" t="str">
        <x:v>國外</x:v>
      </x:c>
      <x:c r="E179" s="31" t="str">
        <x:v>105-1全球多元資產型(續約)</x:v>
      </x:c>
      <x:c r="F179" s="31" t="str">
        <x:v>DWS</x:v>
      </x:c>
      <x:c r="G179" s="40" t="n">
        <x:v>0</x:v>
      </x:c>
      <x:c r="H179" s="40" t="n">
        <x:v>0</x:v>
      </x:c>
      <x:c r="I179" s="40" t="n">
        <x:v>-442398214</x:v>
      </x:c>
      <x:c r="J179" s="31" t="str">
        <x:v>解約</x:v>
      </x:c>
      <x:c r="K179" s="31" t="str">
        <x:v>美元</x:v>
      </x:c>
      <x:c r="L179" s="43"/>
      <x:c r="M179" s="43"/>
      <x:c r="N179" s="32" t="str"/>
    </x:row>
    <x:row r="180">
      <x:c r="A180" s="37" t="n">
        <x:v>46204</x:v>
      </x:c>
      <x:c r="B180" s="31" t="str">
        <x:v>115年7月</x:v>
      </x:c>
      <x:c r="C180" s="31" t="str">
        <x:v>舊制</x:v>
      </x:c>
      <x:c r="D180" s="31" t="str">
        <x:v>國外</x:v>
      </x:c>
      <x:c r="E180" s="31" t="str">
        <x:v>105-1全球多元資產型(續約)</x:v>
      </x:c>
      <x:c r="F180" s="31" t="str">
        <x:v>柏瑞</x:v>
      </x:c>
      <x:c r="G180" s="40" t="n">
        <x:v>0</x:v>
      </x:c>
      <x:c r="H180" s="40" t="n">
        <x:v>0</x:v>
      </x:c>
      <x:c r="I180" s="40" t="n">
        <x:v>-216266708</x:v>
      </x:c>
      <x:c r="J180" s="31" t="str">
        <x:v>解約</x:v>
      </x:c>
      <x:c r="K180" s="31" t="str">
        <x:v>美元</x:v>
      </x:c>
      <x:c r="L180" s="43"/>
      <x:c r="M180" s="43"/>
      <x:c r="N180" s="32" t="str"/>
    </x:row>
    <x:row r="181">
      <x:c r="A181" s="37" t="n">
        <x:v>46204</x:v>
      </x:c>
      <x:c r="B181" s="31" t="str">
        <x:v>115年7月</x:v>
      </x:c>
      <x:c r="C181" s="31" t="str">
        <x:v>勞工保險</x:v>
      </x:c>
      <x:c r="D181" s="31" t="str">
        <x:v>國外</x:v>
      </x:c>
      <x:c r="E181" s="31" t="str">
        <x:v>109年第二次委託經營(相對報酬)</x:v>
      </x:c>
      <x:c r="F181" s="31" t="str">
        <x:v>Allianz</x:v>
      </x:c>
      <x:c r="G181" s="40" t="n">
        <x:v>0</x:v>
      </x:c>
      <x:c r="H181" s="40" t="n">
        <x:v>0</x:v>
      </x:c>
      <x:c r="I181" s="40" t="n">
        <x:v>-1353674960</x:v>
      </x:c>
      <x:c r="J181" s="31" t="str">
        <x:v>解約</x:v>
      </x:c>
      <x:c r="K181" s="31" t="str">
        <x:v>新臺幣元</x:v>
      </x:c>
      <x:c r="L181" s="43"/>
      <x:c r="M181" s="43"/>
      <x:c r="N181" s="32" t="str"/>
    </x:row>
    <x:row r="182">
      <x:c r="A182" s="37" t="n">
        <x:v>46204</x:v>
      </x:c>
      <x:c r="B182" s="31" t="str">
        <x:v>115年7月</x:v>
      </x:c>
      <x:c r="C182" s="31" t="str">
        <x:v>勞工保險</x:v>
      </x:c>
      <x:c r="D182" s="31" t="str">
        <x:v>國外</x:v>
      </x:c>
      <x:c r="E182" s="31" t="str">
        <x:v>109年第二次委託經營(相對報酬)</x:v>
      </x:c>
      <x:c r="F182" s="31" t="str">
        <x:v>玉山</x:v>
      </x:c>
      <x:c r="G182" s="40" t="n">
        <x:v>0</x:v>
      </x:c>
      <x:c r="H182" s="40" t="n">
        <x:v>0</x:v>
      </x:c>
      <x:c r="I182" s="40" t="n">
        <x:v>-1334664633</x:v>
      </x:c>
      <x:c r="J182" s="31" t="str">
        <x:v>解約</x:v>
      </x:c>
      <x:c r="K182" s="31" t="str">
        <x:v>新臺幣元</x:v>
      </x:c>
      <x:c r="L182" s="43"/>
      <x:c r="M182" s="43"/>
      <x:c r="N182" s="32" t="str"/>
    </x:row>
    <x:row r="183">
      <x:c r="A183" s="37" t="n">
        <x:v>46204</x:v>
      </x:c>
      <x:c r="B183" s="31" t="str">
        <x:v>115年7月</x:v>
      </x:c>
      <x:c r="C183" s="31" t="str">
        <x:v>勞工保險</x:v>
      </x:c>
      <x:c r="D183" s="31" t="str">
        <x:v>國外</x:v>
      </x:c>
      <x:c r="E183" s="31" t="str">
        <x:v>109年第二次委託經營(相對報酬)</x:v>
      </x:c>
      <x:c r="F183" s="31" t="str">
        <x:v>Nomura</x:v>
      </x:c>
      <x:c r="G183" s="40" t="n">
        <x:v>0</x:v>
      </x:c>
      <x:c r="H183" s="40" t="n">
        <x:v>0</x:v>
      </x:c>
      <x:c r="I183" s="40" t="n">
        <x:v>-1357369868</x:v>
      </x:c>
      <x:c r="J183" s="31" t="str">
        <x:v>解約</x:v>
      </x:c>
      <x:c r="K183" s="31" t="str">
        <x:v>新臺幣元</x:v>
      </x:c>
      <x:c r="L183" s="43"/>
      <x:c r="M183" s="43"/>
      <x:c r="N183" s="32" t="str"/>
    </x:row>
    <x:row r="184">
      <x:c r="A184" s="37" t="n">
        <x:v>46204</x:v>
      </x:c>
      <x:c r="B184" s="31" t="str">
        <x:v>115年7月</x:v>
      </x:c>
      <x:c r="C184" s="31" t="str">
        <x:v>勞工保險</x:v>
      </x:c>
      <x:c r="D184" s="31" t="str">
        <x:v>國外</x:v>
      </x:c>
      <x:c r="E184" s="31" t="str">
        <x:v>109年第二次委託經營(相對報酬)</x:v>
      </x:c>
      <x:c r="F184" s="31" t="str">
        <x:v>國泰</x:v>
      </x:c>
      <x:c r="G184" s="40" t="n">
        <x:v>0</x:v>
      </x:c>
      <x:c r="H184" s="40" t="n">
        <x:v>0</x:v>
      </x:c>
      <x:c r="I184" s="40" t="n">
        <x:v>-1391420851</x:v>
      </x:c>
      <x:c r="J184" s="31" t="str">
        <x:v>解約</x:v>
      </x:c>
      <x:c r="K184" s="31" t="str">
        <x:v>新臺幣元</x:v>
      </x:c>
      <x:c r="L184" s="43"/>
      <x:c r="M184" s="43"/>
      <x:c r="N184" s="32" t="str"/>
    </x:row>
    <x:row r="185">
      <x:c r="A185" s="37" t="n">
        <x:v>46204</x:v>
      </x:c>
      <x:c r="B185" s="31" t="str">
        <x:v>115年7月</x:v>
      </x:c>
      <x:c r="C185" s="31" t="str">
        <x:v>勞工保險</x:v>
      </x:c>
      <x:c r="D185" s="31" t="str">
        <x:v>國外</x:v>
      </x:c>
      <x:c r="E185" s="31" t="str">
        <x:v>105-1全球多元資產型(續約)</x:v>
      </x:c>
      <x:c r="F185" s="31" t="str">
        <x:v>JPMorgan（國外）</x:v>
      </x:c>
      <x:c r="G185" s="40" t="n">
        <x:v>0</x:v>
      </x:c>
      <x:c r="H185" s="40" t="n">
        <x:v>0</x:v>
      </x:c>
      <x:c r="I185" s="40" t="n">
        <x:v>-534717371</x:v>
      </x:c>
      <x:c r="J185" s="31" t="str">
        <x:v>解約</x:v>
      </x:c>
      <x:c r="K185" s="31" t="str">
        <x:v>美元</x:v>
      </x:c>
      <x:c r="L185" s="43"/>
      <x:c r="M185" s="43"/>
      <x:c r="N185" s="32" t="str"/>
    </x:row>
    <x:row r="186">
      <x:c r="A186" s="37" t="n">
        <x:v>46204</x:v>
      </x:c>
      <x:c r="B186" s="31" t="str">
        <x:v>115年7月</x:v>
      </x:c>
      <x:c r="C186" s="31" t="str">
        <x:v>勞工保險</x:v>
      </x:c>
      <x:c r="D186" s="31" t="str">
        <x:v>國外</x:v>
      </x:c>
      <x:c r="E186" s="31" t="str">
        <x:v>105-1全球多元資產型(續約)</x:v>
      </x:c>
      <x:c r="F186" s="31" t="str">
        <x:v>DWS</x:v>
      </x:c>
      <x:c r="G186" s="40" t="n">
        <x:v>0</x:v>
      </x:c>
      <x:c r="H186" s="40" t="n">
        <x:v>0</x:v>
      </x:c>
      <x:c r="I186" s="40" t="n">
        <x:v>-461631869</x:v>
      </x:c>
      <x:c r="J186" s="31" t="str">
        <x:v>解約</x:v>
      </x:c>
      <x:c r="K186" s="31" t="str">
        <x:v>美元</x:v>
      </x:c>
      <x:c r="L186" s="43"/>
      <x:c r="M186" s="43"/>
      <x:c r="N186" s="32" t="str"/>
    </x:row>
    <x:row r="187">
      <x:c r="A187" s="37" t="n">
        <x:v>46204</x:v>
      </x:c>
      <x:c r="B187" s="31" t="str">
        <x:v>115年7月</x:v>
      </x:c>
      <x:c r="C187" s="31" t="str">
        <x:v>國民年金</x:v>
      </x:c>
      <x:c r="D187" s="31" t="str">
        <x:v>國外</x:v>
      </x:c>
      <x:c r="E187" s="31" t="str">
        <x:v>104-1全球主權信用增值債券型(續約2)</x:v>
      </x:c>
      <x:c r="F187" s="31" t="str">
        <x:v>盧米斯</x:v>
      </x:c>
      <x:c r="G187" s="40" t="n">
        <x:v>0</x:v>
      </x:c>
      <x:c r="H187" s="40" t="n">
        <x:v>0</x:v>
      </x:c>
      <x:c r="I187" s="40" t="n">
        <x:v>-333967279</x:v>
      </x:c>
      <x:c r="J187" s="31" t="str">
        <x:v>解約</x:v>
      </x:c>
      <x:c r="K187" s="31" t="str">
        <x:v>美元</x:v>
      </x:c>
      <x:c r="L187" s="43"/>
      <x:c r="M187" s="43"/>
      <x:c r="N187" s="32" t="str"/>
    </x:row>
    <x:row r="188">
      <x:c r="A188" s="38" t="n">
        <x:v>46204</x:v>
      </x:c>
      <x:c r="B188" s="34" t="str">
        <x:v>115年7月</x:v>
      </x:c>
      <x:c r="C188" s="34" t="str">
        <x:v>國民年金</x:v>
      </x:c>
      <x:c r="D188" s="34" t="str">
        <x:v>國外</x:v>
      </x:c>
      <x:c r="E188" s="34" t="str">
        <x:v>110-1全球多元資產型</x:v>
      </x:c>
      <x:c r="F188" s="34" t="str">
        <x:v>Ninety One</x:v>
      </x:c>
      <x:c r="G188" s="41" t="n">
        <x:v>0</x:v>
      </x:c>
      <x:c r="H188" s="41" t="n">
        <x:v>0</x:v>
      </x:c>
      <x:c r="I188" s="41" t="n">
        <x:v>-73420942</x:v>
      </x:c>
      <x:c r="J188" s="34" t="str">
        <x:v>解約</x:v>
      </x:c>
      <x:c r="K188" s="34" t="str">
        <x:v>美元</x:v>
      </x:c>
      <x:c r="L188" s="44"/>
      <x:c r="M188" s="44"/>
      <x:c r="N188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e180f79d5ec64f01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7.33000183105469" hidden="0" customWidth="1"/>
    <x:col min="2" max="2" width="7.329999923706055" hidden="0" customWidth="1"/>
    <x:col min="3" max="3" width="7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" hidden="0" customWidth="1"/>
    <x:col min="9" max="9" width="22.219999313354492" hidden="0" customWidth="1"/>
    <x:col min="10" max="10" width="7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103171495458</x:v>
      </x:c>
      <x:c r="H4" s="42" t="n">
        <x:f>IFERROR(G4/F4-1,0)</x:f>
        <x:v>0.9452675192727118</x:v>
      </x:c>
      <x:c r="I4" s="42" t="n">
        <x:f>IFERROR(SUMIFS('國內委外明細'!$J$4:$J$116,'國內委外明細'!$A$4:$A$116,A4,'國內委外明細'!$C$4:$C$116,C4,'國內委外明細'!$E$4:$E$116,E4)/COUNTIFS('國內委外明細'!$A$4:$A$116,A4,'國內委外明細'!$C$4:$C$116,C4,'國內委外明細'!$E$4:$E$116,E4,'國內委外明細'!$J$4:$J$116,"&lt;&gt;"),0)</x:f>
        <x:v>0</x:v>
      </x:c>
      <x:c r="J4" s="28" t="str">
        <x:v>新臺幣元</x:v>
      </x:c>
      <x:c r="K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23175252518</x:v>
      </x:c>
      <x:c r="H5" s="43" t="n">
        <x:f>IFERROR(G5/F5-1,0)</x:f>
        <x:v>2.39361925943014</x:v>
      </x:c>
      <x:c r="I5" s="43" t="n">
        <x:f>IFERROR(SUMIFS('國內委外明細'!$J$4:$J$116,'國內委外明細'!$A$4:$A$116,A5,'國內委外明細'!$C$4:$C$116,C5,'國內委外明細'!$E$4:$E$116,E5)/COUNTIFS('國內委外明細'!$A$4:$A$116,A5,'國內委外明細'!$C$4:$C$116,C5,'國內委外明細'!$E$4:$E$116,E5,'國內委外明細'!$J$4:$J$116,"&lt;&gt;"),0)</x:f>
        <x:v>0</x:v>
      </x:c>
      <x:c r="J5" s="31" t="str">
        <x:v>新臺幣元</x:v>
      </x:c>
      <x:c r="K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70889865371</x:v>
      </x:c>
      <x:c r="H6" s="43" t="n">
        <x:f>IFERROR(G6/F6-1,0)</x:f>
        <x:v>1.1556397329574186</x:v>
      </x:c>
      <x:c r="I6" s="43" t="n">
        <x:f>IFERROR(SUMIFS('國內委外明細'!$J$4:$J$116,'國內委外明細'!$A$4:$A$116,A6,'國內委外明細'!$C$4:$C$116,C6,'國內委外明細'!$E$4:$E$116,E6)/COUNTIFS('國內委外明細'!$A$4:$A$116,A6,'國內委外明細'!$C$4:$C$116,C6,'國內委外明細'!$E$4:$E$116,E6,'國內委外明細'!$J$4:$J$116,"&lt;&gt;"),0)</x:f>
        <x:v>0</x:v>
      </x:c>
      <x:c r="J6" s="31" t="str">
        <x:v>新臺幣元</x:v>
      </x:c>
      <x:c r="K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26081939969</x:v>
      </x:c>
      <x:c r="H7" s="43" t="n">
        <x:f>IFERROR(G7/F7-1,0)</x:f>
        <x:v>1.4970471066148732</x:v>
      </x:c>
      <x:c r="I7" s="43" t="n">
        <x:f>IFERROR(SUMIFS('國內委外明細'!$J$4:$J$116,'國內委外明細'!$A$4:$A$116,A7,'國內委外明細'!$C$4:$C$116,C7,'國內委外明細'!$E$4:$E$116,E7)/COUNTIFS('國內委外明細'!$A$4:$A$116,A7,'國內委外明細'!$C$4:$C$116,C7,'國內委外明細'!$E$4:$E$116,E7,'國內委外明細'!$J$4:$J$116,"&lt;&gt;"),0)</x:f>
        <x:v>0</x:v>
      </x:c>
      <x:c r="J7" s="31" t="str">
        <x:v>新臺幣元</x:v>
      </x:c>
      <x:c r="K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79596508766</x:v>
      </x:c>
      <x:c r="H8" s="43" t="n">
        <x:f>IFERROR(G8/F8-1,0)</x:f>
        <x:v>1.7351318712946715</x:v>
      </x:c>
      <x:c r="I8" s="43" t="n">
        <x:f>IFERROR(SUMIFS('國內委外明細'!$J$4:$J$116,'國內委外明細'!$A$4:$A$116,A8,'國內委外明細'!$C$4:$C$116,C8,'國內委外明細'!$E$4:$E$116,E8)/COUNTIFS('國內委外明細'!$A$4:$A$116,A8,'國內委外明細'!$C$4:$C$116,C8,'國內委外明細'!$E$4:$E$116,E8,'國內委外明細'!$J$4:$J$116,"&lt;&gt;"),0)</x:f>
        <x:v>0</x:v>
      </x:c>
      <x:c r="J8" s="31" t="str">
        <x:v>新臺幣元</x:v>
      </x:c>
      <x:c r="K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79382079707</x:v>
      </x:c>
      <x:c r="H9" s="43" t="n">
        <x:f>IFERROR(G9/F9-1,0)</x:f>
        <x:v>1.1982489097410465</x:v>
      </x:c>
      <x:c r="I9" s="43" t="n">
        <x:f>IFERROR(SUMIFS('國內委外明細'!$J$4:$J$116,'國內委外明細'!$A$4:$A$116,A9,'國內委外明細'!$C$4:$C$116,C9,'國內委外明細'!$E$4:$E$116,E9)/COUNTIFS('國內委外明細'!$A$4:$A$116,A9,'國內委外明細'!$C$4:$C$116,C9,'國內委外明細'!$E$4:$E$116,E9,'國內委外明細'!$J$4:$J$116,"&lt;&gt;"),0)</x:f>
        <x:v>0</x:v>
      </x:c>
      <x:c r="J9" s="31" t="str">
        <x:v>新臺幣元</x:v>
      </x:c>
      <x:c r="K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112233837655</x:v>
      </x:c>
      <x:c r="H10" s="43" t="n">
        <x:f>IFERROR(G10/F10-1,0)</x:f>
        <x:v>0.4657467948137972</x:v>
      </x:c>
      <x:c r="I10" s="43" t="n">
        <x:f>IFERROR(SUMIFS('國內委外明細'!$J$4:$J$116,'國內委外明細'!$A$4:$A$116,A10,'國內委外明細'!$C$4:$C$116,C10,'國內委外明細'!$E$4:$E$116,E10)/COUNTIFS('國內委外明細'!$A$4:$A$116,A10,'國內委外明細'!$C$4:$C$116,C10,'國內委外明細'!$E$4:$E$116,E10,'國內委外明細'!$J$4:$J$116,"&lt;&gt;"),0)</x:f>
        <x:v>0</x:v>
      </x:c>
      <x:c r="J10" s="31" t="str">
        <x:v>新臺幣元</x:v>
      </x:c>
      <x:c r="K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41322318010</x:v>
      </x:c>
      <x:c r="H11" s="43" t="n">
        <x:f>IFERROR(G11/F11-1,0)</x:f>
        <x:v>1.6084915831903732</x:v>
      </x:c>
      <x:c r="I11" s="43" t="n">
        <x:f>IFERROR(SUMIFS('國內委外明細'!$J$4:$J$116,'國內委外明細'!$A$4:$A$116,A11,'國內委外明細'!$C$4:$C$116,C11,'國內委外明細'!$E$4:$E$116,E11)/COUNTIFS('國內委外明細'!$A$4:$A$116,A11,'國內委外明細'!$C$4:$C$116,C11,'國內委外明細'!$E$4:$E$116,E11,'國內委外明細'!$J$4:$J$116,"&lt;&gt;"),0)</x:f>
        <x:v>0</x:v>
      </x:c>
      <x:c r="J11" s="31" t="str">
        <x:v>新臺幣元</x:v>
      </x:c>
      <x:c r="K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177419555368</x:v>
      </x:c>
      <x:c r="H12" s="43" t="n">
        <x:f>IFERROR(G12/F12-1,0)</x:f>
        <x:v>0.7004848933946994</x:v>
      </x:c>
      <x:c r="I12" s="43" t="n">
        <x:f>IFERROR(SUMIFS('國內委外明細'!$J$4:$J$116,'國內委外明細'!$A$4:$A$116,A12,'國內委外明細'!$C$4:$C$116,C12,'國內委外明細'!$E$4:$E$116,E12)/COUNTIFS('國內委外明細'!$A$4:$A$116,A12,'國內委外明細'!$C$4:$C$116,C12,'國內委外明細'!$E$4:$E$116,E12,'國內委外明細'!$J$4:$J$116,"&lt;&gt;"),0)</x:f>
        <x:v>0</x:v>
      </x:c>
      <x:c r="J12" s="31" t="str">
        <x:v>新臺幣元</x:v>
      </x:c>
      <x:c r="K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20855965375</x:v>
      </x:c>
      <x:c r="H13" s="43" t="n">
        <x:f>IFERROR(G13/F13-1,0)</x:f>
        <x:v>1.482746496821497</x:v>
      </x:c>
      <x:c r="I13" s="43" t="n">
        <x:f>IFERROR(SUMIFS('國內委外明細'!$J$4:$J$116,'國內委外明細'!$A$4:$A$116,A13,'國內委外明細'!$C$4:$C$116,C13,'國內委外明細'!$E$4:$E$116,E13)/COUNTIFS('國內委外明細'!$A$4:$A$116,A13,'國內委外明細'!$C$4:$C$116,C13,'國內委外明細'!$E$4:$E$116,E13,'國內委外明細'!$J$4:$J$116,"&lt;&gt;"),0)</x:f>
        <x:v>0</x:v>
      </x:c>
      <x:c r="J13" s="31" t="str">
        <x:v>新臺幣元</x:v>
      </x:c>
      <x:c r="K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87930443646</x:v>
      </x:c>
      <x:c r="H14" s="43" t="n">
        <x:f>IFERROR(G14/F14-1,0)</x:f>
        <x:v>1.6180431089016918</x:v>
      </x:c>
      <x:c r="I14" s="43" t="n">
        <x:f>IFERROR(SUMIFS('國內委外明細'!$J$4:$J$116,'國內委外明細'!$A$4:$A$116,A14,'國內委外明細'!$C$4:$C$116,C14,'國內委外明細'!$E$4:$E$116,E14)/COUNTIFS('國內委外明細'!$A$4:$A$116,A14,'國內委外明細'!$C$4:$C$116,C14,'國內委外明細'!$E$4:$E$116,E14,'國內委外明細'!$J$4:$J$116,"&lt;&gt;"),0)</x:f>
        <x:v>0</x:v>
      </x:c>
      <x:c r="J14" s="31" t="str">
        <x:v>新臺幣元</x:v>
      </x:c>
      <x:c r="K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206276972170</x:v>
      </x:c>
      <x:c r="H15" s="43" t="n">
        <x:f>IFERROR(G15/F15-1,0)</x:f>
        <x:v>2.1642383658676962</x:v>
      </x:c>
      <x:c r="I15" s="43" t="n">
        <x:f>IFERROR(SUMIFS('國內委外明細'!$J$4:$J$116,'國內委外明細'!$A$4:$A$116,A15,'國內委外明細'!$C$4:$C$116,C15,'國內委外明細'!$E$4:$E$116,E15)/COUNTIFS('國內委外明細'!$A$4:$A$116,A15,'國內委外明細'!$C$4:$C$116,C15,'國內委外明細'!$E$4:$E$116,E15,'國內委外明細'!$J$4:$J$116,"&lt;&gt;"),0)</x:f>
        <x:v>0</x:v>
      </x:c>
      <x:c r="J15" s="31" t="str">
        <x:v>新臺幣元</x:v>
      </x:c>
      <x:c r="K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209044914162</x:v>
      </x:c>
      <x:c r="H16" s="43" t="n">
        <x:f>IFERROR(G16/F16-1,0)</x:f>
        <x:v>1.3637774512005842</x:v>
      </x:c>
      <x:c r="I16" s="43" t="n">
        <x:f>IFERROR(SUMIFS('國內委外明細'!$J$4:$J$116,'國內委外明細'!$A$4:$A$116,A16,'國內委外明細'!$C$4:$C$116,C16,'國內委外明細'!$E$4:$E$116,E16)/COUNTIFS('國內委外明細'!$A$4:$A$116,A16,'國內委外明細'!$C$4:$C$116,C16,'國內委外明細'!$E$4:$E$116,E16,'國內委外明細'!$J$4:$J$116,"&lt;&gt;"),0)</x:f>
        <x:v>0</x:v>
      </x:c>
      <x:c r="J16" s="31" t="str">
        <x:v>新臺幣元</x:v>
      </x:c>
      <x:c r="K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107079222546</x:v>
      </x:c>
      <x:c r="H17" s="43" t="n">
        <x:f>IFERROR(G17/F17-1,0)</x:f>
        <x:v>-0.10417162413052072</x:v>
      </x:c>
      <x:c r="I17" s="43" t="n">
        <x:f>IFERROR(SUMIFS('國內委外明細'!$J$4:$J$116,'國內委外明細'!$A$4:$A$116,A17,'國內委外明細'!$C$4:$C$116,C17,'國內委外明細'!$E$4:$E$116,E17)/COUNTIFS('國內委外明細'!$A$4:$A$116,A17,'國內委外明細'!$C$4:$C$116,C17,'國內委外明細'!$E$4:$E$116,E17,'國內委外明細'!$J$4:$J$116,"&lt;&gt;"),0)</x:f>
        <x:v>0</x:v>
      </x:c>
      <x:c r="J17" s="31" t="str">
        <x:v>新臺幣元</x:v>
      </x:c>
      <x:c r="K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35466347353</x:v>
      </x:c>
      <x:c r="H18" s="43" t="n">
        <x:f>IFERROR(G18/F18-1,0)</x:f>
        <x:v>1.3644231568666667</x:v>
      </x:c>
      <x:c r="I18" s="43" t="n">
        <x:f>IFERROR(SUMIFS('國內委外明細'!$J$4:$J$116,'國內委外明細'!$A$4:$A$116,A18,'國內委外明細'!$C$4:$C$116,C18,'國內委外明細'!$E$4:$E$116,E18)/COUNTIFS('國內委外明細'!$A$4:$A$116,A18,'國內委外明細'!$C$4:$C$116,C18,'國內委外明細'!$E$4:$E$116,E18,'國內委外明細'!$J$4:$J$116,"&lt;&gt;"),0)</x:f>
        <x:v>0</x:v>
      </x:c>
      <x:c r="J18" s="31" t="str">
        <x:v>新臺幣元</x:v>
      </x:c>
      <x:c r="K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121068103377</x:v>
      </x:c>
      <x:c r="H19" s="43" t="n">
        <x:f>IFERROR(G19/F19-1,0)</x:f>
        <x:v>1.5222521536875</x:v>
      </x:c>
      <x:c r="I19" s="43" t="n">
        <x:f>IFERROR(SUMIFS('國內委外明細'!$J$4:$J$116,'國內委外明細'!$A$4:$A$116,A19,'國內委外明細'!$C$4:$C$116,C19,'國內委外明細'!$E$4:$E$116,E19)/COUNTIFS('國內委外明細'!$A$4:$A$116,A19,'國內委外明細'!$C$4:$C$116,C19,'國內委外明細'!$E$4:$E$116,E19,'國內委外明細'!$J$4:$J$116,"&lt;&gt;"),0)</x:f>
        <x:v>0</x:v>
      </x:c>
      <x:c r="J19" s="31" t="str">
        <x:v>新臺幣元</x:v>
      </x:c>
      <x:c r="K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104747025433</x:v>
      </x:c>
      <x:c r="H20" s="43" t="n">
        <x:f>IFERROR(G20/F20-1,0)</x:f>
        <x:v>1.137694396591837</x:v>
      </x:c>
      <x:c r="I20" s="43" t="n">
        <x:f>IFERROR(SUMIFS('國內委外明細'!$J$4:$J$116,'國內委外明細'!$A$4:$A$116,A20,'國內委外明細'!$C$4:$C$116,C20,'國內委外明細'!$E$4:$E$116,E20)/COUNTIFS('國內委外明細'!$A$4:$A$116,A20,'國內委外明細'!$C$4:$C$116,C20,'國內委外明細'!$E$4:$E$116,E20,'國內委外明細'!$J$4:$J$116,"&lt;&gt;"),0)</x:f>
        <x:v>0</x:v>
      </x:c>
      <x:c r="J20" s="31" t="str">
        <x:v>新臺幣元</x:v>
      </x:c>
      <x:c r="K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54000000000</x:v>
      </x:c>
      <x:c r="G21" s="40" t="n">
        <x:f>SUMIFS('國內委外明細'!$H$4:$H$116,'國內委外明細'!$A$4:$A$116,A21,'國內委外明細'!$C$4:$C$116,C21,'國內委外明細'!$E$4:$E$116,E21)</x:f>
        <x:v>77860989283</x:v>
      </x:c>
      <x:c r="H21" s="43" t="n">
        <x:f>IFERROR(G21/F21-1,0)</x:f>
        <x:v>0.4418701719074074</x:v>
      </x:c>
      <x:c r="I21" s="43" t="n">
        <x:f>IFERROR(SUMIFS('國內委外明細'!$J$4:$J$116,'國內委外明細'!$A$4:$A$116,A21,'國內委外明細'!$C$4:$C$116,C21,'國內委外明細'!$E$4:$E$116,E21)/COUNTIFS('國內委外明細'!$A$4:$A$116,A21,'國內委外明細'!$C$4:$C$116,C21,'國內委外明細'!$E$4:$E$116,E21,'國內委外明細'!$J$4:$J$116,"&lt;&gt;"),0)</x:f>
        <x:v>0</x:v>
      </x:c>
      <x:c r="J21" s="31" t="str">
        <x:v>新臺幣元</x:v>
      </x:c>
      <x:c r="K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64497067140</x:v>
      </x:c>
      <x:c r="H22" s="43" t="n">
        <x:f>IFERROR(G22/F22-1,0)</x:f>
        <x:v>0.4332681586666667</x:v>
      </x:c>
      <x:c r="I22" s="43" t="n">
        <x:f>IFERROR(SUMIFS('國內委外明細'!$J$4:$J$116,'國內委外明細'!$A$4:$A$116,A22,'國內委外明細'!$C$4:$C$116,C22,'國內委外明細'!$E$4:$E$116,E22)/COUNTIFS('國內委外明細'!$A$4:$A$116,A22,'國內委外明細'!$C$4:$C$116,C22,'國內委外明細'!$E$4:$E$116,E22,'國內委外明細'!$J$4:$J$116,"&lt;&gt;"),0)</x:f>
        <x:v>0</x:v>
      </x:c>
      <x:c r="J22" s="31" t="str">
        <x:v>新臺幣元</x:v>
      </x:c>
      <x:c r="K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5000000000</x:v>
      </x:c>
      <x:c r="G23" s="40" t="n">
        <x:f>SUMIFS('國內委外明細'!$H$4:$H$116,'國內委外明細'!$A$4:$A$116,A23,'國內委外明細'!$C$4:$C$116,C23,'國內委外明細'!$E$4:$E$116,E23)</x:f>
        <x:v>4902240425</x:v>
      </x:c>
      <x:c r="H23" s="43" t="n">
        <x:f>IFERROR(G23/F23-1,0)</x:f>
        <x:v>-0.019551914999999975</x:v>
      </x:c>
      <x:c r="I23" s="43" t="n">
        <x:f>IFERROR(SUMIFS('國內委外明細'!$J$4:$J$116,'國內委外明細'!$A$4:$A$116,A23,'國內委外明細'!$C$4:$C$116,C23,'國內委外明細'!$E$4:$E$116,E23)/COUNTIFS('國內委外明細'!$A$4:$A$116,A23,'國內委外明細'!$C$4:$C$116,C23,'國內委外明細'!$E$4:$E$116,E23,'國內委外明細'!$J$4:$J$116,"&lt;&gt;"),0)</x:f>
        <x:v>0</x:v>
      </x:c>
      <x:c r="J23" s="31" t="str">
        <x:v>新臺幣元</x:v>
      </x:c>
      <x:c r="K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59111050605</x:v>
      </x:c>
      <x:c r="H24" s="43" t="n">
        <x:f>IFERROR(G24/F24-1,0)</x:f>
        <x:v>1.0315599346008577</x:v>
      </x:c>
      <x:c r="I24" s="43" t="n">
        <x:f>IFERROR(SUMIFS('國內委外明細'!$J$4:$J$116,'國內委外明細'!$A$4:$A$116,A24,'國內委外明細'!$C$4:$C$116,C24,'國內委外明細'!$E$4:$E$116,E24)/COUNTIFS('國內委外明細'!$A$4:$A$116,A24,'國內委外明細'!$C$4:$C$116,C24,'國內委外明細'!$E$4:$E$116,E24,'國內委外明細'!$J$4:$J$116,"&lt;&gt;"),0)</x:f>
        <x:v>0</x:v>
      </x:c>
      <x:c r="J24" s="31" t="str">
        <x:v>新臺幣元</x:v>
      </x:c>
      <x:c r="K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13425179562</x:v>
      </x:c>
      <x:c r="H25" s="43" t="n">
        <x:f>IFERROR(G25/F25-1,0)</x:f>
        <x:v>1.0556719180536804</x:v>
      </x:c>
      <x:c r="I25" s="43" t="n">
        <x:f>IFERROR(SUMIFS('國內委外明細'!$J$4:$J$116,'國內委外明細'!$A$4:$A$116,A25,'國內委外明細'!$C$4:$C$116,C25,'國內委外明細'!$E$4:$E$116,E25)/COUNTIFS('國內委外明細'!$A$4:$A$116,A25,'國內委外明細'!$C$4:$C$116,C25,'國內委外明細'!$E$4:$E$116,E25,'國內委外明細'!$J$4:$J$116,"&lt;&gt;"),0)</x:f>
        <x:v>0</x:v>
      </x:c>
      <x:c r="J25" s="31" t="str">
        <x:v>新臺幣元</x:v>
      </x:c>
      <x:c r="K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78465559204</x:v>
      </x:c>
      <x:c r="H26" s="43" t="n">
        <x:f>IFERROR(G26/F26-1,0)</x:f>
        <x:v>1.8681521752214705</x:v>
      </x:c>
      <x:c r="I26" s="43" t="n">
        <x:f>IFERROR(SUMIFS('國內委外明細'!$J$4:$J$116,'國內委外明細'!$A$4:$A$116,A26,'國內委外明細'!$C$4:$C$116,C26,'國內委外明細'!$E$4:$E$116,E26)/COUNTIFS('國內委外明細'!$A$4:$A$116,A26,'國內委外明細'!$C$4:$C$116,C26,'國內委外明細'!$E$4:$E$116,E26,'國內委外明細'!$J$4:$J$116,"&lt;&gt;"),0)</x:f>
        <x:v>0</x:v>
      </x:c>
      <x:c r="J26" s="31" t="str">
        <x:v>新臺幣元</x:v>
      </x:c>
      <x:c r="K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19860210266</x:v>
      </x:c>
      <x:c r="H27" s="43" t="n">
        <x:f>IFERROR(G27/F27-1,0)</x:f>
        <x:v>1.6830668142287175</x:v>
      </x:c>
      <x:c r="I27" s="43" t="n">
        <x:f>IFERROR(SUMIFS('國內委外明細'!$J$4:$J$116,'國內委外明細'!$A$4:$A$116,A27,'國內委外明細'!$C$4:$C$116,C27,'國內委外明細'!$E$4:$E$116,E27)/COUNTIFS('國內委外明細'!$A$4:$A$116,A27,'國內委外明細'!$C$4:$C$116,C27,'國內委外明細'!$E$4:$E$116,E27,'國內委外明細'!$J$4:$J$116,"&lt;&gt;"),0)</x:f>
        <x:v>0</x:v>
      </x:c>
      <x:c r="J27" s="31" t="str">
        <x:v>新臺幣元</x:v>
      </x:c>
      <x:c r="K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82795755047</x:v>
      </x:c>
      <x:c r="H28" s="43" t="n">
        <x:f>IFERROR(G28/F28-1,0)</x:f>
        <x:v>1.9473569063704939</x:v>
      </x:c>
      <x:c r="I28" s="43" t="n">
        <x:f>IFERROR(SUMIFS('國內委外明細'!$J$4:$J$116,'國內委外明細'!$A$4:$A$116,A28,'國內委外明細'!$C$4:$C$116,C28,'國內委外明細'!$E$4:$E$116,E28)/COUNTIFS('國內委外明細'!$A$4:$A$116,A28,'國內委外明細'!$C$4:$C$116,C28,'國內委外明細'!$E$4:$E$116,E28,'國內委外明細'!$J$4:$J$116,"&lt;&gt;"),0)</x:f>
        <x:v>0</x:v>
      </x:c>
      <x:c r="J28" s="31" t="str">
        <x:v>新臺幣元</x:v>
      </x:c>
      <x:c r="K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11597578661</x:v>
      </x:c>
      <x:c r="H29" s="43" t="n">
        <x:f>IFERROR(G29/F29-1,0)</x:f>
        <x:v>1.3195157322000002</x:v>
      </x:c>
      <x:c r="I29" s="43" t="n">
        <x:f>IFERROR(SUMIFS('國內委外明細'!$J$4:$J$116,'國內委外明細'!$A$4:$A$116,A29,'國內委外明細'!$C$4:$C$116,C29,'國內委外明細'!$E$4:$E$116,E29)/COUNTIFS('國內委外明細'!$A$4:$A$116,A29,'國內委外明細'!$C$4:$C$116,C29,'國內委外明細'!$E$4:$E$116,E29,'國內委外明細'!$J$4:$J$116,"&lt;&gt;"),0)</x:f>
        <x:v>0</x:v>
      </x:c>
      <x:c r="J29" s="31" t="str">
        <x:v>新臺幣元</x:v>
      </x:c>
      <x:c r="K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44636288940</x:v>
      </x:c>
      <x:c r="H30" s="43" t="n">
        <x:f>IFERROR(G30/F30-1,0)</x:f>
        <x:v>1.1255375685714286</x:v>
      </x:c>
      <x:c r="I30" s="43" t="n">
        <x:f>IFERROR(SUMIFS('國內委外明細'!$J$4:$J$116,'國內委外明細'!$A$4:$A$116,A30,'國內委外明細'!$C$4:$C$116,C30,'國內委外明細'!$E$4:$E$116,E30)/COUNTIFS('國內委外明細'!$A$4:$A$116,A30,'國內委外明細'!$C$4:$C$116,C30,'國內委外明細'!$E$4:$E$116,E30,'國內委外明細'!$J$4:$J$116,"&lt;&gt;"),0)</x:f>
        <x:v>0</x:v>
      </x:c>
      <x:c r="J30" s="31" t="str">
        <x:v>新臺幣元</x:v>
      </x:c>
      <x:c r="K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15506059249</x:v>
      </x:c>
      <x:c r="H31" s="43" t="n">
        <x:f>IFERROR(G31/F31-1,0)</x:f>
        <x:v>1.5815734590852641</x:v>
      </x:c>
      <x:c r="I31" s="43" t="n">
        <x:f>IFERROR(SUMIFS('國內委外明細'!$J$4:$J$116,'國內委外明細'!$A$4:$A$116,A31,'國內委外明細'!$C$4:$C$116,C31,'國內委外明細'!$E$4:$E$116,E31)/COUNTIFS('國內委外明細'!$A$4:$A$116,A31,'國內委外明細'!$C$4:$C$116,C31,'國內委外明細'!$E$4:$E$116,E31,'國內委外明細'!$J$4:$J$116,"&lt;&gt;"),0)</x:f>
        <x:v>0</x:v>
      </x:c>
      <x:c r="J31" s="31" t="str">
        <x:v>新臺幣元</x:v>
      </x:c>
      <x:c r="K31" s="32" t="str">
        <x:v>勞工保險基金-115年7月.pdf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25210400997</x:v>
      </x:c>
      <x:c r="H32" s="43" t="n">
        <x:f>IFERROR(G32/F32-1,0)</x:f>
        <x:v>1.492164690090406</x:v>
      </x:c>
      <x:c r="I32" s="43" t="n">
        <x:f>IFERROR(SUMIFS('國內委外明細'!$J$4:$J$116,'國內委外明細'!$A$4:$A$116,A32,'國內委外明細'!$C$4:$C$116,C32,'國內委外明細'!$E$4:$E$116,E32)/COUNTIFS('國內委外明細'!$A$4:$A$116,A32,'國內委外明細'!$C$4:$C$116,C32,'國內委外明細'!$E$4:$E$116,E32,'國內委外明細'!$J$4:$J$116,"&lt;&gt;"),0)</x:f>
        <x:v>0</x:v>
      </x:c>
      <x:c r="J32" s="31" t="str">
        <x:v>新臺幣元</x:v>
      </x:c>
      <x:c r="K32" s="32" t="str">
        <x:v>勞工保險基金-115年7月.pdf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23092321941</x:v>
      </x:c>
      <x:c r="H33" s="43" t="n">
        <x:f>IFERROR(G33/F33-1,0)</x:f>
        <x:v>1.3690599189707795</x:v>
      </x:c>
      <x:c r="I33" s="43" t="n">
        <x:f>IFERROR(SUMIFS('國內委外明細'!$J$4:$J$116,'國內委外明細'!$A$4:$A$116,A33,'國內委外明細'!$C$4:$C$116,C33,'國內委外明細'!$E$4:$E$116,E33)/COUNTIFS('國內委外明細'!$A$4:$A$116,A33,'國內委外明細'!$C$4:$C$116,C33,'國內委外明細'!$E$4:$E$116,E33,'國內委外明細'!$J$4:$J$116,"&lt;&gt;"),0)</x:f>
        <x:v>0</x:v>
      </x:c>
      <x:c r="J33" s="31" t="str">
        <x:v>新臺幣元</x:v>
      </x:c>
      <x:c r="K33" s="32" t="str">
        <x:v>勞工保險基金-115年7月.pdf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4652345358</x:v>
      </x:c>
      <x:c r="H34" s="43" t="n">
        <x:f>IFERROR(G34/F34-1,0)</x:f>
        <x:v>1.326172679</x:v>
      </x:c>
      <x:c r="I34" s="43" t="n">
        <x:f>IFERROR(SUMIFS('國內委外明細'!$J$4:$J$116,'國內委外明細'!$A$4:$A$116,A34,'國內委外明細'!$C$4:$C$116,C34,'國內委外明細'!$E$4:$E$116,E34)/COUNTIFS('國內委外明細'!$A$4:$A$116,A34,'國內委外明細'!$C$4:$C$116,C34,'國內委外明細'!$E$4:$E$116,E34,'國內委外明細'!$J$4:$J$116,"&lt;&gt;"),0)</x:f>
        <x:v>0</x:v>
      </x:c>
      <x:c r="J34" s="31" t="str">
        <x:v>新臺幣元</x:v>
      </x:c>
      <x:c r="K34" s="32" t="str">
        <x:v>勞工保險基金-115年7月.pdf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6000000000</x:v>
      </x:c>
      <x:c r="G35" s="40" t="n">
        <x:f>SUMIFS('國內委外明細'!$H$4:$H$116,'國內委外明細'!$A$4:$A$116,A35,'國內委外明細'!$C$4:$C$116,C35,'國內委外明細'!$E$4:$E$116,E35)</x:f>
        <x:v>7934807672</x:v>
      </x:c>
      <x:c r="H35" s="43" t="n">
        <x:f>IFERROR(G35/F35-1,0)</x:f>
        <x:v>0.32246794533333323</x:v>
      </x:c>
      <x:c r="I35" s="43" t="n">
        <x:f>IFERROR(SUMIFS('國內委外明細'!$J$4:$J$116,'國內委外明細'!$A$4:$A$116,A35,'國內委外明細'!$C$4:$C$116,C35,'國內委外明細'!$E$4:$E$116,E35)/COUNTIFS('國內委外明細'!$A$4:$A$116,A35,'國內委外明細'!$C$4:$C$116,C35,'國內委外明細'!$E$4:$E$116,E35,'國內委外明細'!$J$4:$J$116,"&lt;&gt;"),0)</x:f>
        <x:v>0</x:v>
      </x:c>
      <x:c r="J35" s="31" t="str">
        <x:v>新臺幣元</x:v>
      </x:c>
      <x:c r="K35" s="32" t="str">
        <x:v>國民年金保險基金-115年7月.pdf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1056051599</x:v>
      </x:c>
      <x:c r="H36" s="43" t="n">
        <x:f>IFERROR(G36/F36-1,0)</x:f>
        <x:v>-0.11995700083333338</x:v>
      </x:c>
      <x:c r="I36" s="43" t="n">
        <x:f>IFERROR(SUMIFS('國內委外明細'!$J$4:$J$116,'國內委外明細'!$A$4:$A$116,A36,'國內委外明細'!$C$4:$C$116,C36,'國內委外明細'!$E$4:$E$116,E36)/COUNTIFS('國內委外明細'!$A$4:$A$116,A36,'國內委外明細'!$C$4:$C$116,C36,'國內委外明細'!$E$4:$E$116,E36,'國內委外明細'!$J$4:$J$116,"&lt;&gt;"),0)</x:f>
        <x:v>0</x:v>
      </x:c>
      <x:c r="J36" s="31" t="str">
        <x:v>新臺幣元</x:v>
      </x:c>
      <x:c r="K36" s="32" t="str">
        <x:v>國民年金保險基金-115年7月.pdf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SUMIFS('國外委外明細'!$G$4:$G$188,'國外委外明細'!$A$4:$A$188,A37,'國外委外明細'!$C$4:$C$188,C37,'國外委外明細'!$E$4:$E$188,E37)</x:f>
        <x:v>2239153597</x:v>
      </x:c>
      <x:c r="G37" s="40" t="n">
        <x:f>SUMIFS('國外委外明細'!$H$4:$H$188,'國外委外明細'!$A$4:$A$188,A37,'國外委外明細'!$C$4:$C$188,C37,'國外委外明細'!$E$4:$E$188,E37)</x:f>
        <x:v>2232322210</x:v>
      </x:c>
      <x:c r="H37" s="43" t="n">
        <x:f>IFERROR(G37/F37-1,0)</x:f>
        <x:v>-0.003050879139846696</x:v>
      </x:c>
      <x:c r="I37" s="43" t="n">
        <x:f>IFERROR(SUMIFS('國外委外明細'!$J$4:$J$188,'國外委外明細'!$A$4:$A$188,A37,'國外委外明細'!$C$4:$C$188,C37,'國外委外明細'!$E$4:$E$188,E37)/COUNTIFS('國外委外明細'!$A$4:$A$188,A37,'國外委外明細'!$C$4:$C$188,C37,'國外委外明細'!$E$4:$E$188,E37,'國外委外明細'!$J$4:$J$188,"&lt;&gt;"),0)</x:f>
        <x:v>0</x:v>
      </x:c>
      <x:c r="J37" s="31" t="str">
        <x:v>美元</x:v>
      </x:c>
      <x:c r="K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SUMIFS('國外委外明細'!$G$4:$G$188,'國外委外明細'!$A$4:$A$188,A38,'國外委外明細'!$C$4:$C$188,C38,'國外委外明細'!$E$4:$E$188,E38)</x:f>
        <x:v>2408967886</x:v>
      </x:c>
      <x:c r="G38" s="40" t="n">
        <x:f>SUMIFS('國外委外明細'!$H$4:$H$188,'國外委外明細'!$A$4:$A$188,A38,'國外委外明細'!$C$4:$C$188,C38,'國外委外明細'!$E$4:$E$188,E38)</x:f>
        <x:v>2364612047</x:v>
      </x:c>
      <x:c r="H38" s="43" t="n">
        <x:f>IFERROR(G38/F38-1,0)</x:f>
        <x:v>-0.01841279796952844</x:v>
      </x:c>
      <x:c r="I38" s="43" t="n">
        <x:f>IFERROR(SUMIFS('國外委外明細'!$J$4:$J$188,'國外委外明細'!$A$4:$A$188,A38,'國外委外明細'!$C$4:$C$188,C38,'國外委外明細'!$E$4:$E$188,E38)/COUNTIFS('國外委外明細'!$A$4:$A$188,A38,'國外委外明細'!$C$4:$C$188,C38,'國外委外明細'!$E$4:$E$188,E38,'國外委外明細'!$J$4:$J$188,"&lt;&gt;"),0)</x:f>
        <x:v>0</x:v>
      </x:c>
      <x:c r="J38" s="31" t="str">
        <x:v>美元</x:v>
      </x:c>
      <x:c r="K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SUMIFS('國外委外明細'!$G$4:$G$188,'國外委外明細'!$A$4:$A$188,A39,'國外委外明細'!$C$4:$C$188,C39,'國外委外明細'!$E$4:$E$188,E39)</x:f>
        <x:v>3619926421</x:v>
      </x:c>
      <x:c r="G39" s="40" t="n">
        <x:f>SUMIFS('國外委外明細'!$H$4:$H$188,'國外委外明細'!$A$4:$A$188,A39,'國外委外明細'!$C$4:$C$188,C39,'國外委外明細'!$E$4:$E$188,E39)</x:f>
        <x:v>6265032518</x:v>
      </x:c>
      <x:c r="H39" s="43" t="n">
        <x:f>IFERROR(G39/F39-1,0)</x:f>
        <x:v>0.7307071441162865</x:v>
      </x:c>
      <x:c r="I39" s="43" t="n">
        <x:f>IFERROR(SUMIFS('國外委外明細'!$J$4:$J$188,'國外委外明細'!$A$4:$A$188,A39,'國外委外明細'!$C$4:$C$188,C39,'國外委外明細'!$E$4:$E$188,E39)/COUNTIFS('國外委外明細'!$A$4:$A$188,A39,'國外委外明細'!$C$4:$C$188,C39,'國外委外明細'!$E$4:$E$188,E39,'國外委外明細'!$J$4:$J$188,"&lt;&gt;"),0)</x:f>
        <x:v>0</x:v>
      </x:c>
      <x:c r="J39" s="31" t="str">
        <x:v>美元</x:v>
      </x:c>
      <x:c r="K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SUMIFS('國外委外明細'!$G$4:$G$188,'國外委外明細'!$A$4:$A$188,A40,'國外委外明細'!$C$4:$C$188,C40,'國外委外明細'!$E$4:$E$188,E40)</x:f>
        <x:v>656507639</x:v>
      </x:c>
      <x:c r="G40" s="40" t="n">
        <x:f>SUMIFS('國外委外明細'!$H$4:$H$188,'國外委外明細'!$A$4:$A$188,A40,'國外委外明細'!$C$4:$C$188,C40,'國外委外明細'!$E$4:$E$188,E40)</x:f>
        <x:v>1304933202</x:v>
      </x:c>
      <x:c r="H40" s="43" t="n">
        <x:f>IFERROR(G40/F40-1,0)</x:f>
        <x:v>0.987689288715192</x:v>
      </x:c>
      <x:c r="I40" s="43" t="n">
        <x:f>IFERROR(SUMIFS('國外委外明細'!$J$4:$J$188,'國外委外明細'!$A$4:$A$188,A40,'國外委外明細'!$C$4:$C$188,C40,'國外委外明細'!$E$4:$E$188,E40)/COUNTIFS('國外委外明細'!$A$4:$A$188,A40,'國外委外明細'!$C$4:$C$188,C40,'國外委外明細'!$E$4:$E$188,E40,'國外委外明細'!$J$4:$J$188,"&lt;&gt;"),0)</x:f>
        <x:v>0</x:v>
      </x:c>
      <x:c r="J40" s="31" t="str">
        <x:v>美元</x:v>
      </x:c>
      <x:c r="K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SUMIFS('國外委外明細'!$G$4:$G$188,'國外委外明細'!$A$4:$A$188,A41,'國外委外明細'!$C$4:$C$188,C41,'國外委外明細'!$E$4:$E$188,E41)</x:f>
        <x:v>3104747493</x:v>
      </x:c>
      <x:c r="G41" s="40" t="n">
        <x:f>SUMIFS('國外委外明細'!$H$4:$H$188,'國外委外明細'!$A$4:$A$188,A41,'國外委外明細'!$C$4:$C$188,C41,'國外委外明細'!$E$4:$E$188,E41)</x:f>
        <x:v>5524840287</x:v>
      </x:c>
      <x:c r="H41" s="43" t="n">
        <x:f>IFERROR(G41/F41-1,0)</x:f>
        <x:v>0.77948135861495</x:v>
      </x:c>
      <x:c r="I41" s="43" t="n">
        <x:f>IFERROR(SUMIFS('國外委外明細'!$J$4:$J$188,'國外委外明細'!$A$4:$A$188,A41,'國外委外明細'!$C$4:$C$188,C41,'國外委外明細'!$E$4:$E$188,E41)/COUNTIFS('國外委外明細'!$A$4:$A$188,A41,'國外委外明細'!$C$4:$C$188,C41,'國外委外明細'!$E$4:$E$188,E41,'國外委外明細'!$J$4:$J$188,"&lt;&gt;"),0)</x:f>
        <x:v>0</x:v>
      </x:c>
      <x:c r="J41" s="31" t="str">
        <x:v>美元</x:v>
      </x:c>
      <x:c r="K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SUMIFS('國外委外明細'!$G$4:$G$188,'國外委外明細'!$A$4:$A$188,A42,'國外委外明細'!$C$4:$C$188,C42,'國外委外明細'!$E$4:$E$188,E42)</x:f>
        <x:v>3370468847</x:v>
      </x:c>
      <x:c r="G42" s="40" t="n">
        <x:f>SUMIFS('國外委外明細'!$H$4:$H$188,'國外委外明細'!$A$4:$A$188,A42,'國外委外明細'!$C$4:$C$188,C42,'國外委外明細'!$E$4:$E$188,E42)</x:f>
        <x:v>3425867051</x:v>
      </x:c>
      <x:c r="H42" s="43" t="n">
        <x:f>IFERROR(G42/F42-1,0)</x:f>
        <x:v>0.01643634951538253</x:v>
      </x:c>
      <x:c r="I42" s="43" t="n">
        <x:f>IFERROR(SUMIFS('國外委外明細'!$J$4:$J$188,'國外委外明細'!$A$4:$A$188,A42,'國外委外明細'!$C$4:$C$188,C42,'國外委外明細'!$E$4:$E$188,E42)/COUNTIFS('國外委外明細'!$A$4:$A$188,A42,'國外委外明細'!$C$4:$C$188,C42,'國外委外明細'!$E$4:$E$188,E42,'國外委外明細'!$J$4:$J$188,"&lt;&gt;"),0)</x:f>
        <x:v>0</x:v>
      </x:c>
      <x:c r="J42" s="31" t="str">
        <x:v>美元</x:v>
      </x:c>
      <x:c r="K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SUMIFS('國外委外明細'!$G$4:$G$188,'國外委外明細'!$A$4:$A$188,A43,'國外委外明細'!$C$4:$C$188,C43,'國外委外明細'!$E$4:$E$188,E43)</x:f>
        <x:v>3973059884</x:v>
      </x:c>
      <x:c r="G43" s="40" t="n">
        <x:f>SUMIFS('國外委外明細'!$H$4:$H$188,'國外委外明細'!$A$4:$A$188,A43,'國外委外明細'!$C$4:$C$188,C43,'國外委外明細'!$E$4:$E$188,E43)</x:f>
        <x:v>4494318992</x:v>
      </x:c>
      <x:c r="H43" s="43" t="n">
        <x:f>IFERROR(G43/F43-1,0)</x:f>
        <x:v>0.13119840204250988</x:v>
      </x:c>
      <x:c r="I43" s="43" t="n">
        <x:f>IFERROR(SUMIFS('國外委外明細'!$J$4:$J$188,'國外委外明細'!$A$4:$A$188,A43,'國外委外明細'!$C$4:$C$188,C43,'國外委外明細'!$E$4:$E$188,E43)/COUNTIFS('國外委外明細'!$A$4:$A$188,A43,'國外委外明細'!$C$4:$C$188,C43,'國外委外明細'!$E$4:$E$188,E43,'國外委外明細'!$J$4:$J$188,"&lt;&gt;"),0)</x:f>
        <x:v>0</x:v>
      </x:c>
      <x:c r="J43" s="31" t="str">
        <x:v>美元</x:v>
      </x:c>
      <x:c r="K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SUMIFS('國外委外明細'!$G$4:$G$188,'國外委外明細'!$A$4:$A$188,A44,'國外委外明細'!$C$4:$C$188,C44,'國外委外明細'!$E$4:$E$188,E44)</x:f>
        <x:v>618843493</x:v>
      </x:c>
      <x:c r="G44" s="40" t="n">
        <x:f>SUMIFS('國外委外明細'!$H$4:$H$188,'國外委外明細'!$A$4:$A$188,A44,'國外委外明細'!$C$4:$C$188,C44,'國外委外明細'!$E$4:$E$188,E44)</x:f>
        <x:v>769778438</x:v>
      </x:c>
      <x:c r="H44" s="43" t="n">
        <x:f>IFERROR(G44/F44-1,0)</x:f>
        <x:v>0.24389841164573745</x:v>
      </x:c>
      <x:c r="I44" s="43" t="n">
        <x:f>IFERROR(SUMIFS('國外委外明細'!$J$4:$J$188,'國外委外明細'!$A$4:$A$188,A44,'國外委外明細'!$C$4:$C$188,C44,'國外委外明細'!$E$4:$E$188,E44)/COUNTIFS('國外委外明細'!$A$4:$A$188,A44,'國外委外明細'!$C$4:$C$188,C44,'國外委外明細'!$E$4:$E$188,E44,'國外委外明細'!$J$4:$J$188,"&lt;&gt;"),0)</x:f>
        <x:v>0</x:v>
      </x:c>
      <x:c r="J44" s="31" t="str">
        <x:v>美元</x:v>
      </x:c>
      <x:c r="K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SUMIFS('國外委外明細'!$G$4:$G$188,'國外委外明細'!$A$4:$A$188,A45,'國外委外明細'!$C$4:$C$188,C45,'國外委外明細'!$E$4:$E$188,E45)</x:f>
        <x:v>2615403946</x:v>
      </x:c>
      <x:c r="G45" s="40" t="n">
        <x:f>SUMIFS('國外委外明細'!$H$4:$H$188,'國外委外明細'!$A$4:$A$188,A45,'國外委外明細'!$C$4:$C$188,C45,'國外委外明細'!$E$4:$E$188,E45)</x:f>
        <x:v>3447860340</x:v>
      </x:c>
      <x:c r="H45" s="43" t="n">
        <x:f>IFERROR(G45/F45-1,0)</x:f>
        <x:v>0.31828979812971503</x:v>
      </x:c>
      <x:c r="I45" s="43" t="n">
        <x:f>IFERROR(SUMIFS('國外委外明細'!$J$4:$J$188,'國外委外明細'!$A$4:$A$188,A45,'國外委外明細'!$C$4:$C$188,C45,'國外委外明細'!$E$4:$E$188,E45)/COUNTIFS('國外委外明細'!$A$4:$A$188,A45,'國外委外明細'!$C$4:$C$188,C45,'國外委外明細'!$E$4:$E$188,E45,'國外委外明細'!$J$4:$J$188,"&lt;&gt;"),0)</x:f>
        <x:v>0</x:v>
      </x:c>
      <x:c r="J45" s="31" t="str">
        <x:v>美元</x:v>
      </x:c>
      <x:c r="K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SUMIFS('國外委外明細'!$G$4:$G$188,'國外委外明細'!$A$4:$A$188,A46,'國外委外明細'!$C$4:$C$188,C46,'國外委外明細'!$E$4:$E$188,E46)</x:f>
        <x:v>4468396599</x:v>
      </x:c>
      <x:c r="G46" s="40" t="n">
        <x:f>SUMIFS('國外委外明細'!$H$4:$H$188,'國外委外明細'!$A$4:$A$188,A46,'國外委外明細'!$C$4:$C$188,C46,'國外委外明細'!$E$4:$E$188,E46)</x:f>
        <x:v>6174340158</x:v>
      </x:c>
      <x:c r="H46" s="43" t="n">
        <x:f>IFERROR(G46/F46-1,0)</x:f>
        <x:v>0.3817797998015171</x:v>
      </x:c>
      <x:c r="I46" s="43" t="n">
        <x:f>IFERROR(SUMIFS('國外委外明細'!$J$4:$J$188,'國外委外明細'!$A$4:$A$188,A46,'國外委外明細'!$C$4:$C$188,C46,'國外委外明細'!$E$4:$E$188,E46)/COUNTIFS('國外委外明細'!$A$4:$A$188,A46,'國外委外明細'!$C$4:$C$188,C46,'國外委外明細'!$E$4:$E$188,E46,'國外委外明細'!$J$4:$J$188,"&lt;&gt;"),0)</x:f>
        <x:v>0</x:v>
      </x:c>
      <x:c r="J46" s="31" t="str">
        <x:v>美元</x:v>
      </x:c>
      <x:c r="K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SUMIFS('國外委外明細'!$G$4:$G$188,'國外委外明細'!$A$4:$A$188,A47,'國外委外明細'!$C$4:$C$188,C47,'國外委外明細'!$E$4:$E$188,E47)</x:f>
        <x:v>2798513681</x:v>
      </x:c>
      <x:c r="G47" s="40" t="n">
        <x:f>SUMIFS('國外委外明細'!$H$4:$H$188,'國外委外明細'!$A$4:$A$188,A47,'國外委外明細'!$C$4:$C$188,C47,'國外委外明細'!$E$4:$E$188,E47)</x:f>
        <x:v>3178277891</x:v>
      </x:c>
      <x:c r="H47" s="43" t="n">
        <x:f>IFERROR(G47/F47-1,0)</x:f>
        <x:v>0.13570210950846517</x:v>
      </x:c>
      <x:c r="I47" s="43" t="n">
        <x:f>IFERROR(SUMIFS('國外委外明細'!$J$4:$J$188,'國外委外明細'!$A$4:$A$188,A47,'國外委外明細'!$C$4:$C$188,C47,'國外委外明細'!$E$4:$E$188,E47)/COUNTIFS('國外委外明細'!$A$4:$A$188,A47,'國外委外明細'!$C$4:$C$188,C47,'國外委外明細'!$E$4:$E$188,E47,'國外委外明細'!$J$4:$J$188,"&lt;&gt;"),0)</x:f>
        <x:v>0</x:v>
      </x:c>
      <x:c r="J47" s="31" t="str">
        <x:v>美元</x:v>
      </x:c>
      <x:c r="K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SUMIFS('國外委外明細'!$G$4:$G$188,'國外委外明細'!$A$4:$A$188,A48,'國外委外明細'!$C$4:$C$188,C48,'國外委外明細'!$E$4:$E$188,E48)</x:f>
        <x:v>9619675493</x:v>
      </x:c>
      <x:c r="G48" s="40" t="n">
        <x:f>SUMIFS('國外委外明細'!$H$4:$H$188,'國外委外明細'!$A$4:$A$188,A48,'國外委外明細'!$C$4:$C$188,C48,'國外委外明細'!$E$4:$E$188,E48)</x:f>
        <x:v>11623847936</x:v>
      </x:c>
      <x:c r="H48" s="43" t="n">
        <x:f>IFERROR(G48/F48-1,0)</x:f>
        <x:v>0.20834096165285265</x:v>
      </x:c>
      <x:c r="I48" s="43" t="n">
        <x:f>IFERROR(SUMIFS('國外委外明細'!$J$4:$J$188,'國外委外明細'!$A$4:$A$188,A48,'國外委外明細'!$C$4:$C$188,C48,'國外委外明細'!$E$4:$E$188,E48)/COUNTIFS('國外委外明細'!$A$4:$A$188,A48,'國外委外明細'!$C$4:$C$188,C48,'國外委外明細'!$E$4:$E$188,E48,'國外委外明細'!$J$4:$J$188,"&lt;&gt;"),0)</x:f>
        <x:v>0</x:v>
      </x:c>
      <x:c r="J48" s="31" t="str">
        <x:v>美元</x:v>
      </x:c>
      <x:c r="K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SUMIFS('國外委外明細'!$G$4:$G$188,'國外委外明細'!$A$4:$A$188,A49,'國外委外明細'!$C$4:$C$188,C49,'國外委外明細'!$E$4:$E$188,E49)</x:f>
        <x:v>2827776282</x:v>
      </x:c>
      <x:c r="G49" s="40" t="n">
        <x:f>SUMIFS('國外委外明細'!$H$4:$H$188,'國外委外明細'!$A$4:$A$188,A49,'國外委外明細'!$C$4:$C$188,C49,'國外委外明細'!$E$4:$E$188,E49)</x:f>
        <x:v>3155096751</x:v>
      </x:c>
      <x:c r="H49" s="43" t="n">
        <x:f>IFERROR(G49/F49-1,0)</x:f>
        <x:v>0.11575189702365574</x:v>
      </x:c>
      <x:c r="I49" s="43" t="n">
        <x:f>IFERROR(SUMIFS('國外委外明細'!$J$4:$J$188,'國外委外明細'!$A$4:$A$188,A49,'國外委外明細'!$C$4:$C$188,C49,'國外委外明細'!$E$4:$E$188,E49)/COUNTIFS('國外委外明細'!$A$4:$A$188,A49,'國外委外明細'!$C$4:$C$188,C49,'國外委外明細'!$E$4:$E$188,E49,'國外委外明細'!$J$4:$J$188,"&lt;&gt;"),0)</x:f>
        <x:v>0</x:v>
      </x:c>
      <x:c r="J49" s="31" t="str">
        <x:v>美元</x:v>
      </x:c>
      <x:c r="K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SUMIFS('國外委外明細'!$G$4:$G$188,'國外委外明細'!$A$4:$A$188,A50,'國外委外明細'!$C$4:$C$188,C50,'國外委外明細'!$E$4:$E$188,E50)</x:f>
        <x:v>949175052</x:v>
      </x:c>
      <x:c r="G50" s="40" t="n">
        <x:f>SUMIFS('國外委外明細'!$H$4:$H$188,'國外委外明細'!$A$4:$A$188,A50,'國外委外明細'!$C$4:$C$188,C50,'國外委外明細'!$E$4:$E$188,E50)</x:f>
        <x:v>1656860388</x:v>
      </x:c>
      <x:c r="H50" s="43" t="n">
        <x:f>IFERROR(G50/F50-1,0)</x:f>
        <x:v>0.7455793686410543</x:v>
      </x:c>
      <x:c r="I50" s="43" t="n">
        <x:f>IFERROR(SUMIFS('國外委外明細'!$J$4:$J$188,'國外委外明細'!$A$4:$A$188,A50,'國外委外明細'!$C$4:$C$188,C50,'國外委外明細'!$E$4:$E$188,E50)/COUNTIFS('國外委外明細'!$A$4:$A$188,A50,'國外委外明細'!$C$4:$C$188,C50,'國外委外明細'!$E$4:$E$188,E50,'國外委外明細'!$J$4:$J$188,"&lt;&gt;"),0)</x:f>
        <x:v>0</x:v>
      </x:c>
      <x:c r="J50" s="31" t="str">
        <x:v>美元</x:v>
      </x:c>
      <x:c r="K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SUMIFS('國外委外明細'!$G$4:$G$188,'國外委外明細'!$A$4:$A$188,A51,'國外委外明細'!$C$4:$C$188,C51,'國外委外明細'!$E$4:$E$188,E51)</x:f>
        <x:v>3101360175</x:v>
      </x:c>
      <x:c r="G51" s="40" t="n">
        <x:f>SUMIFS('國外委外明細'!$H$4:$H$188,'國外委外明細'!$A$4:$A$188,A51,'國外委外明細'!$C$4:$C$188,C51,'國外委外明細'!$E$4:$E$188,E51)</x:f>
        <x:v>5646832072</x:v>
      </x:c>
      <x:c r="H51" s="43" t="n">
        <x:f>IFERROR(G51/F51-1,0)</x:f>
        <x:v>0.8207598451540701</x:v>
      </x:c>
      <x:c r="I51" s="43" t="n">
        <x:f>IFERROR(SUMIFS('國外委外明細'!$J$4:$J$188,'國外委外明細'!$A$4:$A$188,A51,'國外委外明細'!$C$4:$C$188,C51,'國外委外明細'!$E$4:$E$188,E51)/COUNTIFS('國外委外明細'!$A$4:$A$188,A51,'國外委外明細'!$C$4:$C$188,C51,'國外委外明細'!$E$4:$E$188,E51,'國外委外明細'!$J$4:$J$188,"&lt;&gt;"),0)</x:f>
        <x:v>0</x:v>
      </x:c>
      <x:c r="J51" s="31" t="str">
        <x:v>美元</x:v>
      </x:c>
      <x:c r="K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SUMIFS('國外委外明細'!$G$4:$G$188,'國外委外明細'!$A$4:$A$188,A52,'國外委外明細'!$C$4:$C$188,C52,'國外委外明細'!$E$4:$E$188,E52)</x:f>
        <x:v>2372190430</x:v>
      </x:c>
      <x:c r="G52" s="40" t="n">
        <x:f>SUMIFS('國外委外明細'!$H$4:$H$188,'國外委外明細'!$A$4:$A$188,A52,'國外委外明細'!$C$4:$C$188,C52,'國外委外明細'!$E$4:$E$188,E52)</x:f>
        <x:v>2976089335</x:v>
      </x:c>
      <x:c r="H52" s="43" t="n">
        <x:f>IFERROR(G52/F52-1,0)</x:f>
        <x:v>0.2545743787525523</x:v>
      </x:c>
      <x:c r="I52" s="43" t="n">
        <x:f>IFERROR(SUMIFS('國外委外明細'!$J$4:$J$188,'國外委外明細'!$A$4:$A$188,A52,'國外委外明細'!$C$4:$C$188,C52,'國外委外明細'!$E$4:$E$188,E52)/COUNTIFS('國外委外明細'!$A$4:$A$188,A52,'國外委外明細'!$C$4:$C$188,C52,'國外委外明細'!$E$4:$E$188,E52,'國外委外明細'!$J$4:$J$188,"&lt;&gt;"),0)</x:f>
        <x:v>0</x:v>
      </x:c>
      <x:c r="J52" s="31" t="str">
        <x:v>美元</x:v>
      </x:c>
      <x:c r="K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SUMIFS('國外委外明細'!$G$4:$G$188,'國外委外明細'!$A$4:$A$188,A53,'國外委外明細'!$C$4:$C$188,C53,'國外委外明細'!$E$4:$E$188,E53)</x:f>
        <x:v>5127486283</x:v>
      </x:c>
      <x:c r="G53" s="40" t="n">
        <x:f>SUMIFS('國外委外明細'!$H$4:$H$188,'國外委外明細'!$A$4:$A$188,A53,'國外委外明細'!$C$4:$C$188,C53,'國外委外明細'!$E$4:$E$188,E53)</x:f>
        <x:v>7241860834</x:v>
      </x:c>
      <x:c r="H53" s="43" t="n">
        <x:f>IFERROR(G53/F53-1,0)</x:f>
        <x:v>0.41236084004946716</x:v>
      </x:c>
      <x:c r="I53" s="43" t="n">
        <x:f>IFERROR(SUMIFS('國外委外明細'!$J$4:$J$188,'國外委外明細'!$A$4:$A$188,A53,'國外委外明細'!$C$4:$C$188,C53,'國外委外明細'!$E$4:$E$188,E53)/COUNTIFS('國外委外明細'!$A$4:$A$188,A53,'國外委外明細'!$C$4:$C$188,C53,'國外委外明細'!$E$4:$E$188,E53,'國外委外明細'!$J$4:$J$188,"&lt;&gt;"),0)</x:f>
        <x:v>0</x:v>
      </x:c>
      <x:c r="J53" s="31" t="str">
        <x:v>美元</x:v>
      </x:c>
      <x:c r="K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SUMIFS('國外委外明細'!$G$4:$G$188,'國外委外明細'!$A$4:$A$188,A54,'國外委外明細'!$C$4:$C$188,C54,'國外委外明細'!$E$4:$E$188,E54)</x:f>
        <x:v>2292631829</x:v>
      </x:c>
      <x:c r="G54" s="40" t="n">
        <x:f>SUMIFS('國外委外明細'!$H$4:$H$188,'國外委外明細'!$A$4:$A$188,A54,'國外委外明細'!$C$4:$C$188,C54,'國外委外明細'!$E$4:$E$188,E54)</x:f>
        <x:v>2271969268</x:v>
      </x:c>
      <x:c r="H54" s="43" t="n">
        <x:f>IFERROR(G54/F54-1,0)</x:f>
        <x:v>-0.009012594494517079</x:v>
      </x:c>
      <x:c r="I54" s="43" t="n">
        <x:f>IFERROR(SUMIFS('國外委外明細'!$J$4:$J$188,'國外委外明細'!$A$4:$A$188,A54,'國外委外明細'!$C$4:$C$188,C54,'國外委外明細'!$E$4:$E$188,E54)/COUNTIFS('國外委外明細'!$A$4:$A$188,A54,'國外委外明細'!$C$4:$C$188,C54,'國外委外明細'!$E$4:$E$188,E54,'國外委外明細'!$J$4:$J$188,"&lt;&gt;"),0)</x:f>
        <x:v>0</x:v>
      </x:c>
      <x:c r="J54" s="31" t="str">
        <x:v>美元</x:v>
      </x:c>
      <x:c r="K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SUMIFS('國外委外明細'!$G$4:$G$188,'國外委外明細'!$A$4:$A$188,A55,'國外委外明細'!$C$4:$C$188,C55,'國外委外明細'!$E$4:$E$188,E55)</x:f>
        <x:v>1910000000</x:v>
      </x:c>
      <x:c r="G55" s="40" t="n">
        <x:f>SUMIFS('國外委外明細'!$H$4:$H$188,'國外委外明細'!$A$4:$A$188,A55,'國外委外明細'!$C$4:$C$188,C55,'國外委外明細'!$E$4:$E$188,E55)</x:f>
        <x:v>2607728903</x:v>
      </x:c>
      <x:c r="H55" s="43" t="n">
        <x:f>IFERROR(G55/F55-1,0)</x:f>
        <x:v>0.36530309057591626</x:v>
      </x:c>
      <x:c r="I55" s="43" t="n">
        <x:f>IFERROR(SUMIFS('國外委外明細'!$J$4:$J$188,'國外委外明細'!$A$4:$A$188,A55,'國外委外明細'!$C$4:$C$188,C55,'國外委外明細'!$E$4:$E$188,E55)/COUNTIFS('國外委外明細'!$A$4:$A$188,A55,'國外委外明細'!$C$4:$C$188,C55,'國外委外明細'!$E$4:$E$188,E55,'國外委外明細'!$J$4:$J$188,"&lt;&gt;"),0)</x:f>
        <x:v>0</x:v>
      </x:c>
      <x:c r="J55" s="31" t="str">
        <x:v>美元</x:v>
      </x:c>
      <x:c r="K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SUMIFS('國外委外明細'!$G$4:$G$188,'國外委外明細'!$A$4:$A$188,A56,'國外委外明細'!$C$4:$C$188,C56,'國外委外明細'!$E$4:$E$188,E56)</x:f>
        <x:v>2000000000</x:v>
      </x:c>
      <x:c r="G56" s="40" t="n">
        <x:f>SUMIFS('國外委外明細'!$H$4:$H$188,'國外委外明細'!$A$4:$A$188,A56,'國外委外明細'!$C$4:$C$188,C56,'國外委外明細'!$E$4:$E$188,E56)</x:f>
        <x:v>2542790283</x:v>
      </x:c>
      <x:c r="H56" s="43" t="n">
        <x:f>IFERROR(G56/F56-1,0)</x:f>
        <x:v>0.2713951415</x:v>
      </x:c>
      <x:c r="I56" s="43" t="n">
        <x:f>IFERROR(SUMIFS('國外委外明細'!$J$4:$J$188,'國外委外明細'!$A$4:$A$188,A56,'國外委外明細'!$C$4:$C$188,C56,'國外委外明細'!$E$4:$E$188,E56)/COUNTIFS('國外委外明細'!$A$4:$A$188,A56,'國外委外明細'!$C$4:$C$188,C56,'國外委外明細'!$E$4:$E$188,E56,'國外委外明細'!$J$4:$J$188,"&lt;&gt;"),0)</x:f>
        <x:v>0</x:v>
      </x:c>
      <x:c r="J56" s="31" t="str">
        <x:v>美元</x:v>
      </x:c>
      <x:c r="K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SUMIFS('國外委外明細'!$G$4:$G$188,'國外委外明細'!$A$4:$A$188,A57,'國外委外明細'!$C$4:$C$188,C57,'國外委外明細'!$E$4:$E$188,E57)</x:f>
        <x:v>2000000000</x:v>
      </x:c>
      <x:c r="G57" s="40" t="n">
        <x:f>SUMIFS('國外委外明細'!$H$4:$H$188,'國外委外明細'!$A$4:$A$188,A57,'國外委外明細'!$C$4:$C$188,C57,'國外委外明細'!$E$4:$E$188,E57)</x:f>
        <x:v>3010500968</x:v>
      </x:c>
      <x:c r="H57" s="43" t="n">
        <x:f>IFERROR(G57/F57-1,0)</x:f>
        <x:v>0.505250484</x:v>
      </x:c>
      <x:c r="I57" s="43" t="n">
        <x:f>IFERROR(SUMIFS('國外委外明細'!$J$4:$J$188,'國外委外明細'!$A$4:$A$188,A57,'國外委外明細'!$C$4:$C$188,C57,'國外委外明細'!$E$4:$E$188,E57)/COUNTIFS('國外委外明細'!$A$4:$A$188,A57,'國外委外明細'!$C$4:$C$188,C57,'國外委外明細'!$E$4:$E$188,E57,'國外委外明細'!$J$4:$J$188,"&lt;&gt;"),0)</x:f>
        <x:v>0</x:v>
      </x:c>
      <x:c r="J57" s="31" t="str">
        <x:v>美元</x:v>
      </x:c>
      <x:c r="K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SUMIFS('國外委外明細'!$G$4:$G$188,'國外委外明細'!$A$4:$A$188,A58,'國外委外明細'!$C$4:$C$188,C58,'國外委外明細'!$E$4:$E$188,E58)</x:f>
        <x:v>3200000000</x:v>
      </x:c>
      <x:c r="G58" s="40" t="n">
        <x:f>SUMIFS('國外委外明細'!$H$4:$H$188,'國外委外明細'!$A$4:$A$188,A58,'國外委外明細'!$C$4:$C$188,C58,'國外委外明細'!$E$4:$E$188,E58)</x:f>
        <x:v>3686550456</x:v>
      </x:c>
      <x:c r="H58" s="43" t="n">
        <x:f>IFERROR(G58/F58-1,0)</x:f>
        <x:v>0.15204701749999994</x:v>
      </x:c>
      <x:c r="I58" s="43" t="n">
        <x:f>IFERROR(SUMIFS('國外委外明細'!$J$4:$J$188,'國外委外明細'!$A$4:$A$188,A58,'國外委外明細'!$C$4:$C$188,C58,'國外委外明細'!$E$4:$E$188,E58)/COUNTIFS('國外委外明細'!$A$4:$A$188,A58,'國外委外明細'!$C$4:$C$188,C58,'國外委外明細'!$E$4:$E$188,E58,'國外委外明細'!$J$4:$J$188,"&lt;&gt;"),0)</x:f>
        <x:v>0</x:v>
      </x:c>
      <x:c r="J58" s="31" t="str">
        <x:v>美元</x:v>
      </x:c>
      <x:c r="K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SUMIFS('國外委外明細'!$G$4:$G$188,'國外委外明細'!$A$4:$A$188,A59,'國外委外明細'!$C$4:$C$188,C59,'國外委外明細'!$E$4:$E$188,E59)</x:f>
        <x:v>1600000000</x:v>
      </x:c>
      <x:c r="G59" s="40" t="n">
        <x:f>SUMIFS('國外委外明細'!$H$4:$H$188,'國外委外明細'!$A$4:$A$188,A59,'國外委外明細'!$C$4:$C$188,C59,'國外委外明細'!$E$4:$E$188,E59)</x:f>
        <x:v>2168929512</x:v>
      </x:c>
      <x:c r="H59" s="43" t="n">
        <x:f>IFERROR(G59/F59-1,0)</x:f>
        <x:v>0.35558094500000004</x:v>
      </x:c>
      <x:c r="I59" s="43" t="n">
        <x:f>IFERROR(SUMIFS('國外委外明細'!$J$4:$J$188,'國外委外明細'!$A$4:$A$188,A59,'國外委外明細'!$C$4:$C$188,C59,'國外委外明細'!$E$4:$E$188,E59)/COUNTIFS('國外委外明細'!$A$4:$A$188,A59,'國外委外明細'!$C$4:$C$188,C59,'國外委外明細'!$E$4:$E$188,E59,'國外委外明細'!$J$4:$J$188,"&lt;&gt;"),0)</x:f>
        <x:v>0</x:v>
      </x:c>
      <x:c r="J59" s="31" t="str">
        <x:v>美元</x:v>
      </x:c>
      <x:c r="K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SUMIFS('國外委外明細'!$G$4:$G$188,'國外委外明細'!$A$4:$A$188,A60,'國外委外明細'!$C$4:$C$188,C60,'國外委外明細'!$E$4:$E$188,E60)</x:f>
        <x:v>1600000000</x:v>
      </x:c>
      <x:c r="G60" s="40" t="n">
        <x:f>SUMIFS('國外委外明細'!$H$4:$H$188,'國外委外明細'!$A$4:$A$188,A60,'國外委外明細'!$C$4:$C$188,C60,'國外委外明細'!$E$4:$E$188,E60)</x:f>
        <x:v>1816123015</x:v>
      </x:c>
      <x:c r="H60" s="43" t="n">
        <x:f>IFERROR(G60/F60-1,0)</x:f>
        <x:v>0.1350768843750001</x:v>
      </x:c>
      <x:c r="I60" s="43" t="n">
        <x:f>IFERROR(SUMIFS('國外委外明細'!$J$4:$J$188,'國外委外明細'!$A$4:$A$188,A60,'國外委外明細'!$C$4:$C$188,C60,'國外委外明細'!$E$4:$E$188,E60)/COUNTIFS('國外委外明細'!$A$4:$A$188,A60,'國外委外明細'!$C$4:$C$188,C60,'國外委外明細'!$E$4:$E$188,E60,'國外委外明細'!$J$4:$J$188,"&lt;&gt;"),0)</x:f>
        <x:v>0</x:v>
      </x:c>
      <x:c r="J60" s="31" t="str">
        <x:v>美元</x:v>
      </x:c>
      <x:c r="K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SUMIFS('國外委外明細'!$G$4:$G$188,'國外委外明細'!$A$4:$A$188,A61,'國外委外明細'!$C$4:$C$188,C61,'國外委外明細'!$E$4:$E$188,E61)</x:f>
        <x:v>1600000000</x:v>
      </x:c>
      <x:c r="G61" s="40" t="n">
        <x:f>SUMIFS('國外委外明細'!$H$4:$H$188,'國外委外明細'!$A$4:$A$188,A61,'國外委外明細'!$C$4:$C$188,C61,'國外委外明細'!$E$4:$E$188,E61)</x:f>
        <x:v>1688959007</x:v>
      </x:c>
      <x:c r="H61" s="43" t="n">
        <x:f>IFERROR(G61/F61-1,0)</x:f>
        <x:v>0.055599379375000035</x:v>
      </x:c>
      <x:c r="I61" s="43" t="n">
        <x:f>IFERROR(SUMIFS('國外委外明細'!$J$4:$J$188,'國外委外明細'!$A$4:$A$188,A61,'國外委外明細'!$C$4:$C$188,C61,'國外委外明細'!$E$4:$E$188,E61)/COUNTIFS('國外委外明細'!$A$4:$A$188,A61,'國外委外明細'!$C$4:$C$188,C61,'國外委外明細'!$E$4:$E$188,E61,'國外委外明細'!$J$4:$J$188,"&lt;&gt;"),0)</x:f>
        <x:v>0</x:v>
      </x:c>
      <x:c r="J61" s="31" t="str">
        <x:v>美元</x:v>
      </x:c>
      <x:c r="K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SUMIFS('國外委外明細'!$G$4:$G$188,'國外委外明細'!$A$4:$A$188,A62,'國外委外明細'!$C$4:$C$188,C62,'國外委外明細'!$E$4:$E$188,E62)</x:f>
        <x:v>753144454</x:v>
      </x:c>
      <x:c r="G62" s="40" t="n">
        <x:f>SUMIFS('國外委外明細'!$H$4:$H$188,'國外委外明細'!$A$4:$A$188,A62,'國外委外明細'!$C$4:$C$188,C62,'國外委外明細'!$E$4:$E$188,E62)</x:f>
        <x:v>1000473186</x:v>
      </x:c>
      <x:c r="H62" s="43" t="n">
        <x:f>IFERROR(G62/F62-1,0)</x:f>
        <x:v>0.3283948128229861</x:v>
      </x:c>
      <x:c r="I62" s="43" t="n">
        <x:f>IFERROR(SUMIFS('國外委外明細'!$J$4:$J$188,'國外委外明細'!$A$4:$A$188,A62,'國外委外明細'!$C$4:$C$188,C62,'國外委外明細'!$E$4:$E$188,E62)/COUNTIFS('國外委外明細'!$A$4:$A$188,A62,'國外委外明細'!$C$4:$C$188,C62,'國外委外明細'!$E$4:$E$188,E62,'國外委外明細'!$J$4:$J$188,"&lt;&gt;"),0)</x:f>
        <x:v>0</x:v>
      </x:c>
      <x:c r="J62" s="31" t="str">
        <x:v>美元</x:v>
      </x:c>
      <x:c r="K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SUMIFS('國外委外明細'!$G$4:$G$188,'國外委外明細'!$A$4:$A$188,A63,'國外委外明細'!$C$4:$C$188,C63,'國外委外明細'!$E$4:$E$188,E63)</x:f>
        <x:v>2022418498</x:v>
      </x:c>
      <x:c r="G63" s="40" t="n">
        <x:f>SUMIFS('國外委外明細'!$H$4:$H$188,'國外委外明細'!$A$4:$A$188,A63,'國外委外明細'!$C$4:$C$188,C63,'國外委外明細'!$E$4:$E$188,E63)</x:f>
        <x:v>1907650574</x:v>
      </x:c>
      <x:c r="H63" s="43" t="n">
        <x:f>IFERROR(G63/F63-1,0)</x:f>
        <x:v>-0.05674786109477126</x:v>
      </x:c>
      <x:c r="I63" s="43" t="n">
        <x:f>IFERROR(SUMIFS('國外委外明細'!$J$4:$J$188,'國外委外明細'!$A$4:$A$188,A63,'國外委外明細'!$C$4:$C$188,C63,'國外委外明細'!$E$4:$E$188,E63)/COUNTIFS('國外委外明細'!$A$4:$A$188,A63,'國外委外明細'!$C$4:$C$188,C63,'國外委外明細'!$E$4:$E$188,E63,'國外委外明細'!$J$4:$J$188,"&lt;&gt;"),0)</x:f>
        <x:v>0</x:v>
      </x:c>
      <x:c r="J63" s="31" t="str">
        <x:v>美元</x:v>
      </x:c>
      <x:c r="K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SUMIFS('國外委外明細'!$G$4:$G$188,'國外委外明細'!$A$4:$A$188,A64,'國外委外明細'!$C$4:$C$188,C64,'國外委外明細'!$E$4:$E$188,E64)</x:f>
        <x:v>456987544</x:v>
      </x:c>
      <x:c r="G64" s="40" t="n">
        <x:f>SUMIFS('國外委外明細'!$H$4:$H$188,'國外委外明細'!$A$4:$A$188,A64,'國外委外明細'!$C$4:$C$188,C64,'國外委外明細'!$E$4:$E$188,E64)</x:f>
        <x:v>1504388734</x:v>
      </x:c>
      <x:c r="H64" s="43" t="n">
        <x:f>IFERROR(G64/F64-1,0)</x:f>
        <x:v>2.291968793792769</x:v>
      </x:c>
      <x:c r="I64" s="43" t="n">
        <x:f>IFERROR(SUMIFS('國外委外明細'!$J$4:$J$188,'國外委外明細'!$A$4:$A$188,A64,'國外委外明細'!$C$4:$C$188,C64,'國外委外明細'!$E$4:$E$188,E64)/COUNTIFS('國外委外明細'!$A$4:$A$188,A64,'國外委外明細'!$C$4:$C$188,C64,'國外委外明細'!$E$4:$E$188,E64,'國外委外明細'!$J$4:$J$188,"&lt;&gt;"),0)</x:f>
        <x:v>0</x:v>
      </x:c>
      <x:c r="J64" s="31" t="str">
        <x:v>美元</x:v>
      </x:c>
      <x:c r="K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SUMIFS('國外委外明細'!$G$4:$G$188,'國外委外明細'!$A$4:$A$188,A65,'國外委外明細'!$C$4:$C$188,C65,'國外委外明細'!$E$4:$E$188,E65)</x:f>
        <x:v>181124998</x:v>
      </x:c>
      <x:c r="G65" s="40" t="n">
        <x:f>SUMIFS('國外委外明細'!$H$4:$H$188,'國外委外明細'!$A$4:$A$188,A65,'國外委外明細'!$C$4:$C$188,C65,'國外委外明細'!$E$4:$E$188,E65)</x:f>
        <x:v>388876019</x:v>
      </x:c>
      <x:c r="H65" s="43" t="n">
        <x:f>IFERROR(G65/F65-1,0)</x:f>
        <x:v>1.1470035792629796</x:v>
      </x:c>
      <x:c r="I65" s="43" t="n">
        <x:f>IFERROR(SUMIFS('國外委外明細'!$J$4:$J$188,'國外委外明細'!$A$4:$A$188,A65,'國外委外明細'!$C$4:$C$188,C65,'國外委外明細'!$E$4:$E$188,E65)/COUNTIFS('國外委外明細'!$A$4:$A$188,A65,'國外委外明細'!$C$4:$C$188,C65,'國外委外明細'!$E$4:$E$188,E65,'國外委外明細'!$J$4:$J$188,"&lt;&gt;"),0)</x:f>
        <x:v>0</x:v>
      </x:c>
      <x:c r="J65" s="31" t="str">
        <x:v>美元</x:v>
      </x:c>
      <x:c r="K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SUMIFS('國外委外明細'!$G$4:$G$188,'國外委外明細'!$A$4:$A$188,A66,'國外委外明細'!$C$4:$C$188,C66,'國外委外明細'!$E$4:$E$188,E66)</x:f>
        <x:v>1526913244</x:v>
      </x:c>
      <x:c r="G66" s="40" t="n">
        <x:f>SUMIFS('國外委外明細'!$H$4:$H$188,'國外委外明細'!$A$4:$A$188,A66,'國外委外明細'!$C$4:$C$188,C66,'國外委外明細'!$E$4:$E$188,E66)</x:f>
        <x:v>1552537608</x:v>
      </x:c>
      <x:c r="H66" s="43" t="n">
        <x:f>IFERROR(G66/F66-1,0)</x:f>
        <x:v>0.016781807414855354</x:v>
      </x:c>
      <x:c r="I66" s="43" t="n">
        <x:f>IFERROR(SUMIFS('國外委外明細'!$J$4:$J$188,'國外委外明細'!$A$4:$A$188,A66,'國外委外明細'!$C$4:$C$188,C66,'國外委外明細'!$E$4:$E$188,E66)/COUNTIFS('國外委外明細'!$A$4:$A$188,A66,'國外委外明細'!$C$4:$C$188,C66,'國外委外明細'!$E$4:$E$188,E66,'國外委外明細'!$J$4:$J$188,"&lt;&gt;"),0)</x:f>
        <x:v>0</x:v>
      </x:c>
      <x:c r="J66" s="31" t="str">
        <x:v>美元</x:v>
      </x:c>
      <x:c r="K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SUMIFS('國外委外明細'!$G$4:$G$188,'國外委外明細'!$A$4:$A$188,A67,'國外委外明細'!$C$4:$C$188,C67,'國外委外明細'!$E$4:$E$188,E67)</x:f>
        <x:v>751993706</x:v>
      </x:c>
      <x:c r="G67" s="40" t="n">
        <x:f>SUMIFS('國外委外明細'!$H$4:$H$188,'國外委外明細'!$A$4:$A$188,A67,'國外委外明細'!$C$4:$C$188,C67,'國外委外明細'!$E$4:$E$188,E67)</x:f>
        <x:v>1013212614</x:v>
      </x:c>
      <x:c r="H67" s="43" t="n">
        <x:f>IFERROR(G67/F67-1,0)</x:f>
        <x:v>0.34736847651222225</x:v>
      </x:c>
      <x:c r="I67" s="43" t="n">
        <x:f>IFERROR(SUMIFS('國外委外明細'!$J$4:$J$188,'國外委外明細'!$A$4:$A$188,A67,'國外委外明細'!$C$4:$C$188,C67,'國外委外明細'!$E$4:$E$188,E67)/COUNTIFS('國外委外明細'!$A$4:$A$188,A67,'國外委外明細'!$C$4:$C$188,C67,'國外委外明細'!$E$4:$E$188,E67,'國外委外明細'!$J$4:$J$188,"&lt;&gt;"),0)</x:f>
        <x:v>0</x:v>
      </x:c>
      <x:c r="J67" s="31" t="str">
        <x:v>美元</x:v>
      </x:c>
      <x:c r="K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SUMIFS('國外委外明細'!$G$4:$G$188,'國外委外明細'!$A$4:$A$188,A68,'國外委外明細'!$C$4:$C$188,C68,'國外委外明細'!$E$4:$E$188,E68)</x:f>
        <x:v>1433855129</x:v>
      </x:c>
      <x:c r="G68" s="40" t="n">
        <x:f>SUMIFS('國外委外明細'!$H$4:$H$188,'國外委外明細'!$A$4:$A$188,A68,'國外委外明細'!$C$4:$C$188,C68,'國外委外明細'!$E$4:$E$188,E68)</x:f>
        <x:v>2047429988</x:v>
      </x:c>
      <x:c r="H68" s="43" t="n">
        <x:f>IFERROR(G68/F68-1,0)</x:f>
        <x:v>0.42791970164232684</x:v>
      </x:c>
      <x:c r="I68" s="43" t="n">
        <x:f>IFERROR(SUMIFS('國外委外明細'!$J$4:$J$188,'國外委外明細'!$A$4:$A$188,A68,'國外委外明細'!$C$4:$C$188,C68,'國外委外明細'!$E$4:$E$188,E68)/COUNTIFS('國外委外明細'!$A$4:$A$188,A68,'國外委外明細'!$C$4:$C$188,C68,'國外委外明細'!$E$4:$E$188,E68,'國外委外明細'!$J$4:$J$188,"&lt;&gt;"),0)</x:f>
        <x:v>0</x:v>
      </x:c>
      <x:c r="J68" s="31" t="str">
        <x:v>美元</x:v>
      </x:c>
      <x:c r="K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SUMIFS('國外委外明細'!$G$4:$G$188,'國外委外明細'!$A$4:$A$188,A69,'國外委外明細'!$C$4:$C$188,C69,'國外委外明細'!$E$4:$E$188,E69)</x:f>
        <x:v>954418976</x:v>
      </x:c>
      <x:c r="G69" s="40" t="n">
        <x:f>SUMIFS('國外委外明細'!$H$4:$H$188,'國外委外明細'!$A$4:$A$188,A69,'國外委外明細'!$C$4:$C$188,C69,'國外委外明細'!$E$4:$E$188,E69)</x:f>
        <x:v>1388520134</x:v>
      </x:c>
      <x:c r="H69" s="43" t="n">
        <x:f>IFERROR(G69/F69-1,0)</x:f>
        <x:v>0.4548329076809974</x:v>
      </x:c>
      <x:c r="I69" s="43" t="n">
        <x:f>IFERROR(SUMIFS('國外委外明細'!$J$4:$J$188,'國外委外明細'!$A$4:$A$188,A69,'國外委外明細'!$C$4:$C$188,C69,'國外委外明細'!$E$4:$E$188,E69)/COUNTIFS('國外委外明細'!$A$4:$A$188,A69,'國外委外明細'!$C$4:$C$188,C69,'國外委外明細'!$E$4:$E$188,E69,'國外委外明細'!$J$4:$J$188,"&lt;&gt;"),0)</x:f>
        <x:v>0</x:v>
      </x:c>
      <x:c r="J69" s="31" t="str">
        <x:v>美元</x:v>
      </x:c>
      <x:c r="K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SUMIFS('國外委外明細'!$G$4:$G$188,'國外委外明細'!$A$4:$A$188,A70,'國外委外明細'!$C$4:$C$188,C70,'國外委外明細'!$E$4:$E$188,E70)</x:f>
        <x:v>708888643</x:v>
      </x:c>
      <x:c r="G70" s="40" t="n">
        <x:f>SUMIFS('國外委外明細'!$H$4:$H$188,'國外委外明細'!$A$4:$A$188,A70,'國外委外明細'!$C$4:$C$188,C70,'國外委外明細'!$E$4:$E$188,E70)</x:f>
        <x:v>801020312</x:v>
      </x:c>
      <x:c r="H70" s="43" t="n">
        <x:f>IFERROR(G70/F70-1,0)</x:f>
        <x:v>0.12996634931277917</x:v>
      </x:c>
      <x:c r="I70" s="43" t="n">
        <x:f>IFERROR(SUMIFS('國外委外明細'!$J$4:$J$188,'國外委外明細'!$A$4:$A$188,A70,'國外委外明細'!$C$4:$C$188,C70,'國外委外明細'!$E$4:$E$188,E70)/COUNTIFS('國外委外明細'!$A$4:$A$188,A70,'國外委外明細'!$C$4:$C$188,C70,'國外委外明細'!$E$4:$E$188,E70,'國外委外明細'!$J$4:$J$188,"&lt;&gt;"),0)</x:f>
        <x:v>0</x:v>
      </x:c>
      <x:c r="J70" s="31" t="str">
        <x:v>美元</x:v>
      </x:c>
      <x:c r="K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SUMIFS('國外委外明細'!$G$4:$G$188,'國外委外明細'!$A$4:$A$188,A71,'國外委外明細'!$C$4:$C$188,C71,'國外委外明細'!$E$4:$E$188,E71)</x:f>
        <x:v>1159647848</x:v>
      </x:c>
      <x:c r="G71" s="40" t="n">
        <x:f>SUMIFS('國外委外明細'!$H$4:$H$188,'國外委外明細'!$A$4:$A$188,A71,'國外委外明細'!$C$4:$C$188,C71,'國外委外明細'!$E$4:$E$188,E71)</x:f>
        <x:v>1164672915</x:v>
      </x:c>
      <x:c r="H71" s="43" t="n">
        <x:f>IFERROR(G71/F71-1,0)</x:f>
        <x:v>0.004333269801402695</x:v>
      </x:c>
      <x:c r="I71" s="43" t="n">
        <x:f>IFERROR(SUMIFS('國外委外明細'!$J$4:$J$188,'國外委外明細'!$A$4:$A$188,A71,'國外委外明細'!$C$4:$C$188,C71,'國外委外明細'!$E$4:$E$188,E71)/COUNTIFS('國外委外明細'!$A$4:$A$188,A71,'國外委外明細'!$C$4:$C$188,C71,'國外委外明細'!$E$4:$E$188,E71,'國外委外明細'!$J$4:$J$188,"&lt;&gt;"),0)</x:f>
        <x:v>0</x:v>
      </x:c>
      <x:c r="J71" s="31" t="str">
        <x:v>美元</x:v>
      </x:c>
      <x:c r="K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SUMIFS('國外委外明細'!$G$4:$G$188,'國外委外明細'!$A$4:$A$188,A72,'國外委外明細'!$C$4:$C$188,C72,'國外委外明細'!$E$4:$E$188,E72)</x:f>
        <x:v>591299260</x:v>
      </x:c>
      <x:c r="G72" s="40" t="n">
        <x:f>SUMIFS('國外委外明細'!$H$4:$H$188,'國外委外明細'!$A$4:$A$188,A72,'國外委外明細'!$C$4:$C$188,C72,'國外委外明細'!$E$4:$E$188,E72)</x:f>
        <x:v>1147786565</x:v>
      </x:c>
      <x:c r="H72" s="43" t="n">
        <x:f>IFERROR(G72/F72-1,0)</x:f>
        <x:v>0.9411263342355611</x:v>
      </x:c>
      <x:c r="I72" s="43" t="n">
        <x:f>IFERROR(SUMIFS('國外委外明細'!$J$4:$J$188,'國外委外明細'!$A$4:$A$188,A72,'國外委外明細'!$C$4:$C$188,C72,'國外委外明細'!$E$4:$E$188,E72)/COUNTIFS('國外委外明細'!$A$4:$A$188,A72,'國外委外明細'!$C$4:$C$188,C72,'國外委外明細'!$E$4:$E$188,E72,'國外委外明細'!$J$4:$J$188,"&lt;&gt;"),0)</x:f>
        <x:v>0</x:v>
      </x:c>
      <x:c r="J72" s="31" t="str">
        <x:v>美元</x:v>
      </x:c>
      <x:c r="K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SUMIFS('國外委外明細'!$G$4:$G$188,'國外委外明細'!$A$4:$A$188,A73,'國外委外明細'!$C$4:$C$188,C73,'國外委外明細'!$E$4:$E$188,E73)</x:f>
        <x:v>927421608</x:v>
      </x:c>
      <x:c r="G73" s="40" t="n">
        <x:f>SUMIFS('國外委外明細'!$H$4:$H$188,'國外委外明細'!$A$4:$A$188,A73,'國外委外明細'!$C$4:$C$188,C73,'國外委外明細'!$E$4:$E$188,E73)</x:f>
        <x:v>1162317283</x:v>
      </x:c>
      <x:c r="H73" s="43" t="n">
        <x:f>IFERROR(G73/F73-1,0)</x:f>
        <x:v>0.2532781994443243</x:v>
      </x:c>
      <x:c r="I73" s="43" t="n">
        <x:f>IFERROR(SUMIFS('國外委外明細'!$J$4:$J$188,'國外委外明細'!$A$4:$A$188,A73,'國外委外明細'!$C$4:$C$188,C73,'國外委外明細'!$E$4:$E$188,E73)/COUNTIFS('國外委外明細'!$A$4:$A$188,A73,'國外委外明細'!$C$4:$C$188,C73,'國外委外明細'!$E$4:$E$188,E73,'國外委外明細'!$J$4:$J$188,"&lt;&gt;"),0)</x:f>
        <x:v>0</x:v>
      </x:c>
      <x:c r="J73" s="31" t="str">
        <x:v>美元</x:v>
      </x:c>
      <x:c r="K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SUMIFS('國外委外明細'!$G$4:$G$188,'國外委外明細'!$A$4:$A$188,A74,'國外委外明細'!$C$4:$C$188,C74,'國外委外明細'!$E$4:$E$188,E74)</x:f>
        <x:v>339564550</x:v>
      </x:c>
      <x:c r="G74" s="40" t="n">
        <x:f>SUMIFS('國外委外明細'!$H$4:$H$188,'國外委外明細'!$A$4:$A$188,A74,'國外委外明細'!$C$4:$C$188,C74,'國外委外明細'!$E$4:$E$188,E74)</x:f>
        <x:v>500696821</x:v>
      </x:c>
      <x:c r="H74" s="43" t="n">
        <x:f>IFERROR(G74/F74-1,0)</x:f>
        <x:v>0.47452618655274814</x:v>
      </x:c>
      <x:c r="I74" s="43" t="n">
        <x:f>IFERROR(SUMIFS('國外委外明細'!$J$4:$J$188,'國外委外明細'!$A$4:$A$188,A74,'國外委外明細'!$C$4:$C$188,C74,'國外委外明細'!$E$4:$E$188,E74)/COUNTIFS('國外委外明細'!$A$4:$A$188,A74,'國外委外明細'!$C$4:$C$188,C74,'國外委外明細'!$E$4:$E$188,E74,'國外委外明細'!$J$4:$J$188,"&lt;&gt;"),0)</x:f>
        <x:v>0</x:v>
      </x:c>
      <x:c r="J74" s="31" t="str">
        <x:v>美元</x:v>
      </x:c>
      <x:c r="K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SUMIFS('國外委外明細'!$G$4:$G$188,'國外委外明細'!$A$4:$A$188,A75,'國外委外明細'!$C$4:$C$188,C75,'國外委外明細'!$E$4:$E$188,E75)</x:f>
        <x:v>240000000</x:v>
      </x:c>
      <x:c r="G75" s="40" t="n">
        <x:f>SUMIFS('國外委外明細'!$H$4:$H$188,'國外委外明細'!$A$4:$A$188,A75,'國外委外明細'!$C$4:$C$188,C75,'國外委外明細'!$E$4:$E$188,E75)</x:f>
        <x:v>329712964</x:v>
      </x:c>
      <x:c r="H75" s="43" t="n">
        <x:f>IFERROR(G75/F75-1,0)</x:f>
        <x:v>0.37380401666666674</x:v>
      </x:c>
      <x:c r="I75" s="43" t="n">
        <x:f>IFERROR(SUMIFS('國外委外明細'!$J$4:$J$188,'國外委外明細'!$A$4:$A$188,A75,'國外委外明細'!$C$4:$C$188,C75,'國外委外明細'!$E$4:$E$188,E75)/COUNTIFS('國外委外明細'!$A$4:$A$188,A75,'國外委外明細'!$C$4:$C$188,C75,'國外委外明細'!$E$4:$E$188,E75,'國外委外明細'!$J$4:$J$188,"&lt;&gt;"),0)</x:f>
        <x:v>0</x:v>
      </x:c>
      <x:c r="J75" s="31" t="str">
        <x:v>美元</x:v>
      </x:c>
      <x:c r="K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SUMIFS('國外委外明細'!$G$4:$G$188,'國外委外明細'!$A$4:$A$188,A76,'國外委外明細'!$C$4:$C$188,C76,'國外委外明細'!$E$4:$E$188,E76)</x:f>
        <x:v>946084601</x:v>
      </x:c>
      <x:c r="G76" s="40" t="n">
        <x:f>SUMIFS('國外委外明細'!$H$4:$H$188,'國外委外明細'!$A$4:$A$188,A76,'國外委外明細'!$C$4:$C$188,C76,'國外委外明細'!$E$4:$E$188,E76)</x:f>
        <x:v>1255172172</x:v>
      </x:c>
      <x:c r="H76" s="43" t="n">
        <x:f>IFERROR(G76/F76-1,0)</x:f>
        <x:v>0.32670183054802737</x:v>
      </x:c>
      <x:c r="I76" s="43" t="n">
        <x:f>IFERROR(SUMIFS('國外委外明細'!$J$4:$J$188,'國外委外明細'!$A$4:$A$188,A76,'國外委外明細'!$C$4:$C$188,C76,'國外委外明細'!$E$4:$E$188,E76)/COUNTIFS('國外委外明細'!$A$4:$A$188,A76,'國外委外明細'!$C$4:$C$188,C76,'國外委外明細'!$E$4:$E$188,E76,'國外委外明細'!$J$4:$J$188,"&lt;&gt;"),0)</x:f>
        <x:v>0</x:v>
      </x:c>
      <x:c r="J76" s="31" t="str">
        <x:v>美元</x:v>
      </x:c>
      <x:c r="K76" s="32" t="str">
        <x:v>勞工保險基金-115年7月.pdf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SUMIFS('國外委外明細'!$G$4:$G$188,'國外委外明細'!$A$4:$A$188,A77,'國外委外明細'!$C$4:$C$188,C77,'國外委外明細'!$E$4:$E$188,E77)</x:f>
        <x:v>274323144</x:v>
      </x:c>
      <x:c r="G77" s="40" t="n">
        <x:f>SUMIFS('國外委外明細'!$H$4:$H$188,'國外委外明細'!$A$4:$A$188,A77,'國外委外明細'!$C$4:$C$188,C77,'國外委外明細'!$E$4:$E$188,E77)</x:f>
        <x:v>374599171</x:v>
      </x:c>
      <x:c r="H77" s="43" t="n">
        <x:f>IFERROR(G77/F77-1,0)</x:f>
        <x:v>0.3655397992959719</x:v>
      </x:c>
      <x:c r="I77" s="43" t="n">
        <x:f>IFERROR(SUMIFS('國外委外明細'!$J$4:$J$188,'國外委外明細'!$A$4:$A$188,A77,'國外委外明細'!$C$4:$C$188,C77,'國外委外明細'!$E$4:$E$188,E77)/COUNTIFS('國外委外明細'!$A$4:$A$188,A77,'國外委外明細'!$C$4:$C$188,C77,'國外委外明細'!$E$4:$E$188,E77,'國外委外明細'!$J$4:$J$188,"&lt;&gt;"),0)</x:f>
        <x:v>0</x:v>
      </x:c>
      <x:c r="J77" s="31" t="str">
        <x:v>美元</x:v>
      </x:c>
      <x:c r="K77" s="32" t="str">
        <x:v>勞工保險基金-115年7月.pdf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SUMIFS('國外委外明細'!$G$4:$G$188,'國外委外明細'!$A$4:$A$188,A78,'國外委外明細'!$C$4:$C$188,C78,'國外委外明細'!$E$4:$E$188,E78)</x:f>
        <x:v>1466614615</x:v>
      </x:c>
      <x:c r="G78" s="40" t="n">
        <x:f>SUMIFS('國外委外明細'!$H$4:$H$188,'國外委外明細'!$A$4:$A$188,A78,'國外委外明細'!$C$4:$C$188,C78,'國外委外明細'!$E$4:$E$188,E78)</x:f>
        <x:v>1552187868</x:v>
      </x:c>
      <x:c r="H78" s="43" t="n">
        <x:f>IFERROR(G78/F78-1,0)</x:f>
        <x:v>0.05834747051119482</x:v>
      </x:c>
      <x:c r="I78" s="43" t="n">
        <x:f>IFERROR(SUMIFS('國外委外明細'!$J$4:$J$188,'國外委外明細'!$A$4:$A$188,A78,'國外委外明細'!$C$4:$C$188,C78,'國外委外明細'!$E$4:$E$188,E78)/COUNTIFS('國外委外明細'!$A$4:$A$188,A78,'國外委外明細'!$C$4:$C$188,C78,'國外委外明細'!$E$4:$E$188,E78,'國外委外明細'!$J$4:$J$188,"&lt;&gt;"),0)</x:f>
        <x:v>0</x:v>
      </x:c>
      <x:c r="J78" s="31" t="str">
        <x:v>美元</x:v>
      </x:c>
      <x:c r="K78" s="32" t="str">
        <x:v>勞工保險基金-115年7月.pdf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SUMIFS('國外委外明細'!$G$4:$G$188,'國外委外明細'!$A$4:$A$188,A79,'國外委外明細'!$C$4:$C$188,C79,'國外委外明細'!$E$4:$E$188,E79)</x:f>
        <x:v>2466947683</x:v>
      </x:c>
      <x:c r="G79" s="40" t="n">
        <x:f>SUMIFS('國外委外明細'!$H$4:$H$188,'國外委外明細'!$A$4:$A$188,A79,'國外委外明細'!$C$4:$C$188,C79,'國外委外明細'!$E$4:$E$188,E79)</x:f>
        <x:v>2979711327</x:v>
      </x:c>
      <x:c r="H79" s="43" t="n">
        <x:f>IFERROR(G79/F79-1,0)</x:f>
        <x:v>0.20785347315369074</x:v>
      </x:c>
      <x:c r="I79" s="43" t="n">
        <x:f>IFERROR(SUMIFS('國外委外明細'!$J$4:$J$188,'國外委外明細'!$A$4:$A$188,A79,'國外委外明細'!$C$4:$C$188,C79,'國外委外明細'!$E$4:$E$188,E79)/COUNTIFS('國外委外明細'!$A$4:$A$188,A79,'國外委外明細'!$C$4:$C$188,C79,'國外委外明細'!$E$4:$E$188,E79,'國外委外明細'!$J$4:$J$188,"&lt;&gt;"),0)</x:f>
        <x:v>0</x:v>
      </x:c>
      <x:c r="J79" s="31" t="str">
        <x:v>美元</x:v>
      </x:c>
      <x:c r="K79" s="32" t="str">
        <x:v>勞工保險基金-115年7月.pdf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SUMIFS('國外委外明細'!$G$4:$G$188,'國外委外明細'!$A$4:$A$188,A80,'國外委外明細'!$C$4:$C$188,C80,'國外委外明細'!$E$4:$E$188,E80)</x:f>
        <x:v>1398439582</x:v>
      </x:c>
      <x:c r="G80" s="40" t="n">
        <x:f>SUMIFS('國外委外明細'!$H$4:$H$188,'國外委外明細'!$A$4:$A$188,A80,'國外委外明細'!$C$4:$C$188,C80,'國外委外明細'!$E$4:$E$188,E80)</x:f>
        <x:v>1564963435</x:v>
      </x:c>
      <x:c r="H80" s="43" t="n">
        <x:f>IFERROR(G80/F80-1,0)</x:f>
        <x:v>0.11907833212346808</x:v>
      </x:c>
      <x:c r="I80" s="43" t="n">
        <x:f>IFERROR(SUMIFS('國外委外明細'!$J$4:$J$188,'國外委外明細'!$A$4:$A$188,A80,'國外委外明細'!$C$4:$C$188,C80,'國外委外明細'!$E$4:$E$188,E80)/COUNTIFS('國外委外明細'!$A$4:$A$188,A80,'國外委外明細'!$C$4:$C$188,C80,'國外委外明細'!$E$4:$E$188,E80,'國外委外明細'!$J$4:$J$188,"&lt;&gt;"),0)</x:f>
        <x:v>0</x:v>
      </x:c>
      <x:c r="J80" s="31" t="str">
        <x:v>美元</x:v>
      </x:c>
      <x:c r="K80" s="32" t="str">
        <x:v>勞工保險基金-115年7月.pdf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SUMIFS('國外委外明細'!$G$4:$G$188,'國外委外明細'!$A$4:$A$188,A81,'國外委外明細'!$C$4:$C$188,C81,'國外委外明細'!$E$4:$E$188,E81)</x:f>
        <x:v>1052282753</x:v>
      </x:c>
      <x:c r="G81" s="40" t="n">
        <x:f>SUMIFS('國外委外明細'!$H$4:$H$188,'國外委外明細'!$A$4:$A$188,A81,'國外委外明細'!$C$4:$C$188,C81,'國外委外明細'!$E$4:$E$188,E81)</x:f>
        <x:v>1192696765</x:v>
      </x:c>
      <x:c r="H81" s="43" t="n">
        <x:f>IFERROR(G81/F81-1,0)</x:f>
        <x:v>0.13343753054935803</x:v>
      </x:c>
      <x:c r="I81" s="43" t="n">
        <x:f>IFERROR(SUMIFS('國外委外明細'!$J$4:$J$188,'國外委外明細'!$A$4:$A$188,A81,'國外委外明細'!$C$4:$C$188,C81,'國外委外明細'!$E$4:$E$188,E81)/COUNTIFS('國外委外明細'!$A$4:$A$188,A81,'國外委外明細'!$C$4:$C$188,C81,'國外委外明細'!$E$4:$E$188,E81,'國外委外明細'!$J$4:$J$188,"&lt;&gt;"),0)</x:f>
        <x:v>0</x:v>
      </x:c>
      <x:c r="J81" s="31" t="str">
        <x:v>美元</x:v>
      </x:c>
      <x:c r="K81" s="32" t="str">
        <x:v>勞工保險基金-115年7月.pdf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SUMIFS('國外委外明細'!$G$4:$G$188,'國外委外明細'!$A$4:$A$188,A82,'國外委外明細'!$C$4:$C$188,C82,'國外委外明細'!$E$4:$E$188,E82)</x:f>
        <x:v>891413907</x:v>
      </x:c>
      <x:c r="G82" s="40" t="n">
        <x:f>SUMIFS('國外委外明細'!$H$4:$H$188,'國外委外明細'!$A$4:$A$188,A82,'國外委外明細'!$C$4:$C$188,C82,'國外委外明細'!$E$4:$E$188,E82)</x:f>
        <x:v>897574775</x:v>
      </x:c>
      <x:c r="H82" s="43" t="n">
        <x:f>IFERROR(G82/F82-1,0)</x:f>
        <x:v>0.006911343823133853</x:v>
      </x:c>
      <x:c r="I82" s="43" t="n">
        <x:f>IFERROR(SUMIFS('國外委外明細'!$J$4:$J$188,'國外委外明細'!$A$4:$A$188,A82,'國外委外明細'!$C$4:$C$188,C82,'國外委外明細'!$E$4:$E$188,E82)/COUNTIFS('國外委外明細'!$A$4:$A$188,A82,'國外委外明細'!$C$4:$C$188,C82,'國外委外明細'!$E$4:$E$188,E82,'國外委外明細'!$J$4:$J$188,"&lt;&gt;"),0)</x:f>
        <x:v>0</x:v>
      </x:c>
      <x:c r="J82" s="31" t="str">
        <x:v>美元</x:v>
      </x:c>
      <x:c r="K82" s="32" t="str">
        <x:v>勞工保險基金-115年7月.pdf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SUMIFS('國外委外明細'!$G$4:$G$188,'國外委外明細'!$A$4:$A$188,A83,'國外委外明細'!$C$4:$C$188,C83,'國外委外明細'!$E$4:$E$188,E83)</x:f>
        <x:v>151969815</x:v>
      </x:c>
      <x:c r="G83" s="40" t="n">
        <x:f>SUMIFS('國外委外明細'!$H$4:$H$188,'國外委外明細'!$A$4:$A$188,A83,'國外委外明細'!$C$4:$C$188,C83,'國外委外明細'!$E$4:$E$188,E83)</x:f>
        <x:v>266710574</x:v>
      </x:c>
      <x:c r="H83" s="43" t="n">
        <x:f>IFERROR(G83/F83-1,0)</x:f>
        <x:v>0.7550233511832596</x:v>
      </x:c>
      <x:c r="I83" s="43" t="n">
        <x:f>IFERROR(SUMIFS('國外委外明細'!$J$4:$J$188,'國外委外明細'!$A$4:$A$188,A83,'國外委外明細'!$C$4:$C$188,C83,'國外委外明細'!$E$4:$E$188,E83)/COUNTIFS('國外委外明細'!$A$4:$A$188,A83,'國外委外明細'!$C$4:$C$188,C83,'國外委外明細'!$E$4:$E$188,E83,'國外委外明細'!$J$4:$J$188,"&lt;&gt;"),0)</x:f>
        <x:v>0</x:v>
      </x:c>
      <x:c r="J83" s="31" t="str">
        <x:v>美元</x:v>
      </x:c>
      <x:c r="K83" s="32" t="str">
        <x:v>勞工保險基金-115年7月.pdf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SUMIFS('國外委外明細'!$G$4:$G$188,'國外委外明細'!$A$4:$A$188,A84,'國外委外明細'!$C$4:$C$188,C84,'國外委外明細'!$E$4:$E$188,E84)</x:f>
        <x:v>663400522</x:v>
      </x:c>
      <x:c r="G84" s="40" t="n">
        <x:f>SUMIFS('國外委外明細'!$H$4:$H$188,'國外委外明細'!$A$4:$A$188,A84,'國外委外明細'!$C$4:$C$188,C84,'國外委外明細'!$E$4:$E$188,E84)</x:f>
        <x:v>836838676</x:v>
      </x:c>
      <x:c r="H84" s="43" t="n">
        <x:f>IFERROR(G84/F84-1,0)</x:f>
        <x:v>0.26143807285095866</x:v>
      </x:c>
      <x:c r="I84" s="43" t="n">
        <x:f>IFERROR(SUMIFS('國外委外明細'!$J$4:$J$188,'國外委外明細'!$A$4:$A$188,A84,'國外委外明細'!$C$4:$C$188,C84,'國外委外明細'!$E$4:$E$188,E84)/COUNTIFS('國外委外明細'!$A$4:$A$188,A84,'國外委外明細'!$C$4:$C$188,C84,'國外委外明細'!$E$4:$E$188,E84,'國外委外明細'!$J$4:$J$188,"&lt;&gt;"),0)</x:f>
        <x:v>0</x:v>
      </x:c>
      <x:c r="J84" s="31" t="str">
        <x:v>美元</x:v>
      </x:c>
      <x:c r="K84" s="32" t="str">
        <x:v>勞工保險基金-115年7月.pdf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SUMIFS('國外委外明細'!$G$4:$G$188,'國外委外明細'!$A$4:$A$188,A85,'國外委外明細'!$C$4:$C$188,C85,'國外委外明細'!$E$4:$E$188,E85)</x:f>
        <x:v>1019222527</x:v>
      </x:c>
      <x:c r="G85" s="40" t="n">
        <x:f>SUMIFS('國外委外明細'!$H$4:$H$188,'國外委外明細'!$A$4:$A$188,A85,'國外委外明細'!$C$4:$C$188,C85,'國外委外明細'!$E$4:$E$188,E85)</x:f>
        <x:v>1232038591</x:v>
      </x:c>
      <x:c r="H85" s="43" t="n">
        <x:f>IFERROR(G85/F85-1,0)</x:f>
        <x:v>0.2088023550915883</x:v>
      </x:c>
      <x:c r="I85" s="43" t="n">
        <x:f>IFERROR(SUMIFS('國外委外明細'!$J$4:$J$188,'國外委外明細'!$A$4:$A$188,A85,'國外委外明細'!$C$4:$C$188,C85,'國外委外明細'!$E$4:$E$188,E85)/COUNTIFS('國外委外明細'!$A$4:$A$188,A85,'國外委外明細'!$C$4:$C$188,C85,'國外委外明細'!$E$4:$E$188,E85,'國外委外明細'!$J$4:$J$188,"&lt;&gt;"),0)</x:f>
        <x:v>0</x:v>
      </x:c>
      <x:c r="J85" s="31" t="str">
        <x:v>美元</x:v>
      </x:c>
      <x:c r="K85" s="32" t="str">
        <x:v>國民年金保險基金-115年7月.pdf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SUMIFS('國外委外明細'!$G$4:$G$188,'國外委外明細'!$A$4:$A$188,A86,'國外委外明細'!$C$4:$C$188,C86,'國外委外明細'!$E$4:$E$188,E86)</x:f>
        <x:v>717816909</x:v>
      </x:c>
      <x:c r="G86" s="40" t="n">
        <x:f>SUMIFS('國外委外明細'!$H$4:$H$188,'國外委外明細'!$A$4:$A$188,A86,'國外委外明細'!$C$4:$C$188,C86,'國外委外明細'!$E$4:$E$188,E86)</x:f>
        <x:v>765459043</x:v>
      </x:c>
      <x:c r="H86" s="43" t="n">
        <x:f>IFERROR(G86/F86-1,0)</x:f>
        <x:v>0.06637087173994116</x:v>
      </x:c>
      <x:c r="I86" s="43" t="n">
        <x:f>IFERROR(SUMIFS('國外委外明細'!$J$4:$J$188,'國外委外明細'!$A$4:$A$188,A86,'國外委外明細'!$C$4:$C$188,C86,'國外委外明細'!$E$4:$E$188,E86)/COUNTIFS('國外委外明細'!$A$4:$A$188,A86,'國外委外明細'!$C$4:$C$188,C86,'國外委外明細'!$E$4:$E$188,E86,'國外委外明細'!$J$4:$J$188,"&lt;&gt;"),0)</x:f>
        <x:v>0</x:v>
      </x:c>
      <x:c r="J86" s="31" t="str">
        <x:v>美元</x:v>
      </x:c>
      <x:c r="K86" s="32" t="str">
        <x:v>國民年金保險基金-115年7月.pdf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SUMIFS('國外委外明細'!$G$4:$G$188,'國外委外明細'!$A$4:$A$188,A87,'國外委外明細'!$C$4:$C$188,C87,'國外委外明細'!$E$4:$E$188,E87)</x:f>
        <x:v>151227051</x:v>
      </x:c>
      <x:c r="G87" s="40" t="n">
        <x:f>SUMIFS('國外委外明細'!$H$4:$H$188,'國外委外明細'!$A$4:$A$188,A87,'國外委外明細'!$C$4:$C$188,C87,'國外委外明細'!$E$4:$E$188,E87)</x:f>
        <x:v>265114862</x:v>
      </x:c>
      <x:c r="H87" s="43" t="n">
        <x:f>IFERROR(G87/F87-1,0)</x:f>
        <x:v>0.7530915285784419</x:v>
      </x:c>
      <x:c r="I87" s="43" t="n">
        <x:f>IFERROR(SUMIFS('國外委外明細'!$J$4:$J$188,'國外委外明細'!$A$4:$A$188,A87,'國外委外明細'!$C$4:$C$188,C87,'國外委外明細'!$E$4:$E$188,E87)/COUNTIFS('國外委外明細'!$A$4:$A$188,A87,'國外委外明細'!$C$4:$C$188,C87,'國外委外明細'!$E$4:$E$188,E87,'國外委外明細'!$J$4:$J$188,"&lt;&gt;"),0)</x:f>
        <x:v>0</x:v>
      </x:c>
      <x:c r="J87" s="31" t="str">
        <x:v>美元</x:v>
      </x:c>
      <x:c r="K87" s="32" t="str">
        <x:v>國民年金保險基金-115年7月.pdf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SUMIFS('國外委外明細'!$G$4:$G$188,'國外委外明細'!$A$4:$A$188,A88,'國外委外明細'!$C$4:$C$188,C88,'國外委外明細'!$E$4:$E$188,E88)</x:f>
        <x:v>637470261</x:v>
      </x:c>
      <x:c r="G88" s="40" t="n">
        <x:f>SUMIFS('國外委外明細'!$H$4:$H$188,'國外委外明細'!$A$4:$A$188,A88,'國外委外明細'!$C$4:$C$188,C88,'國外委外明細'!$E$4:$E$188,E88)</x:f>
        <x:v>1237875737</x:v>
      </x:c>
      <x:c r="H88" s="43" t="n">
        <x:f>IFERROR(G88/F88-1,0)</x:f>
        <x:v>0.9418564484218348</x:v>
      </x:c>
      <x:c r="I88" s="43" t="n">
        <x:f>IFERROR(SUMIFS('國外委外明細'!$J$4:$J$188,'國外委外明細'!$A$4:$A$188,A88,'國外委外明細'!$C$4:$C$188,C88,'國外委外明細'!$E$4:$E$188,E88)/COUNTIFS('國外委外明細'!$A$4:$A$188,A88,'國外委外明細'!$C$4:$C$188,C88,'國外委外明細'!$E$4:$E$188,E88,'國外委外明細'!$J$4:$J$188,"&lt;&gt;"),0)</x:f>
        <x:v>0</x:v>
      </x:c>
      <x:c r="J88" s="31" t="str">
        <x:v>美元</x:v>
      </x:c>
      <x:c r="K88" s="32" t="str">
        <x:v>國民年金保險基金-115年7月.pdf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SUMIFS('國外委外明細'!$G$4:$G$188,'國外委外明細'!$A$4:$A$188,A89,'國外委外明細'!$C$4:$C$188,C89,'國外委外明細'!$E$4:$E$188,E89)</x:f>
        <x:v>497978842</x:v>
      </x:c>
      <x:c r="G89" s="40" t="n">
        <x:f>SUMIFS('國外委外明細'!$H$4:$H$188,'國外委外明細'!$A$4:$A$188,A89,'國外委外明細'!$C$4:$C$188,C89,'國外委外明細'!$E$4:$E$188,E89)</x:f>
        <x:v>625110290</x:v>
      </x:c>
      <x:c r="H89" s="43" t="n">
        <x:f>IFERROR(G89/F89-1,0)</x:f>
        <x:v>0.2552948785723712</x:v>
      </x:c>
      <x:c r="I89" s="43" t="n">
        <x:f>IFERROR(SUMIFS('國外委外明細'!$J$4:$J$188,'國外委外明細'!$A$4:$A$188,A89,'國外委外明細'!$C$4:$C$188,C89,'國外委外明細'!$E$4:$E$188,E89)/COUNTIFS('國外委外明細'!$A$4:$A$188,A89,'國外委外明細'!$C$4:$C$188,C89,'國外委外明細'!$E$4:$E$188,E89,'國外委外明細'!$J$4:$J$188,"&lt;&gt;"),0)</x:f>
        <x:v>0</x:v>
      </x:c>
      <x:c r="J89" s="31" t="str">
        <x:v>美元</x:v>
      </x:c>
      <x:c r="K89" s="32" t="str">
        <x:v>國民年金保險基金-115年7月.pdf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SUMIFS('國外委外明細'!$G$4:$G$188,'國外委外明細'!$A$4:$A$188,A90,'國外委外明細'!$C$4:$C$188,C90,'國外委外明細'!$E$4:$E$188,E90)</x:f>
        <x:v>635202868</x:v>
      </x:c>
      <x:c r="G90" s="40" t="n">
        <x:f>SUMIFS('國外委外明細'!$H$4:$H$188,'國外委外明細'!$A$4:$A$188,A90,'國外委外明細'!$C$4:$C$188,C90,'國外委外明細'!$E$4:$E$188,E90)</x:f>
        <x:v>934426421</x:v>
      </x:c>
      <x:c r="H90" s="43" t="n">
        <x:f>IFERROR(G90/F90-1,0)</x:f>
        <x:v>0.4710676983278357</x:v>
      </x:c>
      <x:c r="I90" s="43" t="n">
        <x:f>IFERROR(SUMIFS('國外委外明細'!$J$4:$J$188,'國外委外明細'!$A$4:$A$188,A90,'國外委外明細'!$C$4:$C$188,C90,'國外委外明細'!$E$4:$E$188,E90)/COUNTIFS('國外委外明細'!$A$4:$A$188,A90,'國外委外明細'!$C$4:$C$188,C90,'國外委外明細'!$E$4:$E$188,E90,'國外委外明細'!$J$4:$J$188,"&lt;&gt;"),0)</x:f>
        <x:v>0</x:v>
      </x:c>
      <x:c r="J90" s="31" t="str">
        <x:v>美元</x:v>
      </x:c>
      <x:c r="K90" s="32" t="str">
        <x:v>國民年金保險基金-115年7月.pdf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SUMIFS('國外委外明細'!$G$4:$G$188,'國外委外明細'!$A$4:$A$188,A91,'國外委外明細'!$C$4:$C$188,C91,'國外委外明細'!$E$4:$E$188,E91)</x:f>
        <x:v>380152423</x:v>
      </x:c>
      <x:c r="G91" s="40" t="n">
        <x:f>SUMIFS('國外委外明細'!$H$4:$H$188,'國外委外明細'!$A$4:$A$188,A91,'國外委外明細'!$C$4:$C$188,C91,'國外委外明細'!$E$4:$E$188,E91)</x:f>
        <x:v>376789882</x:v>
      </x:c>
      <x:c r="H91" s="43" t="n">
        <x:f>IFERROR(G91/F91-1,0)</x:f>
        <x:v>-0.008845244161445165</x:v>
      </x:c>
      <x:c r="I91" s="43" t="n">
        <x:f>IFERROR(SUMIFS('國外委外明細'!$J$4:$J$188,'國外委外明細'!$A$4:$A$188,A91,'國外委外明細'!$C$4:$C$188,C91,'國外委外明細'!$E$4:$E$188,E91)/COUNTIFS('國外委外明細'!$A$4:$A$188,A91,'國外委外明細'!$C$4:$C$188,C91,'國外委外明細'!$E$4:$E$188,E91,'國外委外明細'!$J$4:$J$188,"&lt;&gt;"),0)</x:f>
        <x:v>0</x:v>
      </x:c>
      <x:c r="J91" s="31" t="str">
        <x:v>美元</x:v>
      </x:c>
      <x:c r="K91" s="32" t="str">
        <x:v>國民年金保險基金-115年7月.pdf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SUMIFS('國外委外明細'!$G$4:$G$188,'國外委外明細'!$A$4:$A$188,A92,'國外委外明細'!$C$4:$C$188,C92,'國外委外明細'!$E$4:$E$188,E92)</x:f>
        <x:v>400000000</x:v>
      </x:c>
      <x:c r="G92" s="40" t="n">
        <x:f>SUMIFS('國外委外明細'!$H$4:$H$188,'國外委外明細'!$A$4:$A$188,A92,'國外委外明細'!$C$4:$C$188,C92,'國外委外明細'!$E$4:$E$188,E92)</x:f>
        <x:v>505705290</x:v>
      </x:c>
      <x:c r="H92" s="43" t="n">
        <x:f>IFERROR(G92/F92-1,0)</x:f>
        <x:v>0.2642632250000001</x:v>
      </x:c>
      <x:c r="I92" s="43" t="n">
        <x:f>IFERROR(SUMIFS('國外委外明細'!$J$4:$J$188,'國外委外明細'!$A$4:$A$188,A92,'國外委外明細'!$C$4:$C$188,C92,'國外委外明細'!$E$4:$E$188,E92)/COUNTIFS('國外委外明細'!$A$4:$A$188,A92,'國外委外明細'!$C$4:$C$188,C92,'國外委外明細'!$E$4:$E$188,E92,'國外委外明細'!$J$4:$J$188,"&lt;&gt;"),0)</x:f>
        <x:v>0</x:v>
      </x:c>
      <x:c r="J92" s="31" t="str">
        <x:v>美元</x:v>
      </x:c>
      <x:c r="K92" s="32" t="str">
        <x:v>國民年金保險基金-115年7月.pdf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SUMIFS('國外委外明細'!$G$4:$G$188,'國外委外明細'!$A$4:$A$188,A93,'國外委外明細'!$C$4:$C$188,C93,'國外委外明細'!$E$4:$E$188,E93)</x:f>
        <x:v>300000000</x:v>
      </x:c>
      <x:c r="G93" s="40" t="n">
        <x:f>SUMIFS('國外委外明細'!$H$4:$H$188,'國外委外明細'!$A$4:$A$188,A93,'國外委外明細'!$C$4:$C$188,C93,'國外委外明細'!$E$4:$E$188,E93)</x:f>
        <x:v>435592195</x:v>
      </x:c>
      <x:c r="H93" s="43" t="n">
        <x:f>IFERROR(G93/F93-1,0)</x:f>
        <x:v>0.4519739833333334</x:v>
      </x:c>
      <x:c r="I93" s="43" t="n">
        <x:f>IFERROR(SUMIFS('國外委外明細'!$J$4:$J$188,'國外委外明細'!$A$4:$A$188,A93,'國外委外明細'!$C$4:$C$188,C93,'國外委外明細'!$E$4:$E$188,E93)/COUNTIFS('國外委外明細'!$A$4:$A$188,A93,'國外委外明細'!$C$4:$C$188,C93,'國外委外明細'!$E$4:$E$188,E93,'國外委外明細'!$J$4:$J$188,"&lt;&gt;"),0)</x:f>
        <x:v>0</x:v>
      </x:c>
      <x:c r="J93" s="31" t="str">
        <x:v>美元</x:v>
      </x:c>
      <x:c r="K93" s="32" t="str">
        <x:v>國民年金保險基金-115年7月.pdf</x:v>
      </x:c>
    </x:row>
    <x:row r="94">
      <x:c r="A94" s="37" t="n">
        <x:v>46204</x:v>
      </x:c>
      <x:c r="B94" s="31" t="str">
        <x:v>115年7月</x:v>
      </x:c>
      <x:c r="C94" s="31" t="str">
        <x:v>國民年金</x:v>
      </x:c>
      <x:c r="D94" s="31" t="str">
        <x:v>國外</x:v>
      </x:c>
      <x:c r="E94" s="31" t="str">
        <x:v>112-1全球被動股票型</x:v>
      </x:c>
      <x:c r="F94" s="40" t="n">
        <x:f>SUMIFS('國外委外明細'!$G$4:$G$188,'國外委外明細'!$A$4:$A$188,A94,'國外委外明細'!$C$4:$C$188,C94,'國外委外明細'!$E$4:$E$188,E94)</x:f>
        <x:v>400000000</x:v>
      </x:c>
      <x:c r="G94" s="40" t="n">
        <x:f>SUMIFS('國外委外明細'!$H$4:$H$188,'國外委外明細'!$A$4:$A$188,A94,'國外委外明細'!$C$4:$C$188,C94,'國外委外明細'!$E$4:$E$188,E94)</x:f>
        <x:v>544798662</x:v>
      </x:c>
      <x:c r="H94" s="43" t="n">
        <x:f>IFERROR(G94/F94-1,0)</x:f>
        <x:v>0.361996655</x:v>
      </x:c>
      <x:c r="I94" s="43" t="n">
        <x:f>IFERROR(SUMIFS('國外委外明細'!$J$4:$J$188,'國外委外明細'!$A$4:$A$188,A94,'國外委外明細'!$C$4:$C$188,C94,'國外委外明細'!$E$4:$E$188,E94)/COUNTIFS('國外委外明細'!$A$4:$A$188,A94,'國外委外明細'!$C$4:$C$188,C94,'國外委外明細'!$E$4:$E$188,E94,'國外委外明細'!$J$4:$J$188,"&lt;&gt;"),0)</x:f>
        <x:v>0</x:v>
      </x:c>
      <x:c r="J94" s="31" t="str">
        <x:v>美元</x:v>
      </x:c>
      <x:c r="K94" s="32" t="str">
        <x:v>國民年金保險基金-115年7月.pdf</x:v>
      </x:c>
    </x:row>
    <x:row r="95">
      <x:c r="A95" s="37" t="n">
        <x:v>46204</x:v>
      </x:c>
      <x:c r="B95" s="31" t="str">
        <x:v>115年7月</x:v>
      </x:c>
      <x:c r="C95" s="31" t="str">
        <x:v>新制</x:v>
      </x:c>
      <x:c r="D95" s="31" t="str">
        <x:v>國外</x:v>
      </x:c>
      <x:c r="E95" s="31" t="str">
        <x:v>100-1全球基本面指數被動股票型（續約2）</x:v>
      </x:c>
      <x:c r="F95" s="40" t="n">
        <x:f>SUMIFS('國外委外明細'!$G$4:$G$188,'國外委外明細'!$A$4:$A$188,A95,'國外委外明細'!$C$4:$C$188,C95,'國外委外明細'!$E$4:$E$188,E95)</x:f>
        <x:v>0</x:v>
      </x:c>
      <x:c r="G95" s="40" t="n">
        <x:f>SUMIFS('國外委外明細'!$H$4:$H$188,'國外委外明細'!$A$4:$A$188,A95,'國外委外明細'!$C$4:$C$188,C95,'國外委外明細'!$E$4:$E$188,E95)</x:f>
        <x:v>0</x:v>
      </x:c>
      <x:c r="H95" s="43" t="n">
        <x:f>IFERROR(G95/F95-1,0)</x:f>
        <x:v>0</x:v>
      </x:c>
      <x:c r="I95" s="43" t="n">
        <x:f>IFERROR(SUMIFS('國外委外明細'!$J$4:$J$188,'國外委外明細'!$A$4:$A$188,A95,'國外委外明細'!$C$4:$C$188,C95,'國外委外明細'!$E$4:$E$188,E95)/COUNTIFS('國外委外明細'!$A$4:$A$188,A95,'國外委外明細'!$C$4:$C$188,C95,'國外委外明細'!$E$4:$E$188,E95,'國外委外明細'!$J$4:$J$188,"&lt;&gt;"),0)</x:f>
        <x:v>0</x:v>
      </x:c>
      <x:c r="J95" s="31" t="str">
        <x:v>美元</x:v>
      </x:c>
      <x:c r="K95" s="32" t="str"/>
    </x:row>
    <x:row r="96">
      <x:c r="A96" s="37" t="n">
        <x:v>46204</x:v>
      </x:c>
      <x:c r="B96" s="31" t="str">
        <x:v>115年7月</x:v>
      </x:c>
      <x:c r="C96" s="31" t="str">
        <x:v>新制</x:v>
      </x:c>
      <x:c r="D96" s="31" t="str">
        <x:v>國外</x:v>
      </x:c>
      <x:c r="E96" s="31" t="str">
        <x:v>104-2全球基礎建設有價證券型（續約）</x:v>
      </x:c>
      <x:c r="F96" s="40" t="n">
        <x:f>SUMIFS('國外委外明細'!$G$4:$G$188,'國外委外明細'!$A$4:$A$188,A96,'國外委外明細'!$C$4:$C$188,C96,'國外委外明細'!$E$4:$E$188,E96)</x:f>
        <x:v>0</x:v>
      </x:c>
      <x:c r="G96" s="40" t="n">
        <x:f>SUMIFS('國外委外明細'!$H$4:$H$188,'國外委外明細'!$A$4:$A$188,A96,'國外委外明細'!$C$4:$C$188,C96,'國外委外明細'!$E$4:$E$188,E96)</x:f>
        <x:v>0</x:v>
      </x:c>
      <x:c r="H96" s="43" t="n">
        <x:f>IFERROR(G96/F96-1,0)</x:f>
        <x:v>0</x:v>
      </x:c>
      <x:c r="I96" s="43" t="n">
        <x:f>IFERROR(SUMIFS('國外委外明細'!$J$4:$J$188,'國外委外明細'!$A$4:$A$188,A96,'國外委外明細'!$C$4:$C$188,C96,'國外委外明細'!$E$4:$E$188,E96)/COUNTIFS('國外委外明細'!$A$4:$A$188,A96,'國外委外明細'!$C$4:$C$188,C96,'國外委外明細'!$E$4:$E$188,E96,'國外委外明細'!$J$4:$J$188,"&lt;&gt;"),0)</x:f>
        <x:v>0</x:v>
      </x:c>
      <x:c r="J96" s="31" t="str">
        <x:v>美元</x:v>
      </x:c>
      <x:c r="K96" s="32" t="str"/>
    </x:row>
    <x:row r="97">
      <x:c r="A97" s="37" t="n">
        <x:v>46204</x:v>
      </x:c>
      <x:c r="B97" s="31" t="str">
        <x:v>115年7月</x:v>
      </x:c>
      <x:c r="C97" s="31" t="str">
        <x:v>新制</x:v>
      </x:c>
      <x:c r="D97" s="31" t="str">
        <x:v>國外</x:v>
      </x:c>
      <x:c r="E97" s="31" t="str">
        <x:v>105-1全球多元資產型(續約)</x:v>
      </x:c>
      <x:c r="F97" s="40" t="n">
        <x:f>SUMIFS('國外委外明細'!$G$4:$G$188,'國外委外明細'!$A$4:$A$188,A97,'國外委外明細'!$C$4:$C$188,C97,'國外委外明細'!$E$4:$E$188,E97)</x:f>
        <x:v>0</x:v>
      </x:c>
      <x:c r="G97" s="40" t="n">
        <x:f>SUMIFS('國外委外明細'!$H$4:$H$188,'國外委外明細'!$A$4:$A$188,A97,'國外委外明細'!$C$4:$C$188,C97,'國外委外明細'!$E$4:$E$188,E97)</x:f>
        <x:v>0</x:v>
      </x:c>
      <x:c r="H97" s="43" t="n">
        <x:f>IFERROR(G97/F97-1,0)</x:f>
        <x:v>0</x:v>
      </x:c>
      <x:c r="I97" s="43" t="n">
        <x:f>IFERROR(SUMIFS('國外委外明細'!$J$4:$J$188,'國外委外明細'!$A$4:$A$188,A97,'國外委外明細'!$C$4:$C$188,C97,'國外委外明細'!$E$4:$E$188,E97)/COUNTIFS('國外委外明細'!$A$4:$A$188,A97,'國外委外明細'!$C$4:$C$188,C97,'國外委外明細'!$E$4:$E$188,E97,'國外委外明細'!$J$4:$J$188,"&lt;&gt;"),0)</x:f>
        <x:v>0</x:v>
      </x:c>
      <x:c r="J97" s="31" t="str">
        <x:v>美元</x:v>
      </x:c>
      <x:c r="K97" s="32" t="str"/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100-1全球基本面指數被動股票型(續約2)</x:v>
      </x:c>
      <x:c r="F98" s="40" t="n">
        <x:f>SUMIFS('國外委外明細'!$G$4:$G$188,'國外委外明細'!$A$4:$A$188,A98,'國外委外明細'!$C$4:$C$188,C98,'國外委外明細'!$E$4:$E$188,E98)</x:f>
        <x:v>0</x:v>
      </x:c>
      <x:c r="G98" s="40" t="n">
        <x:f>SUMIFS('國外委外明細'!$H$4:$H$188,'國外委外明細'!$A$4:$A$188,A98,'國外委外明細'!$C$4:$C$188,C98,'國外委外明細'!$E$4:$E$188,E98)</x:f>
        <x:v>0</x:v>
      </x:c>
      <x:c r="H98" s="43" t="n">
        <x:f>IFERROR(G98/F98-1,0)</x:f>
        <x:v>0</x:v>
      </x:c>
      <x:c r="I98" s="43" t="n">
        <x:f>IFERROR(SUMIFS('國外委外明細'!$J$4:$J$188,'國外委外明細'!$A$4:$A$188,A98,'國外委外明細'!$C$4:$C$188,C98,'國外委外明細'!$E$4:$E$188,E98)/COUNTIFS('國外委外明細'!$A$4:$A$188,A98,'國外委外明細'!$C$4:$C$188,C98,'國外委外明細'!$E$4:$E$188,E98,'國外委外明細'!$J$4:$J$188,"&lt;&gt;"),0)</x:f>
        <x:v>0</x:v>
      </x:c>
      <x:c r="J98" s="31" t="str">
        <x:v>美元</x:v>
      </x:c>
      <x:c r="K98" s="32" t="str"/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40" t="n">
        <x:f>SUMIFS('國外委外明細'!$G$4:$G$188,'國外委外明細'!$A$4:$A$188,A99,'國外委外明細'!$C$4:$C$188,C99,'國外委外明細'!$E$4:$E$188,E99)</x:f>
        <x:v>0</x:v>
      </x:c>
      <x:c r="G99" s="40" t="n">
        <x:f>SUMIFS('國外委外明細'!$H$4:$H$188,'國外委外明細'!$A$4:$A$188,A99,'國外委外明細'!$C$4:$C$188,C99,'國外委外明細'!$E$4:$E$188,E99)</x:f>
        <x:v>0</x:v>
      </x:c>
      <x:c r="H99" s="43" t="n">
        <x:f>IFERROR(G99/F99-1,0)</x:f>
        <x:v>0</x:v>
      </x:c>
      <x:c r="I99" s="43" t="n">
        <x:f>IFERROR(SUMIFS('國外委外明細'!$J$4:$J$188,'國外委外明細'!$A$4:$A$188,A99,'國外委外明細'!$C$4:$C$188,C99,'國外委外明細'!$E$4:$E$188,E99)/COUNTIFS('國外委外明細'!$A$4:$A$188,A99,'國外委外明細'!$C$4:$C$188,C99,'國外委外明細'!$E$4:$E$188,E99,'國外委外明細'!$J$4:$J$188,"&lt;&gt;"),0)</x:f>
        <x:v>0</x:v>
      </x:c>
      <x:c r="J99" s="31" t="str">
        <x:v>美元</x:v>
      </x:c>
      <x:c r="K99" s="32" t="str"/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國外</x:v>
      </x:c>
      <x:c r="E100" s="31" t="str">
        <x:v>109年第二次委託經營(相對報酬)</x:v>
      </x:c>
      <x:c r="F100" s="40" t="n">
        <x:f>SUMIFS('國外委外明細'!$G$4:$G$188,'國外委外明細'!$A$4:$A$188,A100,'國外委外明細'!$C$4:$C$188,C100,'國外委外明細'!$E$4:$E$188,E100)</x:f>
        <x:v>0</x:v>
      </x:c>
      <x:c r="G100" s="40" t="n">
        <x:f>SUMIFS('國外委外明細'!$H$4:$H$188,'國外委外明細'!$A$4:$A$188,A100,'國外委外明細'!$C$4:$C$188,C100,'國外委外明細'!$E$4:$E$188,E100)</x:f>
        <x:v>0</x:v>
      </x:c>
      <x:c r="H100" s="43" t="n">
        <x:f>IFERROR(G100/F100-1,0)</x:f>
        <x:v>0</x:v>
      </x:c>
      <x:c r="I100" s="43" t="n">
        <x:f>IFERROR(SUMIFS('國外委外明細'!$J$4:$J$188,'國外委外明細'!$A$4:$A$188,A100,'國外委外明細'!$C$4:$C$188,C100,'國外委外明細'!$E$4:$E$188,E100)/COUNTIFS('國外委外明細'!$A$4:$A$188,A100,'國外委外明細'!$C$4:$C$188,C100,'國外委外明細'!$E$4:$E$188,E100,'國外委外明細'!$J$4:$J$188,"&lt;&gt;"),0)</x:f>
        <x:v>0</x:v>
      </x:c>
      <x:c r="J100" s="31" t="str">
        <x:v>新臺幣元</x:v>
      </x:c>
      <x:c r="K100" s="32" t="str"/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國外</x:v>
      </x:c>
      <x:c r="E101" s="31" t="str">
        <x:v>105-1全球多元資產型(續約)</x:v>
      </x:c>
      <x:c r="F101" s="40" t="n">
        <x:f>SUMIFS('國外委外明細'!$G$4:$G$188,'國外委外明細'!$A$4:$A$188,A101,'國外委外明細'!$C$4:$C$188,C101,'國外委外明細'!$E$4:$E$188,E101)</x:f>
        <x:v>0</x:v>
      </x:c>
      <x:c r="G101" s="40" t="n">
        <x:f>SUMIFS('國外委外明細'!$H$4:$H$188,'國外委外明細'!$A$4:$A$188,A101,'國外委外明細'!$C$4:$C$188,C101,'國外委外明細'!$E$4:$E$188,E101)</x:f>
        <x:v>0</x:v>
      </x:c>
      <x:c r="H101" s="43" t="n">
        <x:f>IFERROR(G101/F101-1,0)</x:f>
        <x:v>0</x:v>
      </x:c>
      <x:c r="I101" s="43" t="n">
        <x:f>IFERROR(SUMIFS('國外委外明細'!$J$4:$J$188,'國外委外明細'!$A$4:$A$188,A101,'國外委外明細'!$C$4:$C$188,C101,'國外委外明細'!$E$4:$E$188,E101)/COUNTIFS('國外委外明細'!$A$4:$A$188,A101,'國外委外明細'!$C$4:$C$188,C101,'國外委外明細'!$E$4:$E$188,E101,'國外委外明細'!$J$4:$J$188,"&lt;&gt;"),0)</x:f>
        <x:v>0</x:v>
      </x:c>
      <x:c r="J101" s="31" t="str">
        <x:v>美元</x:v>
      </x:c>
      <x:c r="K101" s="32" t="str"/>
    </x:row>
    <x:row r="102">
      <x:c r="A102" s="38" t="n">
        <x:v>46204</x:v>
      </x:c>
      <x:c r="B102" s="34" t="str">
        <x:v>115年7月</x:v>
      </x:c>
      <x:c r="C102" s="34" t="str">
        <x:v>國民年金</x:v>
      </x:c>
      <x:c r="D102" s="34" t="str">
        <x:v>國外</x:v>
      </x:c>
      <x:c r="E102" s="34" t="str">
        <x:v>104-1全球主權信用增值債券型(續約2)</x:v>
      </x:c>
      <x:c r="F102" s="41" t="n">
        <x:f>SUMIFS('國外委外明細'!$G$4:$G$188,'國外委外明細'!$A$4:$A$188,A102,'國外委外明細'!$C$4:$C$188,C102,'國外委外明細'!$E$4:$E$188,E102)</x:f>
        <x:v>0</x:v>
      </x:c>
      <x:c r="G102" s="41" t="n">
        <x:f>SUMIFS('國外委外明細'!$H$4:$H$188,'國外委外明細'!$A$4:$A$188,A102,'國外委外明細'!$C$4:$C$188,C102,'國外委外明細'!$E$4:$E$188,E102)</x:f>
        <x:v>0</x:v>
      </x:c>
      <x:c r="H102" s="44" t="n">
        <x:f>IFERROR(G102/F102-1,0)</x:f>
        <x:v>0</x:v>
      </x:c>
      <x:c r="I102" s="44" t="n">
        <x:f>IFERROR(SUMIFS('國外委外明細'!$J$4:$J$188,'國外委外明細'!$A$4:$A$188,A102,'國外委外明細'!$C$4:$C$188,C102,'國外委外明細'!$E$4:$E$188,E102)/COUNTIFS('國外委外明細'!$A$4:$A$188,A102,'國外委外明細'!$C$4:$C$188,C102,'國外委外明細'!$E$4:$E$188,E102,'國外委外明細'!$J$4:$J$188,"&lt;&gt;"),0)</x:f>
        <x:v>0</x:v>
      </x:c>
      <x:c r="J102" s="34" t="str">
        <x:v>美元</x:v>
      </x:c>
      <x:c r="K102" s="35" t="str"/>
    </x:row>
    <x:row r="104">
      <x:c r="A104" s="46" t="str">
        <x:v>* 投資報酬率採「目前淨資產 ÷ 委託金額 − 1」計算；目標／指標報酬率採同批次受託機構之平均，便於跨批次比較。</x:v>
      </x:c>
      <x:c r="B104" s="46"/>
      <x:c r="C104" s="46"/>
      <x:c r="D104" s="46"/>
      <x:c r="E104" s="46"/>
      <x:c r="F104" s="46"/>
      <x:c r="G104" s="46"/>
      <x:c r="H104" s="46"/>
      <x:c r="I104" s="46"/>
      <x:c r="J104" s="46"/>
      <x:c r="K104" s="46"/>
    </x:row>
  </x:sheetData>
  <x:mergeCells>
    <x:mergeCell ref="A1:K1"/>
    <x:mergeCell ref="A104:K104"/>
  </x:mergeCells>
  <x:pageMargins left="0.7" right="0.7" top="0.75" bottom="0.75" header="0.3" footer="0.3"/>
  <x:tableParts count="1">
    <x:tablePart xmlns:r="http://schemas.openxmlformats.org/officeDocument/2006/relationships" r:id="R85f230f5829c4526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0" hidden="0" customWidth="1"/>
    <x:col min="2" max="2" width="12.779999732971191" hidden="0" customWidth="1"/>
    <x:col min="3" max="3" width="18.440000534057617" hidden="0" customWidth="1"/>
    <x:col min="4" max="4" width="16.780000686645508" hidden="0" customWidth="1"/>
    <x:col min="5" max="5" width="3.7799999713897705" hidden="0" customWidth="1"/>
    <x:col min="6" max="6" width="5.329999923706055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6.780000686645508" hidden="0" customWidth="1"/>
    <x:col min="11" max="11" width="3.7799999713897705" hidden="0" customWidth="1"/>
    <x:col min="12" max="12" width="5.329999923706055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N4" s="51"/>
      <x:c r="O4" s="50"/>
      <x:c r="P4" t="str">
        <x:f>G9&amp;" "&amp;TEXT(J9,"0.0%")</x:f>
        <x:v>貝萊德 14.3%</x:v>
      </x:c>
      <x:c r="Q4" s="51" t="n">
        <x:f>I9</x:f>
        <x:v>17827431853</x:v>
      </x:c>
      <x:c r="R4" s="50" t="n">
        <x:f>Q4/SUM($Q$4:$Q$14)</x:f>
        <x:v>0.1425863938130672</x:v>
      </x:c>
      <x:c r="S4" t="n">
        <x:f>M4</x:f>
        <x:v>0</x:v>
      </x:c>
      <x:c r="T4" s="50" t="n">
        <x:f>O4</x:f>
        <x:v>0</x:v>
      </x:c>
      <x:c r="V4" t="str">
        <x:f>P4</x:f>
        <x:v>貝萊德 14.3%</x:v>
      </x:c>
      <x:c r="W4" s="50" t="n">
        <x:f>R4</x:f>
        <x:v>0.1425863938130672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N5" s="51"/>
      <x:c r="O5" s="50"/>
      <x:c r="P5" t="str">
        <x:f>G10&amp;" "&amp;TEXT(J10,"0.0%")</x:f>
        <x:v>道富 9.8%</x:v>
      </x:c>
      <x:c r="Q5" s="51" t="n">
        <x:f>I10</x:f>
        <x:v>12270337973</x:v>
      </x:c>
      <x:c r="R5" s="50" t="n">
        <x:f>Q5/SUM($Q$4:$Q$14)</x:f>
        <x:v>0.09813994841568788</x:v>
      </x:c>
      <x:c r="S5" t="n">
        <x:f>M5</x:f>
        <x:v>0</x:v>
      </x:c>
      <x:c r="T5" s="50" t="n">
        <x:f>O5</x:f>
        <x:v>0</x:v>
      </x:c>
      <x:c r="V5" t="str">
        <x:f>P5</x:f>
        <x:v>道富 9.8%</x:v>
      </x:c>
      <x:c r="W5" s="50" t="n">
        <x:f>R5</x:f>
        <x:v>0.09813994841568788</x:v>
      </x:c>
    </x:row>
    <x:row r="6">
      <x:c r="N6" s="51"/>
      <x:c r="O6" s="50"/>
      <x:c r="P6" t="str">
        <x:f>G11&amp;" "&amp;TEXT(J11,"0.0%")</x:f>
        <x:v>北美信託 6.6%</x:v>
      </x:c>
      <x:c r="Q6" s="51" t="n">
        <x:f>I11</x:f>
        <x:v>8229076099</x:v>
      </x:c>
      <x:c r="R6" s="50" t="n">
        <x:f>Q6/SUM($Q$4:$Q$14)</x:f>
        <x:v>0.0658173479525746</x:v>
      </x:c>
      <x:c r="S6" t="n">
        <x:f>M6</x:f>
        <x:v>0</x:v>
      </x:c>
      <x:c r="T6" s="50" t="n">
        <x:f>O6</x:f>
        <x:v>0</x:v>
      </x:c>
      <x:c r="V6" t="str">
        <x:f>P6</x:f>
        <x:v>北美信託 6.6%</x:v>
      </x:c>
      <x:c r="W6" s="50" t="n">
        <x:f>R6</x:f>
        <x:v>0.0658173479525746</x:v>
      </x:c>
    </x:row>
    <x:row r="7">
      <x:c r="N7" s="51"/>
      <x:c r="O7" s="50"/>
      <x:c r="P7" t="str">
        <x:f>G12&amp;" "&amp;TEXT(J12,"0.0%")</x:f>
        <x:v>威靈頓 5.2%</x:v>
      </x:c>
      <x:c r="Q7" s="51" t="n">
        <x:f>I12</x:f>
        <x:v>6499168753</x:v>
      </x:c>
      <x:c r="R7" s="50" t="n">
        <x:f>Q7/SUM($Q$4:$Q$14)</x:f>
        <x:v>0.05198129730148962</x:v>
      </x:c>
      <x:c r="S7" t="n">
        <x:f>M7</x:f>
        <x:v>0</x:v>
      </x:c>
      <x:c r="T7" s="50" t="n">
        <x:f>O7</x:f>
        <x:v>0</x:v>
      </x:c>
      <x:c r="V7" t="str">
        <x:f>P7</x:f>
        <x:v>威靈頓 5.2%</x:v>
      </x:c>
      <x:c r="W7" s="50" t="n">
        <x:f>R7</x:f>
        <x:v>0.05198129730148962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市占率（目前淨資產）</x:v>
      </x:c>
      <x:c r="E8" s="16" t="str">
        <x:v>排名</x:v>
      </x:c>
      <x:c r="F8" s="17" t="str">
        <x:v>帳戶數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市占率（目前淨資產）</x:v>
      </x:c>
      <x:c r="K8" s="16" t="str">
        <x:v>排名</x:v>
      </x:c>
      <x:c r="L8" s="17" t="str">
        <x:v>帳戶數</x:v>
      </x:c>
      <x:c r="N8" s="51"/>
      <x:c r="O8" s="50"/>
      <x:c r="P8" t="str">
        <x:f>G13&amp;" "&amp;TEXT(J13,"0.0%")</x:f>
        <x:v>L&amp;G 5.0%</x:v>
      </x:c>
      <x:c r="Q8" s="51" t="n">
        <x:f>I13</x:f>
        <x:v>6233333079</x:v>
      </x:c>
      <x:c r="R8" s="50" t="n">
        <x:f>Q8/SUM($Q$4:$Q$14)</x:f>
        <x:v>0.04985510490232206</x:v>
      </x:c>
      <x:c r="S8" t="n">
        <x:f>M8</x:f>
        <x:v>0</x:v>
      </x:c>
      <x:c r="T8" s="50" t="n">
        <x:f>O8</x:f>
        <x:v>0</x:v>
      </x:c>
      <x:c r="V8" t="str">
        <x:f>P8</x:f>
        <x:v>L&amp;G 5.0%</x:v>
      </x:c>
      <x:c r="W8" s="50" t="n">
        <x:f>R8</x:f>
        <x:v>0.04985510490232206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237298388724</x:v>
      </x:c>
      <x:c r="C9" s="39" t="n">
        <x:f>SUMIFS('國內委外明細'!$H$4:$H$116,'國內委外明細'!$F$4:$F$116,A9,'國內委外明細'!$A$4:$A$116,$B$4)</x:f>
        <x:v>508667757409</x:v>
      </x:c>
      <x:c r="D9" s="42" t="n">
        <x:f>IFERROR(C9/SUM($C$9:$C$26),0)</x:f>
        <x:v>0.23765681630443036</x:v>
      </x:c>
      <x:c r="E9" s="28" t="n">
        <x:f>RANK(C9,$C$9:$C$26,0)</x:f>
        <x:v>1</x:v>
      </x:c>
      <x:c r="F9" s="29" t="n">
        <x:f>COUNTIFS('國內委外明細'!$F$4:$F$116,A9,'國內委外明細'!$A$4:$A$116,$B$4,'國內委外明細'!$J$4:$J$116,"&lt;&gt;解約")</x:f>
        <x:v>18</x:v>
      </x:c>
      <x:c r="G9" s="27" t="str">
        <x:v>貝萊德</x:v>
      </x:c>
      <x:c r="H9" s="39" t="n">
        <x:f>SUMIFS('國外委外明細'!$G$4:$G$188,'國外委外明細'!$F$4:$F$188,G9,'國外委外明細'!$A$4:$A$188,$B$4)</x:f>
        <x:v>11558770413</x:v>
      </x:c>
      <x:c r="I9" s="39" t="n">
        <x:f>SUMIFS('國外委外明細'!$H$4:$H$188,'國外委外明細'!$F$4:$F$188,G9,'國外委外明細'!$A$4:$A$188,$B$4)</x:f>
        <x:v>17827431853</x:v>
      </x:c>
      <x:c r="J9" s="42" t="n">
        <x:f>IFERROR(I9/SUM($I$9:$I$54),0)</x:f>
        <x:v>0.1425863938130672</x:v>
      </x:c>
      <x:c r="K9" s="28" t="n">
        <x:f>RANK(I9,$I$9:$I$54,0)</x:f>
        <x:v>1</x:v>
      </x:c>
      <x:c r="L9" s="29" t="n">
        <x:f>COUNTIFS('國外委外明細'!$F$4:$F$188,G9,'國外委外明細'!$A$4:$A$188,$B$4,'國外委外明細'!$J$4:$J$188,"&lt;&gt;解約")</x:f>
        <x:v>16</x:v>
      </x:c>
      <x:c r="N9" s="51"/>
      <x:c r="O9" s="50"/>
      <x:c r="P9" t="str">
        <x:f>G14&amp;" "&amp;TEXT(J14,"0.0%")</x:f>
        <x:v>PIMCO 4.7%</x:v>
      </x:c>
      <x:c r="Q9" s="51" t="n">
        <x:f>I14</x:f>
        <x:v>5911641695</x:v>
      </x:c>
      <x:c r="R9" s="50" t="n">
        <x:f>Q9/SUM($Q$4:$Q$14)</x:f>
        <x:v>0.04728217040768952</x:v>
      </x:c>
      <x:c r="S9" t="n">
        <x:f>M9</x:f>
        <x:v>0</x:v>
      </x:c>
      <x:c r="T9" s="50" t="n">
        <x:f>O9</x:f>
        <x:v>0</x:v>
      </x:c>
      <x:c r="V9" t="str">
        <x:f>P9</x:f>
        <x:v>PIMCO 4.7%</x:v>
      </x:c>
      <x:c r="W9" s="50" t="n">
        <x:f>R9</x:f>
        <x:v>0.04728217040768952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155336870651</x:v>
      </x:c>
      <x:c r="C10" s="40" t="n">
        <x:f>SUMIFS('國內委外明細'!$H$4:$H$116,'國內委外明細'!$F$4:$F$116,A10,'國內委外明細'!$A$4:$A$116,$B$4)</x:f>
        <x:v>320838481044</x:v>
      </x:c>
      <x:c r="D10" s="43" t="n">
        <x:f>IFERROR(C10/SUM($C$9:$C$26),0)</x:f>
        <x:v>0.14990030494808254</x:v>
      </x:c>
      <x:c r="E10" s="31" t="n">
        <x:f>RANK(C10,$C$9:$C$26,0)</x:f>
        <x:v>2</x:v>
      </x:c>
      <x:c r="F10" s="32" t="n">
        <x:f>COUNTIFS('國內委外明細'!$F$4:$F$116,A10,'國內委外明細'!$A$4:$A$116,$B$4,'國內委外明細'!$J$4:$J$116,"&lt;&gt;解約")</x:f>
        <x:v>17</x:v>
      </x:c>
      <x:c r="G10" s="30" t="str">
        <x:v>道富</x:v>
      </x:c>
      <x:c r="H10" s="40" t="n">
        <x:f>SUMIFS('國外委外明細'!$G$4:$G$188,'國外委外明細'!$F$4:$F$188,G10,'國外委外明細'!$A$4:$A$188,$B$4)</x:f>
        <x:v>8651015271</x:v>
      </x:c>
      <x:c r="I10" s="40" t="n">
        <x:f>SUMIFS('國外委外明細'!$H$4:$H$188,'國外委外明細'!$F$4:$F$188,G10,'國外委外明細'!$A$4:$A$188,$B$4)</x:f>
        <x:v>12270337973</x:v>
      </x:c>
      <x:c r="J10" s="43" t="n">
        <x:f>IFERROR(I10/SUM($I$9:$I$54),0)</x:f>
        <x:v>0.09813994841568788</x:v>
      </x:c>
      <x:c r="K10" s="31" t="n">
        <x:f>RANK(I10,$I$9:$I$54,0)</x:f>
        <x:v>2</x:v>
      </x:c>
      <x:c r="L10" s="32" t="n">
        <x:f>COUNTIFS('國外委外明細'!$F$4:$F$188,G10,'國外委外明細'!$A$4:$A$188,$B$4,'國外委外明細'!$J$4:$J$188,"&lt;&gt;解約")</x:f>
        <x:v>13</x:v>
      </x:c>
      <x:c r="N10" s="51"/>
      <x:c r="O10" s="50"/>
      <x:c r="P10" t="str">
        <x:f>G15&amp;" "&amp;TEXT(J15,"0.0%")</x:f>
        <x:v>景順 4.2%</x:v>
      </x:c>
      <x:c r="Q10" s="51" t="n">
        <x:f>I15</x:f>
        <x:v>5214617387</x:v>
      </x:c>
      <x:c r="R10" s="50" t="n">
        <x:f>Q10/SUM($Q$4:$Q$14)</x:f>
        <x:v>0.041707268576776396</x:v>
      </x:c>
      <x:c r="S10" t="n">
        <x:f>M10</x:f>
        <x:v>0</x:v>
      </x:c>
      <x:c r="T10" s="50" t="n">
        <x:f>O10</x:f>
        <x:v>0</x:v>
      </x:c>
      <x:c r="V10" t="str">
        <x:f>P10</x:f>
        <x:v>景順 4.2%</x:v>
      </x:c>
      <x:c r="W10" s="50" t="n">
        <x:f>R10</x:f>
        <x:v>0.041707268576776396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257989018744</x:v>
      </x:c>
      <x:c r="D11" s="43" t="n">
        <x:f>IFERROR(C11/SUM($C$9:$C$26),0)</x:f>
        <x:v>0.1205361416035335</x:v>
      </x:c>
      <x:c r="E11" s="31" t="n">
        <x:f>RANK(C11,$C$9:$C$26,0)</x:f>
        <x:v>3</x:v>
      </x:c>
      <x:c r="F11" s="32" t="n">
        <x:f>COUNTIFS('國內委外明細'!$F$4:$F$116,A11,'國內委外明細'!$A$4:$A$116,$B$4,'國內委外明細'!$J$4:$J$116,"&lt;&gt;解約")</x:f>
        <x:v>15</x:v>
      </x:c>
      <x:c r="G11" s="30" t="str">
        <x:v>北美信託</x:v>
      </x:c>
      <x:c r="H11" s="40" t="n">
        <x:f>SUMIFS('國外委外明細'!$G$4:$G$188,'國外委外明細'!$F$4:$F$188,G11,'國外委外明細'!$A$4:$A$188,$B$4)</x:f>
        <x:v>6137221459</x:v>
      </x:c>
      <x:c r="I11" s="40" t="n">
        <x:f>SUMIFS('國外委外明細'!$H$4:$H$188,'國外委外明細'!$F$4:$F$188,G11,'國外委外明細'!$A$4:$A$188,$B$4)</x:f>
        <x:v>8229076099</x:v>
      </x:c>
      <x:c r="J11" s="43" t="n">
        <x:f>IFERROR(I11/SUM($I$9:$I$54),0)</x:f>
        <x:v>0.0658173479525746</x:v>
      </x:c>
      <x:c r="K11" s="31" t="n">
        <x:f>RANK(I11,$I$9:$I$54,0)</x:f>
        <x:v>3</x:v>
      </x:c>
      <x:c r="L11" s="32" t="n">
        <x:f>COUNTIFS('國外委外明細'!$F$4:$F$188,G11,'國外委外明細'!$A$4:$A$188,$B$4,'國外委外明細'!$J$4:$J$188,"&lt;&gt;解約")</x:f>
        <x:v>8</x:v>
      </x:c>
      <x:c r="N11" s="51"/>
      <x:c r="O11" s="50"/>
      <x:c r="P11" t="str">
        <x:f>G16&amp;" "&amp;TEXT(J16,"0.0%")</x:f>
        <x:v>JPMorgan（國外） 3.9%</x:v>
      </x:c>
      <x:c r="Q11" s="51" t="n">
        <x:f>I16</x:f>
        <x:v>4884050215</x:v>
      </x:c>
      <x:c r="R11" s="50" t="n">
        <x:f>Q11/SUM($Q$4:$Q$14)</x:f>
        <x:v>0.0390633442383119</x:v>
      </x:c>
      <x:c r="S11" t="n">
        <x:f>M11</x:f>
        <x:v>0</x:v>
      </x:c>
      <x:c r="T11" s="50" t="n">
        <x:f>O11</x:f>
        <x:v>0</x:v>
      </x:c>
      <x:c r="V11" t="str">
        <x:f>P11</x:f>
        <x:v>JPMorgan（國外） 3.9%</x:v>
      </x:c>
      <x:c r="W11" s="50" t="n">
        <x:f>R11</x:f>
        <x:v>0.0390633442383119</x:v>
      </x:c>
    </x:row>
    <x:row r="12">
      <x:c r="A12" s="30" t="str">
        <x:v>復華</x:v>
      </x:c>
      <x:c r="B12" s="40" t="n">
        <x:f>SUMIFS('國內委外明細'!$G$4:$G$116,'國內委外明細'!$F$4:$F$116,A12,'國內委外明細'!$A$4:$A$116,$B$4)</x:f>
        <x:v>114269363585</x:v>
      </x:c>
      <x:c r="C12" s="40" t="n">
        <x:f>SUMIFS('國內委外明細'!$H$4:$H$116,'國內委外明細'!$F$4:$F$116,A12,'國內委外明細'!$A$4:$A$116,$B$4)</x:f>
        <x:v>238454338248</x:v>
      </x:c>
      <x:c r="D12" s="43" t="n">
        <x:f>IFERROR(C12/SUM($C$9:$C$26),0)</x:f>
        <x:v>0.1114092608319836</x:v>
      </x:c>
      <x:c r="E12" s="31" t="n">
        <x:f>RANK(C12,$C$9:$C$26,0)</x:f>
        <x:v>4</x:v>
      </x:c>
      <x:c r="F12" s="32" t="n">
        <x:f>COUNTIFS('國內委外明細'!$F$4:$F$116,A12,'國內委外明細'!$A$4:$A$116,$B$4,'國內委外明細'!$J$4:$J$116,"&lt;&gt;解約")</x:f>
        <x:v>7</x:v>
      </x:c>
      <x:c r="G12" s="30" t="str">
        <x:v>威靈頓</x:v>
      </x:c>
      <x:c r="H12" s="40" t="n">
        <x:f>SUMIFS('國外委外明細'!$G$4:$G$188,'國外委外明細'!$F$4:$F$188,G12,'國外委外明細'!$A$4:$A$188,$B$4)</x:f>
        <x:v>4625550093</x:v>
      </x:c>
      <x:c r="I12" s="40" t="n">
        <x:f>SUMIFS('國外委外明細'!$H$4:$H$188,'國外委外明細'!$F$4:$F$188,G12,'國外委外明細'!$A$4:$A$188,$B$4)</x:f>
        <x:v>6499168753</x:v>
      </x:c>
      <x:c r="J12" s="43" t="n">
        <x:f>IFERROR(I12/SUM($I$9:$I$54),0)</x:f>
        <x:v>0.05198129730148962</x:v>
      </x:c>
      <x:c r="K12" s="31" t="n">
        <x:f>RANK(I12,$I$9:$I$54,0)</x:f>
        <x:v>4</x:v>
      </x:c>
      <x:c r="L12" s="32" t="n">
        <x:f>COUNTIFS('國外委外明細'!$F$4:$F$188,G12,'國外委外明細'!$A$4:$A$188,$B$4,'國外委外明細'!$J$4:$J$188,"&lt;&gt;解約")</x:f>
        <x:v>9</x:v>
      </x:c>
      <x:c r="N12" s="51"/>
      <x:c r="O12" s="50"/>
      <x:c r="P12" t="str">
        <x:f>G17&amp;" "&amp;TEXT(J17,"0.0%")</x:f>
        <x:v>Geode 3.9%</x:v>
      </x:c>
      <x:c r="Q12" s="51" t="n">
        <x:f>I17</x:f>
        <x:v>4847721016</x:v>
      </x:c>
      <x:c r="R12" s="50" t="n">
        <x:f>Q12/SUM($Q$4:$Q$14)</x:f>
        <x:v>0.03877277801889003</x:v>
      </x:c>
      <x:c r="S12" t="n">
        <x:f>M12</x:f>
        <x:v>0</x:v>
      </x:c>
      <x:c r="T12" s="50" t="n">
        <x:f>O12</x:f>
        <x:v>0</x:v>
      </x:c>
      <x:c r="V12" t="str">
        <x:f>P12</x:f>
        <x:v>Geode 3.9%</x:v>
      </x:c>
      <x:c r="W12" s="50" t="n">
        <x:f>R12</x:f>
        <x:v>0.03877277801889003</x:v>
      </x:c>
    </x:row>
    <x:row r="13">
      <x:c r="A13" s="30" t="str">
        <x:v>統一</x:v>
      </x:c>
      <x:c r="B13" s="40" t="n">
        <x:f>SUMIFS('國內委外明細'!$G$4:$G$116,'國內委外明細'!$F$4:$F$116,A13,'國內委外明細'!$A$4:$A$116,$B$4)</x:f>
        <x:v>118408499183</x:v>
      </x:c>
      <x:c r="C13" s="40" t="n">
        <x:f>SUMIFS('國內委外明細'!$H$4:$H$116,'國內委外明細'!$F$4:$F$116,A13,'國內委外明細'!$A$4:$A$116,$B$4)</x:f>
        <x:v>224360595419</x:v>
      </x:c>
      <x:c r="D13" s="43" t="n">
        <x:f>IFERROR(C13/SUM($C$9:$C$26),0)</x:f>
        <x:v>0.10482446358119117</x:v>
      </x:c>
      <x:c r="E13" s="31" t="n">
        <x:f>RANK(C13,$C$9:$C$26,0)</x:f>
        <x:v>5</x:v>
      </x:c>
      <x:c r="F13" s="32" t="n">
        <x:f>COUNTIFS('國內委外明細'!$F$4:$F$116,A13,'國內委外明細'!$A$4:$A$116,$B$4,'國內委外明細'!$J$4:$J$116,"&lt;&gt;解約")</x:f>
        <x:v>6</x:v>
      </x:c>
      <x:c r="G13" s="30" t="str">
        <x:v>L&amp;G</x:v>
      </x:c>
      <x:c r="H13" s="40" t="n">
        <x:f>SUMIFS('國外委外明細'!$G$4:$G$188,'國外委外明細'!$F$4:$F$188,G13,'國外委外明細'!$A$4:$A$188,$B$4)</x:f>
        <x:v>5097127124</x:v>
      </x:c>
      <x:c r="I13" s="40" t="n">
        <x:f>SUMIFS('國外委外明細'!$H$4:$H$188,'國外委外明細'!$F$4:$F$188,G13,'國外委外明細'!$A$4:$A$188,$B$4)</x:f>
        <x:v>6233333079</x:v>
      </x:c>
      <x:c r="J13" s="43" t="n">
        <x:f>IFERROR(I13/SUM($I$9:$I$54),0)</x:f>
        <x:v>0.04985510490232206</x:v>
      </x:c>
      <x:c r="K13" s="31" t="n">
        <x:f>RANK(I13,$I$9:$I$54,0)</x:f>
        <x:v>5</x:v>
      </x:c>
      <x:c r="L13" s="32" t="n">
        <x:f>COUNTIFS('國外委外明細'!$F$4:$F$188,G13,'國外委外明細'!$A$4:$A$188,$B$4,'國外委外明細'!$J$4:$J$188,"&lt;&gt;解約")</x:f>
        <x:v>6</x:v>
      </x:c>
      <x:c r="N13" s="51"/>
      <x:c r="O13" s="50"/>
      <x:c r="P13" t="str">
        <x:f>G18&amp;" "&amp;TEXT(J18,"0.0%")</x:f>
        <x:v>富達 3.3%</x:v>
      </x:c>
      <x:c r="Q13" s="51" t="n">
        <x:f>I18</x:f>
        <x:v>4082759823</x:v>
      </x:c>
      <x:c r="R13" s="50" t="n">
        <x:f>Q13/SUM($Q$4:$Q$14)</x:f>
        <x:v>0.03265450709707709</x:v>
      </x:c>
      <x:c r="S13" t="n">
        <x:f>M13</x:f>
        <x:v>0</x:v>
      </x:c>
      <x:c r="T13" s="50" t="n">
        <x:f>O13</x:f>
        <x:v>0</x:v>
      </x:c>
      <x:c r="V13" t="str">
        <x:f>P13</x:f>
        <x:v>富達 3.3%</x:v>
      </x:c>
      <x:c r="W13" s="50" t="n">
        <x:f>R13</x:f>
        <x:v>0.03265450709707709</x:v>
      </x:c>
    </x:row>
    <x:row r="14">
      <x:c r="A14" s="30" t="str">
        <x:v>滙豐</x:v>
      </x:c>
      <x:c r="B14" s="40" t="n">
        <x:f>SUMIFS('國內委外明細'!$G$4:$G$116,'國內委外明細'!$F$4:$F$116,A14,'國內委外明細'!$A$4:$A$116,$B$4)</x:f>
        <x:v>47530015104</x:v>
      </x:c>
      <x:c r="C14" s="40" t="n">
        <x:f>SUMIFS('國內委外明細'!$H$4:$H$116,'國內委外明細'!$F$4:$F$116,A14,'國內委外明細'!$A$4:$A$116,$B$4)</x:f>
        <x:v>99143984754</x:v>
      </x:c>
      <x:c r="D14" s="43" t="n">
        <x:f>IFERROR(C14/SUM($C$9:$C$26),0)</x:f>
        <x:v>0.046321480827465025</x:v>
      </x:c>
      <x:c r="E14" s="31" t="n">
        <x:f>RANK(C14,$C$9:$C$26,0)</x:f>
        <x:v>6</x:v>
      </x:c>
      <x:c r="F14" s="32" t="n">
        <x:f>COUNTIFS('國內委外明細'!$F$4:$F$116,A14,'國內委外明細'!$A$4:$A$116,$B$4,'國內委外明細'!$J$4:$J$116,"&lt;&gt;解約")</x:f>
        <x:v>7</x:v>
      </x:c>
      <x:c r="G14" s="30" t="str">
        <x:v>PIMCO</x:v>
      </x:c>
      <x:c r="H14" s="40" t="n">
        <x:f>SUMIFS('國外委外明細'!$G$4:$G$188,'國外委外明細'!$F$4:$F$188,G14,'國外委外明細'!$A$4:$A$188,$B$4)</x:f>
        <x:v>5855623604</x:v>
      </x:c>
      <x:c r="I14" s="40" t="n">
        <x:f>SUMIFS('國外委外明細'!$H$4:$H$188,'國外委外明細'!$F$4:$F$188,G14,'國外委外明細'!$A$4:$A$188,$B$4)</x:f>
        <x:v>5911641695</x:v>
      </x:c>
      <x:c r="J14" s="43" t="n">
        <x:f>IFERROR(I14/SUM($I$9:$I$54),0)</x:f>
        <x:v>0.04728217040768952</x:v>
      </x:c>
      <x:c r="K14" s="31" t="n">
        <x:f>RANK(I14,$I$9:$I$54,0)</x:f>
        <x:v>6</x:v>
      </x:c>
      <x:c r="L14" s="32" t="n">
        <x:f>COUNTIFS('國外委外明細'!$F$4:$F$188,G14,'國外委外明細'!$A$4:$A$188,$B$4,'國外委外明細'!$J$4:$J$188,"&lt;&gt;解約")</x:f>
        <x:v>6</x:v>
      </x:c>
      <x:c r="N14" s="51"/>
      <x:c r="O14" s="50"/>
      <x:c r="P14" t="str">
        <x:v>其他</x:v>
      </x:c>
      <x:c r="Q14" s="51" t="n">
        <x:f>SUM(I19:I54)</x:f>
        <x:v>49028845422</x:v>
      </x:c>
      <x:c r="R14" s="50" t="n">
        <x:f>Q14/SUM($Q$4:$Q$14)</x:f>
        <x:v>0.3921398392761137</x:v>
      </x:c>
      <x:c r="S14" t="n">
        <x:f>M14</x:f>
        <x:v>0</x:v>
      </x:c>
      <x:c r="T14" s="50" t="n">
        <x:f>O14</x:f>
        <x:v>0</x:v>
      </x:c>
      <x:c r="V14" t="str">
        <x:f>P14</x:f>
        <x:v>其他</x:v>
      </x:c>
      <x:c r="W14" s="50" t="n">
        <x:f>R14</x:f>
        <x:v>0.3921398392761137</x:v>
      </x:c>
    </x:row>
    <x:row r="15">
      <x:c r="A15" s="30" t="str">
        <x:v>玉山</x:v>
      </x:c>
      <x:c r="B15" s="40" t="n">
        <x:f>SUMIFS('國內委外明細'!$G$4:$G$116,'國內委外明細'!$F$4:$F$116,A15,'國內委外明細'!$A$4:$A$116,$B$4)</x:f>
        <x:v>49410277565</x:v>
      </x:c>
      <x:c r="C15" s="40" t="n">
        <x:f>SUMIFS('國內委外明細'!$H$4:$H$116,'國內委外明細'!$F$4:$F$116,A15,'國內委外明細'!$A$4:$A$116,$B$4)</x:f>
        <x:v>89457066963</x:v>
      </x:c>
      <x:c r="D15" s="43" t="n">
        <x:f>IFERROR(C15/SUM($C$9:$C$26),0)</x:f>
        <x:v>0.041795614958280936</x:v>
      </x:c>
      <x:c r="E15" s="31" t="n">
        <x:f>RANK(C15,$C$9:$C$26,0)</x:f>
        <x:v>7</x:v>
      </x:c>
      <x:c r="F15" s="32" t="n">
        <x:f>COUNTIFS('國內委外明細'!$F$4:$F$116,A15,'國內委外明細'!$A$4:$A$116,$B$4,'國內委外明細'!$J$4:$J$116,"&lt;&gt;解約")</x:f>
        <x:v>8</x:v>
      </x:c>
      <x:c r="G15" s="30" t="str">
        <x:v>景順</x:v>
      </x:c>
      <x:c r="H15" s="40" t="n">
        <x:f>SUMIFS('國外委外明細'!$G$4:$G$188,'國外委外明細'!$F$4:$F$188,G15,'國外委外明細'!$A$4:$A$188,$B$4)</x:f>
        <x:v>3539309945</x:v>
      </x:c>
      <x:c r="I15" s="40" t="n">
        <x:f>SUMIFS('國外委外明細'!$H$4:$H$188,'國外委外明細'!$F$4:$F$188,G15,'國外委外明細'!$A$4:$A$188,$B$4)</x:f>
        <x:v>5214617387</x:v>
      </x:c>
      <x:c r="J15" s="43" t="n">
        <x:f>IFERROR(I15/SUM($I$9:$I$54),0)</x:f>
        <x:v>0.041707268576776396</x:v>
      </x:c>
      <x:c r="K15" s="31" t="n">
        <x:f>RANK(I15,$I$9:$I$54,0)</x:f>
        <x:v>7</x:v>
      </x:c>
      <x:c r="L15" s="32" t="n">
        <x:f>COUNTIFS('國外委外明細'!$F$4:$F$188,G15,'國外委外明細'!$A$4:$A$188,$B$4,'國外委外明細'!$J$4:$J$188,"&lt;&gt;解約")</x:f>
        <x:v>6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87076072516</x:v>
      </x:c>
      <x:c r="D16" s="43" t="n">
        <x:f>IFERROR(C16/SUM($C$9:$C$26),0)</x:f>
        <x:v>0.04068318046313057</x:v>
      </x:c>
      <x:c r="E16" s="31" t="n">
        <x:f>RANK(C16,$C$9:$C$26,0)</x:f>
        <x:v>8</x:v>
      </x:c>
      <x:c r="F16" s="32" t="n">
        <x:f>COUNTIFS('國內委外明細'!$F$4:$F$116,A16,'國內委外明細'!$A$4:$A$116,$B$4,'國內委外明細'!$J$4:$J$116,"&lt;&gt;解約")</x:f>
        <x:v>4</x:v>
      </x:c>
      <x:c r="G16" s="30" t="str">
        <x:v>JPMorgan（國外）</x:v>
      </x:c>
      <x:c r="H16" s="40" t="n">
        <x:f>SUMIFS('國外委外明細'!$G$4:$G$188,'國外委外明細'!$F$4:$F$188,G16,'國外委外明細'!$A$4:$A$188,$B$4)</x:f>
        <x:v>3686298542</x:v>
      </x:c>
      <x:c r="I16" s="40" t="n">
        <x:f>SUMIFS('國外委外明細'!$H$4:$H$188,'國外委外明細'!$F$4:$F$188,G16,'國外委外明細'!$A$4:$A$188,$B$4)</x:f>
        <x:v>4884050215</x:v>
      </x:c>
      <x:c r="J16" s="43" t="n">
        <x:f>IFERROR(I16/SUM($I$9:$I$54),0)</x:f>
        <x:v>0.0390633442383119</x:v>
      </x:c>
      <x:c r="K16" s="31" t="n">
        <x:f>RANK(I16,$I$9:$I$54,0)</x:f>
        <x:v>8</x:v>
      </x:c>
      <x:c r="L16" s="32" t="n">
        <x:f>COUNTIFS('國外委外明細'!$F$4:$F$188,G16,'國外委外明細'!$A$4:$A$188,$B$4,'國外委外明細'!$J$4:$J$188,"&lt;&gt;解約")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42800361947</x:v>
      </x:c>
      <x:c r="C17" s="40" t="n">
        <x:f>SUMIFS('國內委外明細'!$H$4:$H$116,'國內委外明細'!$F$4:$F$116,A17,'國內委外明細'!$A$4:$A$116,$B$4)</x:f>
        <x:v>87006897068</x:v>
      </x:c>
      <x:c r="D17" s="43" t="n">
        <x:f>IFERROR(C17/SUM($C$9:$C$26),0)</x:f>
        <x:v>0.040650860709227056</x:v>
      </x:c>
      <x:c r="E17" s="31" t="n">
        <x:f>RANK(C17,$C$9:$C$26,0)</x:f>
        <x:v>9</x:v>
      </x:c>
      <x:c r="F17" s="32" t="n">
        <x:f>COUNTIFS('國內委外明細'!$F$4:$F$116,A17,'國內委外明細'!$A$4:$A$116,$B$4,'國內委外明細'!$J$4:$J$116,"&lt;&gt;解約")</x:f>
        <x:v>7</x:v>
      </x:c>
      <x:c r="G17" s="30" t="str">
        <x:v>Geode</x:v>
      </x:c>
      <x:c r="H17" s="40" t="n">
        <x:f>SUMIFS('國外委外明細'!$G$4:$G$188,'國外委外明細'!$F$4:$F$188,G17,'國外委外明細'!$A$4:$A$188,$B$4)</x:f>
        <x:v>4011738367</x:v>
      </x:c>
      <x:c r="I17" s="40" t="n">
        <x:f>SUMIFS('國外委外明細'!$H$4:$H$188,'國外委外明細'!$F$4:$F$188,G17,'國外委外明細'!$A$4:$A$188,$B$4)</x:f>
        <x:v>4847721016</x:v>
      </x:c>
      <x:c r="J17" s="43" t="n">
        <x:f>IFERROR(I17/SUM($I$9:$I$54),0)</x:f>
        <x:v>0.03877277801889003</x:v>
      </x:c>
      <x:c r="K17" s="31" t="n">
        <x:f>RANK(I17,$I$9:$I$54,0)</x:f>
        <x:v>9</x:v>
      </x:c>
      <x:c r="L17" s="32" t="n">
        <x:f>COUNTIFS('國外委外明細'!$F$4:$F$188,G17,'國外委外明細'!$A$4:$A$188,$B$4,'國外委外明細'!$J$4:$J$188,"&lt;&gt;解約")</x:f>
        <x:v>2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62667291388</x:v>
      </x:c>
      <x:c r="D18" s="43" t="n">
        <x:f>IFERROR(C18/SUM($C$9:$C$26),0)</x:f>
        <x:v>0.029279050501561463</x:v>
      </x:c>
      <x:c r="E18" s="31" t="n">
        <x:f>RANK(C18,$C$9:$C$26,0)</x:f>
        <x:v>10</x:v>
      </x:c>
      <x:c r="F18" s="32" t="n">
        <x:f>COUNTIFS('國內委外明細'!$F$4:$F$116,A18,'國內委外明細'!$A$4:$A$116,$B$4,'國內委外明細'!$J$4:$J$116,"&lt;&gt;解約")</x:f>
        <x:v>4</x:v>
      </x:c>
      <x:c r="G18" s="30" t="str">
        <x:v>富達</x:v>
      </x:c>
      <x:c r="H18" s="40" t="n">
        <x:f>SUMIFS('國外委外明細'!$G$4:$G$188,'國外委外明細'!$F$4:$F$188,G18,'國外委外明細'!$A$4:$A$188,$B$4)</x:f>
        <x:v>3190338807</x:v>
      </x:c>
      <x:c r="I18" s="40" t="n">
        <x:f>SUMIFS('國外委外明細'!$H$4:$H$188,'國外委外明細'!$F$4:$F$188,G18,'國外委外明細'!$A$4:$A$188,$B$4)</x:f>
        <x:v>4082759823</x:v>
      </x:c>
      <x:c r="J18" s="43" t="n">
        <x:f>IFERROR(I18/SUM($I$9:$I$54),0)</x:f>
        <x:v>0.03265450709707709</x:v>
      </x:c>
      <x:c r="K18" s="31" t="n">
        <x:f>RANK(I18,$I$9:$I$54,0)</x:f>
        <x:v>10</x:v>
      </x:c>
      <x:c r="L18" s="32" t="n">
        <x:f>COUNTIFS('國外委外明細'!$F$4:$F$188,G18,'國外委外明細'!$A$4:$A$188,$B$4,'國外委外明細'!$J$4:$J$188,"&lt;&gt;解約")</x:f>
        <x:v>8</x:v>
      </x:c>
    </x:row>
    <x:row r="19">
      <x:c r="A19" s="30" t="str">
        <x:v>群益</x:v>
      </x:c>
      <x:c r="B19" s="40" t="n">
        <x:f>SUMIFS('國內委外明細'!$G$4:$G$116,'國內委外明細'!$F$4:$F$116,A19,'國內委外明細'!$A$4:$A$116,$B$4)</x:f>
        <x:v>16685437018</x:v>
      </x:c>
      <x:c r="C19" s="40" t="n">
        <x:f>SUMIFS('國內委外明細'!$H$4:$H$116,'國內委外明細'!$F$4:$F$116,A19,'國內委外明細'!$A$4:$A$116,$B$4)</x:f>
        <x:v>42687730952</x:v>
      </x:c>
      <x:c r="D19" s="43" t="n">
        <x:f>IFERROR(C19/SUM($C$9:$C$26),0)</x:f>
        <x:v>0.01994431548991454</x:v>
      </x:c>
      <x:c r="E19" s="31" t="n">
        <x:f>RANK(C19,$C$9:$C$26,0)</x:f>
        <x:v>11</x:v>
      </x:c>
      <x:c r="F19" s="32" t="n">
        <x:f>COUNTIFS('國內委外明細'!$F$4:$F$116,A19,'國內委外明細'!$A$4:$A$116,$B$4,'國內委外明細'!$J$4:$J$116,"&lt;&gt;解約")</x:f>
        <x:v>4</x:v>
      </x:c>
      <x:c r="G19" s="30" t="str">
        <x:v>MFS</x:v>
      </x:c>
      <x:c r="H19" s="40" t="n">
        <x:f>SUMIFS('國外委外明細'!$G$4:$G$188,'國外委外明細'!$F$4:$F$188,G19,'國外委外明細'!$A$4:$A$188,$B$4)</x:f>
        <x:v>2425862154</x:v>
      </x:c>
      <x:c r="I19" s="40" t="n">
        <x:f>SUMIFS('國外委外明細'!$H$4:$H$188,'國外委外明細'!$F$4:$F$188,G19,'國外委外明細'!$A$4:$A$188,$B$4)</x:f>
        <x:v>3525432785</x:v>
      </x:c>
      <x:c r="J19" s="43" t="n">
        <x:f>IFERROR(I19/SUM($I$9:$I$54),0)</x:f>
        <x:v>0.028196924357274576</x:v>
      </x:c>
      <x:c r="K19" s="31" t="n">
        <x:f>RANK(I19,$I$9:$I$54,0)</x:f>
        <x:v>11</x:v>
      </x:c>
      <x:c r="L19" s="32" t="n">
        <x:f>COUNTIFS('國外委外明細'!$F$4:$F$188,G19,'國外委外明細'!$A$4:$A$188,$B$4,'國外委外明細'!$J$4:$J$188,"&lt;&gt;解約")</x:f>
        <x:v>3</x:v>
      </x:c>
    </x:row>
    <x:row r="20">
      <x:c r="A20" s="30" t="str">
        <x:v>第一金</x:v>
      </x:c>
      <x:c r="B20" s="40" t="n">
        <x:f>SUMIFS('國內委外明細'!$G$4:$G$116,'國內委外明細'!$F$4:$F$116,A20,'國內委外明細'!$A$4:$A$116,$B$4)</x:f>
        <x:v>18000000000</x:v>
      </x:c>
      <x:c r="C20" s="40" t="n">
        <x:f>SUMIFS('國內委外明細'!$H$4:$H$116,'國內委外明細'!$F$4:$F$116,A20,'國內委外明細'!$A$4:$A$116,$B$4)</x:f>
        <x:v>38733491841</x:v>
      </x:c>
      <x:c r="D20" s="43" t="n">
        <x:f>IFERROR(C20/SUM($C$9:$C$26),0)</x:f>
        <x:v>0.018096838695211583</x:v>
      </x:c>
      <x:c r="E20" s="31" t="n">
        <x:f>RANK(C20,$C$9:$C$26,0)</x:f>
        <x:v>12</x:v>
      </x:c>
      <x:c r="F20" s="32" t="n">
        <x:f>COUNTIFS('國內委外明細'!$F$4:$F$116,A20,'國內委外明細'!$A$4:$A$116,$B$4,'國內委外明細'!$J$4:$J$116,"&lt;&gt;解約")</x:f>
        <x:v>3</x:v>
      </x:c>
      <x:c r="G20" s="30" t="str">
        <x:v>RREEF</x:v>
      </x:c>
      <x:c r="H20" s="40" t="n">
        <x:f>SUMIFS('國外委外明細'!$G$4:$G$188,'國外委外明細'!$F$4:$F$188,G20,'國外委外明細'!$A$4:$A$188,$B$4)</x:f>
        <x:v>3022950104</x:v>
      </x:c>
      <x:c r="I20" s="40" t="n">
        <x:f>SUMIFS('國外委外明細'!$H$4:$H$188,'國外委外明細'!$F$4:$F$188,G20,'國外委外明細'!$A$4:$A$188,$B$4)</x:f>
        <x:v>3467884297</x:v>
      </x:c>
      <x:c r="J20" s="43" t="n">
        <x:f>IFERROR(I20/SUM($I$9:$I$54),0)</x:f>
        <x:v>0.02773664317707005</x:v>
      </x:c>
      <x:c r="K20" s="31" t="n">
        <x:f>RANK(I20,$I$9:$I$54,0)</x:f>
        <x:v>12</x:v>
      </x:c>
      <x:c r="L20" s="32" t="n">
        <x:f>COUNTIFS('國外委外明細'!$F$4:$F$188,G20,'國外委外明細'!$A$4:$A$188,$B$4,'國外委外明細'!$J$4:$J$188,"&lt;&gt;解約")</x:f>
        <x:v>5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18000000000</x:v>
      </x:c>
      <x:c r="C21" s="40" t="n">
        <x:f>SUMIFS('國內委外明細'!$H$4:$H$116,'國內委外明細'!$F$4:$F$116,A21,'國內委外明細'!$A$4:$A$116,$B$4)</x:f>
        <x:v>25946046351</x:v>
      </x:c>
      <x:c r="D21" s="43" t="n">
        <x:f>IFERROR(C21/SUM($C$9:$C$26),0)</x:f>
        <x:v>0.012122362154178758</x:v>
      </x:c>
      <x:c r="E21" s="31" t="n">
        <x:f>RANK(C21,$C$9:$C$26,0)</x:f>
        <x:v>13</x:v>
      </x:c>
      <x:c r="F21" s="32" t="n">
        <x:f>COUNTIFS('國內委外明細'!$F$4:$F$116,A21,'國內委外明細'!$A$4:$A$116,$B$4,'國內委外明細'!$J$4:$J$116,"&lt;&gt;解約")</x:f>
        <x:v>2</x:v>
      </x:c>
      <x:c r="G21" s="30" t="str">
        <x:v>盧米斯</x:v>
      </x:c>
      <x:c r="H21" s="40" t="n">
        <x:f>SUMIFS('國外委外明細'!$G$4:$G$188,'國外委外明細'!$F$4:$F$188,G21,'國外委外明細'!$A$4:$A$188,$B$4)</x:f>
        <x:v>2899337139</x:v>
      </x:c>
      <x:c r="I21" s="40" t="n">
        <x:f>SUMIFS('國外委外明細'!$H$4:$H$188,'國外委外明細'!$F$4:$F$188,G21,'國外委外明細'!$A$4:$A$188,$B$4)</x:f>
        <x:v>3039287910</x:v>
      </x:c>
      <x:c r="J21" s="43" t="n">
        <x:f>IFERROR(I21/SUM($I$9:$I$54),0)</x:f>
        <x:v>0.024308666913996812</x:v>
      </x:c>
      <x:c r="K21" s="31" t="n">
        <x:f>RANK(I21,$I$9:$I$54,0)</x:f>
        <x:v>13</x:v>
      </x:c>
      <x:c r="L21" s="32" t="n">
        <x:f>COUNTIFS('國外委外明細'!$F$4:$F$188,G21,'國外委外明細'!$A$4:$A$188,$B$4,'國外委外明細'!$J$4:$J$188,"&lt;&gt;解約")</x:f>
        <x:v>4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13087966936</x:v>
      </x:c>
      <x:c r="D22" s="43" t="n">
        <x:f>IFERROR(C22/SUM($C$9:$C$26),0)</x:f>
        <x:v>0.006114884438029011</x:v>
      </x:c>
      <x:c r="E22" s="31" t="n">
        <x:f>RANK(C22,$C$9:$C$26,0)</x:f>
        <x:v>14</x:v>
      </x:c>
      <x:c r="F22" s="32" t="n">
        <x:f>COUNTIFS('國內委外明細'!$F$4:$F$116,A22,'國內委外明細'!$A$4:$A$116,$B$4,'國內委外明細'!$J$4:$J$116,"&lt;&gt;解約")</x:f>
        <x:v>2</x:v>
      </x:c>
      <x:c r="G22" s="30" t="str">
        <x:v>DWS</x:v>
      </x:c>
      <x:c r="H22" s="40" t="n">
        <x:f>SUMIFS('國外委外明細'!$G$4:$G$188,'國外委外明細'!$F$4:$F$188,G22,'國外委外明細'!$A$4:$A$188,$B$4)</x:f>
        <x:v>2060974928</x:v>
      </x:c>
      <x:c r="I22" s="40" t="n">
        <x:f>SUMIFS('國外委外明細'!$H$4:$H$188,'國外委外明細'!$F$4:$F$188,G22,'國外委外明細'!$A$4:$A$188,$B$4)</x:f>
        <x:v>3033228329</x:v>
      </x:c>
      <x:c r="J22" s="43" t="n">
        <x:f>IFERROR(I22/SUM($I$9:$I$54),0)</x:f>
        <x:v>0.024260201503502884</x:v>
      </x:c>
      <x:c r="K22" s="31" t="n">
        <x:f>RANK(I22,$I$9:$I$54,0)</x:f>
        <x:v>14</x:v>
      </x:c>
      <x:c r="L22" s="32" t="n">
        <x:f>COUNTIFS('國外委外明細'!$F$4:$F$188,G22,'國外委外明細'!$A$4:$A$188,$B$4,'國外委外明細'!$J$4:$J$188,"&lt;&gt;解約")</x:f>
        <x:v>5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13053425511</x:v>
      </x:c>
      <x:c r="D23" s="43" t="n">
        <x:f>IFERROR(C23/SUM($C$9:$C$26),0)</x:f>
        <x:v>0.006098746192629042</x:v>
      </x:c>
      <x:c r="E23" s="31" t="n">
        <x:f>RANK(C23,$C$9:$C$26,0)</x:f>
        <x:v>15</x:v>
      </x:c>
      <x:c r="F23" s="32" t="n">
        <x:f>COUNTIFS('國內委外明細'!$F$4:$F$116,A23,'國內委外明細'!$A$4:$A$116,$B$4,'國內委外明細'!$J$4:$J$116,"&lt;&gt;解約")</x:f>
        <x:v>1</x:v>
      </x:c>
      <x:c r="G23" s="30" t="str">
        <x:v>Cohen &amp;Steers</x:v>
      </x:c>
      <x:c r="H23" s="40" t="n">
        <x:f>SUMIFS('國外委外明細'!$G$4:$G$188,'國外委外明細'!$F$4:$F$188,G23,'國外委外明細'!$A$4:$A$188,$B$4)</x:f>
        <x:v>2555932432</x:v>
      </x:c>
      <x:c r="I23" s="40" t="n">
        <x:f>SUMIFS('國外委外明細'!$H$4:$H$188,'國外委外明細'!$F$4:$F$188,G23,'國外委外明細'!$A$4:$A$188,$B$4)</x:f>
        <x:v>2941839542</x:v>
      </x:c>
      <x:c r="J23" s="43" t="n">
        <x:f>IFERROR(I23/SUM($I$9:$I$54),0)</x:f>
        <x:v>0.023529260688206054</x:v>
      </x:c>
      <x:c r="K23" s="31" t="n">
        <x:f>RANK(I23,$I$9:$I$54,0)</x:f>
        <x:v>15</x:v>
      </x:c>
      <x:c r="L23" s="32" t="n">
        <x:f>COUNTIFS('國外委外明細'!$F$4:$F$188,G23,'國外委外明細'!$A$4:$A$188,$B$4,'國外委外明細'!$J$4:$J$188,"&lt;&gt;解約")</x:f>
        <x:v>1</x:v>
      </x:c>
    </x:row>
    <x:row r="24">
      <x:c r="A24" s="30" t="str">
        <x:v>宏利</x:v>
      </x:c>
      <x:c r="B24" s="40" t="n">
        <x:f>SUMIFS('國內委外明細'!$G$4:$G$116,'國內委外明細'!$F$4:$F$116,A24,'國內委外明細'!$A$4:$A$116,$B$4)</x:f>
        <x:v>9000000000</x:v>
      </x:c>
      <x:c r="C24" s="40" t="n">
        <x:f>SUMIFS('國內委外明細'!$H$4:$H$116,'國內委外明細'!$F$4:$F$116,A24,'國內委外明細'!$A$4:$A$116,$B$4)</x:f>
        <x:v>13017408018</x:v>
      </x:c>
      <x:c r="D24" s="43" t="n">
        <x:f>IFERROR(C24/SUM($C$9:$C$26),0)</x:f>
        <x:v>0.00608191830725009</x:v>
      </x:c>
      <x:c r="E24" s="31" t="n">
        <x:f>RANK(C24,$C$9:$C$26,0)</x:f>
        <x:v>16</x:v>
      </x:c>
      <x:c r="F24" s="32" t="n">
        <x:f>COUNTIFS('國內委外明細'!$F$4:$F$116,A24,'國內委外明細'!$A$4:$A$116,$B$4,'國內委外明細'!$J$4:$J$116,"&lt;&gt;解約")</x:f>
        <x:v>1</x:v>
      </x:c>
      <x:c r="G24" s="30" t="str">
        <x:v>瑞萬通博</x:v>
      </x:c>
      <x:c r="H24" s="40" t="n">
        <x:f>SUMIFS('國外委外明細'!$G$4:$G$188,'國外委外明細'!$F$4:$F$188,G24,'國外委外明細'!$A$4:$A$188,$B$4)</x:f>
        <x:v>2210056902</x:v>
      </x:c>
      <x:c r="I24" s="40" t="n">
        <x:f>SUMIFS('國外委外明細'!$H$4:$H$188,'國外委外明細'!$F$4:$F$188,G24,'國外委外明細'!$A$4:$A$188,$B$4)</x:f>
        <x:v>2584189383</x:v>
      </x:c>
      <x:c r="J24" s="43" t="n">
        <x:f>IFERROR(I24/SUM($I$9:$I$54),0)</x:f>
        <x:v>0.02066872267919953</x:v>
      </x:c>
      <x:c r="K24" s="31" t="n">
        <x:f>RANK(I24,$I$9:$I$54,0)</x:f>
        <x:v>16</x:v>
      </x:c>
      <x:c r="L24" s="32" t="n">
        <x:f>COUNTIFS('國外委外明細'!$F$4:$F$188,G24,'國外委外明細'!$A$4:$A$188,$B$4,'國外委外明細'!$J$4:$J$188,"&lt;&gt;解約")</x:f>
        <x:v>2</x:v>
      </x:c>
    </x:row>
    <x:row r="25">
      <x:c r="A25" s="30" t="str">
        <x:v>兆豐國際</x:v>
      </x:c>
      <x:c r="B25" s="40" t="n">
        <x:f>SUMIFS('國內委外明細'!$G$4:$G$116,'國內委外明細'!$F$4:$F$116,A25,'國內委外明細'!$A$4:$A$116,$B$4)</x:f>
        <x:v>9000000000</x:v>
      </x:c>
      <x:c r="C25" s="40" t="n">
        <x:f>SUMIFS('國內委外明細'!$H$4:$H$116,'國內委外明細'!$F$4:$F$116,A25,'國內委外明細'!$A$4:$A$116,$B$4)</x:f>
        <x:v>12874751853</x:v>
      </x:c>
      <x:c r="D25" s="43" t="n">
        <x:f>IFERROR(C25/SUM($C$9:$C$26),0)</x:f>
        <x:v>0.006015267316487884</x:v>
      </x:c>
      <x:c r="E25" s="31" t="n">
        <x:f>RANK(C25,$C$9:$C$26,0)</x:f>
        <x:v>17</x:v>
      </x:c>
      <x:c r="F25" s="32" t="n">
        <x:f>COUNTIFS('國內委外明細'!$F$4:$F$116,A25,'國內委外明細'!$A$4:$A$116,$B$4,'國內委外明細'!$J$4:$J$116,"&lt;&gt;解約")</x:f>
        <x:v>1</x:v>
      </x:c>
      <x:c r="G25" s="30" t="str">
        <x:v>Magellan</x:v>
      </x:c>
      <x:c r="H25" s="40" t="n">
        <x:f>SUMIFS('國外委外明細'!$G$4:$G$188,'國外委外明細'!$F$4:$F$188,G25,'國外委外明細'!$A$4:$A$188,$B$4)</x:f>
        <x:v>2077876409</x:v>
      </x:c>
      <x:c r="I25" s="40" t="n">
        <x:f>SUMIFS('國外委外明細'!$H$4:$H$188,'國外委外明細'!$F$4:$F$188,G25,'國外委外明細'!$A$4:$A$188,$B$4)</x:f>
        <x:v>2458832253</x:v>
      </x:c>
      <x:c r="J25" s="43" t="n">
        <x:f>IFERROR(I25/SUM($I$9:$I$54),0)</x:f>
        <x:v>0.019666098114268265</x:v>
      </x:c>
      <x:c r="K25" s="31" t="n">
        <x:f>RANK(I25,$I$9:$I$54,0)</x:f>
        <x:v>17</x:v>
      </x:c>
      <x:c r="L25" s="32" t="n">
        <x:f>COUNTIFS('國外委外明細'!$F$4:$F$188,G25,'國外委外明細'!$A$4:$A$188,$B$4,'國外委外明細'!$J$4:$J$188,"&lt;&gt;解約")</x:f>
        <x:v>4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5400000000</x:v>
      </x:c>
      <x:c r="C26" s="41" t="n">
        <x:f>SUMIFS('國內委外明細'!$H$4:$H$116,'國內委外明細'!$F$4:$F$116,A26,'國內委外明細'!$A$4:$A$116,$B$4)</x:f>
        <x:v>5283427818</x:v>
      </x:c>
      <x:c r="D26" s="44" t="n">
        <x:f>IFERROR(C26/SUM($C$9:$C$26),0)</x:f>
        <x:v>0.0024684926774128715</x:v>
      </x:c>
      <x:c r="E26" s="34" t="n">
        <x:f>RANK(C26,$C$9:$C$26,0)</x:f>
        <x:v>18</x:v>
      </x:c>
      <x:c r="F26" s="35" t="n">
        <x:f>COUNTIFS('國內委外明細'!$F$4:$F$116,A26,'國內委外明細'!$A$4:$A$116,$B$4,'國內委外明細'!$J$4:$J$116,"&lt;&gt;解約")</x:f>
        <x:v>2</x:v>
      </x:c>
      <x:c r="G26" s="30" t="str">
        <x:v>TCW</x:v>
      </x:c>
      <x:c r="H26" s="40" t="n">
        <x:f>SUMIFS('國外委外明細'!$G$4:$G$188,'國外委外明細'!$F$4:$F$188,G26,'國外委外明細'!$A$4:$A$188,$B$4)</x:f>
        <x:v>1923959035</x:v>
      </x:c>
      <x:c r="I26" s="40" t="n">
        <x:f>SUMIFS('國外委外明細'!$H$4:$H$188,'國外委外明細'!$F$4:$F$188,G26,'國外委外明細'!$A$4:$A$188,$B$4)</x:f>
        <x:v>2389413786</x:v>
      </x:c>
      <x:c r="J26" s="43" t="n">
        <x:f>IFERROR(I26/SUM($I$9:$I$54),0)</x:f>
        <x:v>0.019110879114965472</x:v>
      </x:c>
      <x:c r="K26" s="31" t="n">
        <x:f>RANK(I26,$I$9:$I$54,0)</x:f>
        <x:v>18</x:v>
      </x:c>
      <x:c r="L26" s="32" t="n">
        <x:f>COUNTIFS('國外委外明細'!$F$4:$F$188,G26,'國外委外明細'!$A$4:$A$188,$B$4,'國外委外明細'!$J$4:$J$188,"&lt;&gt;解約")</x:f>
        <x:v>4</x:v>
      </x:c>
    </x:row>
    <x:row r="27">
      <x:c r="G27" s="30" t="str">
        <x:v>CBRE</x:v>
      </x:c>
      <x:c r="H27" s="40" t="n">
        <x:f>SUMIFS('國外委外明細'!$G$4:$G$188,'國外委外明細'!$F$4:$F$188,G27,'國外委外明細'!$A$4:$A$188,$B$4)</x:f>
        <x:v>1495926365</x:v>
      </x:c>
      <x:c r="I27" s="40" t="n">
        <x:f>SUMIFS('國外委外明細'!$H$4:$H$188,'國外委外明細'!$F$4:$F$188,G27,'國外委外明細'!$A$4:$A$188,$B$4)</x:f>
        <x:v>1806278590</x:v>
      </x:c>
      <x:c r="J27" s="43" t="n">
        <x:f>IFERROR(I27/SUM($I$9:$I$54),0)</x:f>
        <x:v>0.014446878972447797</x:v>
      </x:c>
      <x:c r="K27" s="31" t="n">
        <x:f>RANK(I27,$I$9:$I$54,0)</x:f>
        <x:v>19</x:v>
      </x:c>
      <x:c r="L27" s="32" t="n">
        <x:f>COUNTIFS('國外委外明細'!$F$4:$F$188,G27,'國外委外明細'!$A$4:$A$188,$B$4,'國外委外明細'!$J$4:$J$188,"&lt;&gt;解約")</x:f>
        <x:v>4</x:v>
      </x:c>
    </x:row>
    <x:row r="28">
      <x:c r="G28" s="30" t="str">
        <x:v>CPR</x:v>
      </x:c>
      <x:c r="H28" s="40" t="n">
        <x:f>SUMIFS('國外委外明細'!$G$4:$G$188,'國外委外明細'!$F$4:$F$188,G28,'國外委外明細'!$A$4:$A$188,$B$4)</x:f>
        <x:v>1215115365</x:v>
      </x:c>
      <x:c r="I28" s="40" t="n">
        <x:f>SUMIFS('國外委外明細'!$H$4:$H$188,'國外委外明細'!$F$4:$F$188,G28,'國外委外明細'!$A$4:$A$188,$B$4)</x:f>
        <x:v>1719232558</x:v>
      </x:c>
      <x:c r="J28" s="43" t="n">
        <x:f>IFERROR(I28/SUM($I$9:$I$54),0)</x:f>
        <x:v>0.013750672143502425</x:v>
      </x:c>
      <x:c r="K28" s="31" t="n">
        <x:f>RANK(I28,$I$9:$I$54,0)</x:f>
        <x:v>20</x:v>
      </x:c>
      <x:c r="L28" s="32" t="n">
        <x:f>COUNTIFS('國外委外明細'!$F$4:$F$188,G28,'國外委外明細'!$A$4:$A$188,$B$4,'國外委外明細'!$J$4:$J$188,"&lt;&gt;解約")</x:f>
        <x:v>3</x:v>
      </x:c>
    </x:row>
    <x:row r="29">
      <x:c r="G29" s="30" t="str">
        <x:v>富蘭克林坦伯頓</x:v>
      </x:c>
      <x:c r="H29" s="40" t="n">
        <x:f>SUMIFS('國外委外明細'!$G$4:$G$188,'國外委外明細'!$F$4:$F$188,G29,'國外委外明細'!$A$4:$A$188,$B$4)</x:f>
        <x:v>1612981102</x:v>
      </x:c>
      <x:c r="I29" s="40" t="n">
        <x:f>SUMIFS('國外委外明細'!$H$4:$H$188,'國外委外明細'!$F$4:$F$188,G29,'國外委外明細'!$A$4:$A$188,$B$4)</x:f>
        <x:v>1709168484</x:v>
      </x:c>
      <x:c r="J29" s="43" t="n">
        <x:f>IFERROR(I29/SUM($I$9:$I$54),0)</x:f>
        <x:v>0.013670178215349427</x:v>
      </x:c>
      <x:c r="K29" s="31" t="n">
        <x:f>RANK(I29,$I$9:$I$54,0)</x:f>
        <x:v>21</x:v>
      </x:c>
      <x:c r="L29" s="32" t="n">
        <x:f>COUNTIFS('國外委外明細'!$F$4:$F$188,G29,'國外委外明細'!$A$4:$A$188,$B$4,'國外委外明細'!$J$4:$J$188,"&lt;&gt;解約")</x:f>
        <x:v>2</x:v>
      </x:c>
    </x:row>
    <x:row r="30">
      <x:c r="G30" s="30" t="str">
        <x:v>Nomura</x:v>
      </x:c>
      <x:c r="H30" s="40" t="n">
        <x:f>SUMIFS('國外委外明細'!$G$4:$G$188,'國外委外明細'!$F$4:$F$188,G30,'國外委外明細'!$A$4:$A$188,$B$4)</x:f>
        <x:v>1391034581</x:v>
      </x:c>
      <x:c r="I30" s="40" t="n">
        <x:f>SUMIFS('國外委外明細'!$H$4:$H$188,'國外委外明細'!$F$4:$F$188,G30,'國外委外明細'!$A$4:$A$188,$B$4)</x:f>
        <x:v>1679948361</x:v>
      </x:c>
      <x:c r="J30" s="43" t="n">
        <x:f>IFERROR(I30/SUM($I$9:$I$54),0)</x:f>
        <x:v>0.013436471420130734</x:v>
      </x:c>
      <x:c r="K30" s="31" t="n">
        <x:f>RANK(I30,$I$9:$I$54,0)</x:f>
        <x:v>22</x:v>
      </x:c>
      <x:c r="L30" s="32" t="n">
        <x:f>COUNTIFS('國外委外明細'!$F$4:$F$188,G30,'國外委外明細'!$A$4:$A$188,$B$4,'國外委外明細'!$J$4:$J$188,"&lt;&gt;解約")</x:f>
        <x:v>3</x:v>
      </x:c>
    </x:row>
    <x:row r="31">
      <x:c r="G31" s="30" t="str">
        <x:v>Lazard</x:v>
      </x:c>
      <x:c r="H31" s="40" t="n">
        <x:f>SUMIFS('國外委外明細'!$G$4:$G$188,'國外委外明細'!$F$4:$F$188,G31,'國外委外明細'!$A$4:$A$188,$B$4)</x:f>
        <x:v>954418976</x:v>
      </x:c>
      <x:c r="I31" s="40" t="n">
        <x:f>SUMIFS('國外委外明細'!$H$4:$H$188,'國外委外明細'!$F$4:$F$188,G31,'國外委外明細'!$A$4:$A$188,$B$4)</x:f>
        <x:v>1388520134</x:v>
      </x:c>
      <x:c r="J31" s="43" t="n">
        <x:f>IFERROR(I31/SUM($I$9:$I$54),0)</x:f>
        <x:v>0.011105586058408076</x:v>
      </x:c>
      <x:c r="K31" s="31" t="n">
        <x:f>RANK(I31,$I$9:$I$54,0)</x:f>
        <x:v>23</x:v>
      </x:c>
      <x:c r="L31" s="32" t="n">
        <x:f>COUNTIFS('國外委外明細'!$F$4:$F$188,G31,'國外委外明細'!$A$4:$A$188,$B$4,'國外委外明細'!$J$4:$J$188,"&lt;&gt;解約")</x:f>
        <x:v>1</x:v>
      </x:c>
    </x:row>
    <x:row r="32">
      <x:c r="G32" s="30" t="str">
        <x:v>RBC</x:v>
      </x:c>
      <x:c r="H32" s="40" t="n">
        <x:f>SUMIFS('國外委外明細'!$G$4:$G$188,'國外委外明細'!$F$4:$F$188,G32,'國外委外明細'!$A$4:$A$188,$B$4)</x:f>
        <x:v>1186559371</x:v>
      </x:c>
      <x:c r="I32" s="40" t="n">
        <x:f>SUMIFS('國外委外明細'!$H$4:$H$188,'國外委外明細'!$F$4:$F$188,G32,'國外委外明細'!$A$4:$A$188,$B$4)</x:f>
        <x:v>1352096519</x:v>
      </x:c>
      <x:c r="J32" s="43" t="n">
        <x:f>IFERROR(I32/SUM($I$9:$I$54),0)</x:f>
        <x:v>0.01081426468608088</x:v>
      </x:c>
      <x:c r="K32" s="31" t="n">
        <x:f>RANK(I32,$I$9:$I$54,0)</x:f>
        <x:v>24</x:v>
      </x:c>
      <x:c r="L32" s="32" t="n">
        <x:f>COUNTIFS('國外委外明細'!$F$4:$F$188,G32,'國外委外明細'!$A$4:$A$188,$B$4,'國外委外明細'!$J$4:$J$188,"&lt;&gt;解約")</x:f>
        <x:v>1</x:v>
      </x:c>
    </x:row>
    <x:row r="33">
      <x:c r="G33" s="30" t="str">
        <x:v>Schroders</x:v>
      </x:c>
      <x:c r="H33" s="40" t="n">
        <x:f>SUMIFS('國外委外明細'!$G$4:$G$188,'國外委外明細'!$F$4:$F$188,G33,'國外委外明細'!$A$4:$A$188,$B$4)</x:f>
        <x:v>960000000</x:v>
      </x:c>
      <x:c r="I33" s="40" t="n">
        <x:f>SUMIFS('國外委外明細'!$H$4:$H$188,'國外委外明細'!$F$4:$F$188,G33,'國外委外明細'!$A$4:$A$188,$B$4)</x:f>
        <x:v>1337309953</x:v>
      </x:c>
      <x:c r="J33" s="43" t="n">
        <x:f>IFERROR(I33/SUM($I$9:$I$54),0)</x:f>
        <x:v>0.01069599957979951</x:v>
      </x:c>
      <x:c r="K33" s="31" t="n">
        <x:f>RANK(I33,$I$9:$I$54,0)</x:f>
        <x:v>25</x:v>
      </x:c>
      <x:c r="L33" s="32" t="n">
        <x:f>COUNTIFS('國外委外明細'!$F$4:$F$188,G33,'國外委外明細'!$A$4:$A$188,$B$4,'國外委外明細'!$J$4:$J$188,"&lt;&gt;解約")</x:f>
        <x:v>4</x:v>
      </x:c>
    </x:row>
    <x:row r="34">
      <x:c r="G34" s="30" t="str">
        <x:v>信安</x:v>
      </x:c>
      <x:c r="H34" s="40" t="n">
        <x:f>SUMIFS('國外委外明細'!$G$4:$G$188,'國外委外明細'!$F$4:$F$188,G34,'國外委外明細'!$A$4:$A$188,$B$4)</x:f>
        <x:v>1133980105</x:v>
      </x:c>
      <x:c r="I34" s="40" t="n">
        <x:f>SUMIFS('國外委外明細'!$H$4:$H$188,'國外委外明細'!$F$4:$F$188,G34,'國外委外明細'!$A$4:$A$188,$B$4)</x:f>
        <x:v>1279212590</x:v>
      </x:c>
      <x:c r="J34" s="43" t="n">
        <x:f>IFERROR(I34/SUM($I$9:$I$54),0)</x:f>
        <x:v>0.01023132841748486</x:v>
      </x:c>
      <x:c r="K34" s="31" t="n">
        <x:f>RANK(I34,$I$9:$I$54,0)</x:f>
        <x:v>26</x:v>
      </x:c>
      <x:c r="L34" s="32" t="n">
        <x:f>COUNTIFS('國外委外明細'!$F$4:$F$188,G34,'國外委外明細'!$A$4:$A$188,$B$4,'國外委外明細'!$J$4:$J$188,"&lt;&gt;解約")</x:f>
        <x:v>2</x:v>
      </x:c>
    </x:row>
    <x:row r="35">
      <x:c r="G35" s="30" t="str">
        <x:v>Insight</x:v>
      </x:c>
      <x:c r="H35" s="40" t="n">
        <x:f>SUMIFS('國外委外明細'!$G$4:$G$188,'國外委外明細'!$F$4:$F$188,G35,'國外委外明細'!$A$4:$A$188,$B$4)</x:f>
        <x:v>1229834121</x:v>
      </x:c>
      <x:c r="I35" s="40" t="n">
        <x:f>SUMIFS('國外委外明細'!$H$4:$H$188,'國外委外明細'!$F$4:$F$188,G35,'國外委外明細'!$A$4:$A$188,$B$4)</x:f>
        <x:v>1218224544</x:v>
      </x:c>
      <x:c r="J35" s="43" t="n">
        <x:f>IFERROR(I35/SUM($I$9:$I$54),0)</x:f>
        <x:v>0.009743537151948088</x:v>
      </x:c>
      <x:c r="K35" s="31" t="n">
        <x:f>RANK(I35,$I$9:$I$54,0)</x:f>
        <x:v>27</x:v>
      </x:c>
      <x:c r="L35" s="32" t="n">
        <x:f>COUNTIFS('國外委外明細'!$F$4:$F$188,G35,'國外委外明細'!$A$4:$A$188,$B$4,'國外委外明細'!$J$4:$J$188,"&lt;&gt;解約")</x:f>
        <x:v>2</x:v>
      </x:c>
    </x:row>
    <x:row r="36">
      <x:c r="G36" s="30" t="str">
        <x:v>American Century</x:v>
      </x:c>
      <x:c r="H36" s="40" t="n">
        <x:f>SUMIFS('國外委外明細'!$G$4:$G$188,'國外委外明細'!$F$4:$F$188,G36,'國外委外明細'!$A$4:$A$188,$B$4)</x:f>
        <x:v>959838014</x:v>
      </x:c>
      <x:c r="I36" s="40" t="n">
        <x:f>SUMIFS('國外委外明細'!$H$4:$H$188,'國外委外明細'!$F$4:$F$188,G36,'國外委外明細'!$A$4:$A$188,$B$4)</x:f>
        <x:v>1175399124</x:v>
      </x:c>
      <x:c r="J36" s="43" t="n">
        <x:f>IFERROR(I36/SUM($I$9:$I$54),0)</x:f>
        <x:v>0.00940101321178211</x:v>
      </x:c>
      <x:c r="K36" s="31" t="n">
        <x:f>RANK(I36,$I$9:$I$54,0)</x:f>
        <x:v>28</x:v>
      </x:c>
      <x:c r="L36" s="32" t="n">
        <x:f>COUNTIFS('國外委外明細'!$F$4:$F$188,G36,'國外委外明細'!$A$4:$A$188,$B$4,'國外委外明細'!$J$4:$J$188,"&lt;&gt;解約")</x:f>
        <x:v>4</x:v>
      </x:c>
    </x:row>
    <x:row r="37">
      <x:c r="G37" s="30" t="str">
        <x:v>T. Rowe Price</x:v>
      </x:c>
      <x:c r="H37" s="40" t="n">
        <x:f>SUMIFS('國外委外明細'!$G$4:$G$188,'國外委外明細'!$F$4:$F$188,G37,'國外委外明細'!$A$4:$A$188,$B$4)</x:f>
        <x:v>960000000</x:v>
      </x:c>
      <x:c r="I37" s="40" t="n">
        <x:f>SUMIFS('國外委外明細'!$H$4:$H$188,'國外委外明細'!$F$4:$F$188,G37,'國外委外明細'!$A$4:$A$188,$B$4)</x:f>
        <x:v>1142513053</x:v>
      </x:c>
      <x:c r="J37" s="43" t="n">
        <x:f>IFERROR(I37/SUM($I$9:$I$54),0)</x:f>
        <x:v>0.009137985631071913</x:v>
      </x:c>
      <x:c r="K37" s="31" t="n">
        <x:f>RANK(I37,$I$9:$I$54,0)</x:f>
        <x:v>29</x:v>
      </x:c>
      <x:c r="L37" s="32" t="n">
        <x:f>COUNTIFS('國外委外明細'!$F$4:$F$188,G37,'國外委外明細'!$A$4:$A$188,$B$4,'國外委外明細'!$J$4:$J$188,"&lt;&gt;解約")</x:f>
        <x:v>3</x:v>
      </x:c>
    </x:row>
    <x:row r="38">
      <x:c r="G38" s="30" t="str">
        <x:v>Ninety One</x:v>
      </x:c>
      <x:c r="H38" s="40" t="n">
        <x:f>SUMIFS('國外委外明細'!$G$4:$G$188,'國外委外明細'!$F$4:$F$188,G38,'國外委外明細'!$A$4:$A$188,$B$4)</x:f>
        <x:v>900000000</x:v>
      </x:c>
      <x:c r="I38" s="40" t="n">
        <x:f>SUMIFS('國外委外明細'!$H$4:$H$188,'國外委外明細'!$F$4:$F$188,G38,'國外委外明細'!$A$4:$A$188,$B$4)</x:f>
        <x:v>1077267573</x:v>
      </x:c>
      <x:c r="J38" s="43" t="n">
        <x:f>IFERROR(I38/SUM($I$9:$I$54),0)</x:f>
        <x:v>0.008616142788955701</x:v>
      </x:c>
      <x:c r="K38" s="31" t="n">
        <x:f>RANK(I38,$I$9:$I$54,0)</x:f>
        <x:v>30</x:v>
      </x:c>
      <x:c r="L38" s="32" t="n">
        <x:f>COUNTIFS('國外委外明細'!$F$4:$F$188,G38,'國外委外明細'!$A$4:$A$188,$B$4,'國外委外明細'!$J$4:$J$188,"&lt;&gt;解約")</x:f>
        <x:v>2</x:v>
      </x:c>
    </x:row>
    <x:row r="39">
      <x:c r="G39" s="30" t="str">
        <x:v>ClearBridge</x:v>
      </x:c>
      <x:c r="H39" s="40" t="n">
        <x:f>SUMIFS('國外委外明細'!$G$4:$G$188,'國外委外明細'!$F$4:$F$188,G39,'國外委外明細'!$A$4:$A$188,$B$4)</x:f>
        <x:v>760000000</x:v>
      </x:c>
      <x:c r="I39" s="40" t="n">
        <x:f>SUMIFS('國外委外明細'!$H$4:$H$188,'國外委外明細'!$F$4:$F$188,G39,'國外委外明細'!$A$4:$A$188,$B$4)</x:f>
        <x:v>1047858894</x:v>
      </x:c>
      <x:c r="J39" s="43" t="n">
        <x:f>IFERROR(I39/SUM($I$9:$I$54),0)</x:f>
        <x:v>0.00838092789541452</x:v>
      </x:c>
      <x:c r="K39" s="31" t="n">
        <x:f>RANK(I39,$I$9:$I$54,0)</x:f>
        <x:v>31</x:v>
      </x:c>
      <x:c r="L39" s="32" t="n">
        <x:f>COUNTIFS('國外委外明細'!$F$4:$F$188,G39,'國外委外明細'!$A$4:$A$188,$B$4,'國外委外明細'!$J$4:$J$188,"&lt;&gt;解約")</x:f>
        <x:v>2</x:v>
      </x:c>
    </x:row>
    <x:row r="40">
      <x:c r="G40" s="30" t="str">
        <x:v>聯博</x:v>
      </x:c>
      <x:c r="H40" s="40" t="n">
        <x:f>SUMIFS('國外委外明細'!$G$4:$G$188,'國外委外明細'!$F$4:$F$188,G40,'國外委外明細'!$A$4:$A$188,$B$4)</x:f>
        <x:v>900495639</x:v>
      </x:c>
      <x:c r="I40" s="40" t="n">
        <x:f>SUMIFS('國外委外明細'!$H$4:$H$188,'國外委外明細'!$F$4:$F$188,G40,'國外委外明細'!$A$4:$A$188,$B$4)</x:f>
        <x:v>897752897</x:v>
      </x:c>
      <x:c r="J40" s="43" t="n">
        <x:f>IFERROR(I40/SUM($I$9:$I$54),0)</x:f>
        <x:v>0.007180358291310641</x:v>
      </x:c>
      <x:c r="K40" s="31" t="n">
        <x:f>RANK(I40,$I$9:$I$54,0)</x:f>
        <x:v>32</x:v>
      </x:c>
      <x:c r="L40" s="32" t="n">
        <x:f>COUNTIFS('國外委外明細'!$F$4:$F$188,G40,'國外委外明細'!$A$4:$A$188,$B$4,'國外委外明細'!$J$4:$J$188,"&lt;&gt;解約")</x:f>
        <x:v>1</x:v>
      </x:c>
    </x:row>
    <x:row r="41">
      <x:c r="G41" s="30" t="str">
        <x:v>UBS</x:v>
      </x:c>
      <x:c r="H41" s="40" t="n">
        <x:f>SUMIFS('國外委外明細'!$G$4:$G$188,'國外委外明細'!$F$4:$F$188,G41,'國外委外明細'!$A$4:$A$188,$B$4)</x:f>
        <x:v>761201485</x:v>
      </x:c>
      <x:c r="I41" s="40" t="n">
        <x:f>SUMIFS('國外委外明細'!$H$4:$H$188,'國外委外明細'!$F$4:$F$188,G41,'國外委外明細'!$A$4:$A$188,$B$4)</x:f>
        <x:v>789561325</x:v>
      </x:c>
      <x:c r="J41" s="43" t="n">
        <x:f>IFERROR(I41/SUM($I$9:$I$54),0)</x:f>
        <x:v>0.0063150263568149375</x:v>
      </x:c>
      <x:c r="K41" s="31" t="n">
        <x:f>RANK(I41,$I$9:$I$54,0)</x:f>
        <x:v>33</x:v>
      </x:c>
      <x:c r="L41" s="32" t="n">
        <x:f>COUNTIFS('國外委外明細'!$F$4:$F$188,G41,'國外委外明細'!$A$4:$A$188,$B$4,'國外委外明細'!$J$4:$J$188,"&lt;&gt;解約")</x:f>
        <x:v>2</x:v>
      </x:c>
    </x:row>
    <x:row r="42">
      <x:c r="G42" s="30" t="str">
        <x:v>Pictet</x:v>
      </x:c>
      <x:c r="H42" s="40" t="n">
        <x:f>SUMIFS('國外委外明細'!$G$4:$G$188,'國外委外明細'!$F$4:$F$188,G42,'國外委外明細'!$A$4:$A$188,$B$4)</x:f>
        <x:v>618843493</x:v>
      </x:c>
      <x:c r="I42" s="40" t="n">
        <x:f>SUMIFS('國外委外明細'!$H$4:$H$188,'國外委外明細'!$F$4:$F$188,G42,'國外委外明細'!$A$4:$A$188,$B$4)</x:f>
        <x:v>769778438</x:v>
      </x:c>
      <x:c r="J42" s="43" t="n">
        <x:f>IFERROR(I42/SUM($I$9:$I$54),0)</x:f>
        <x:v>0.00615679994822167</x:v>
      </x:c>
      <x:c r="K42" s="31" t="n">
        <x:f>RANK(I42,$I$9:$I$54,0)</x:f>
        <x:v>34</x:v>
      </x:c>
      <x:c r="L42" s="32" t="n">
        <x:f>COUNTIFS('國外委外明細'!$F$4:$F$188,G42,'國外委外明細'!$A$4:$A$188,$B$4,'國外委外明細'!$J$4:$J$188,"&lt;&gt;解約")</x:f>
        <x:v>1</x:v>
      </x:c>
    </x:row>
    <x:row r="43">
      <x:c r="G43" s="30" t="str">
        <x:v>滙豐</x:v>
      </x:c>
      <x:c r="H43" s="40" t="n">
        <x:f>SUMIFS('國外委外明細'!$G$4:$G$188,'國外委外明細'!$F$4:$F$188,G43,'國外委外明細'!$A$4:$A$188,$B$4)</x:f>
        <x:v>460000000</x:v>
      </x:c>
      <x:c r="I43" s="40" t="n">
        <x:f>SUMIFS('國外委外明細'!$H$4:$H$188,'國外委外明細'!$F$4:$F$188,G43,'國外委外明細'!$A$4:$A$188,$B$4)</x:f>
        <x:v>706462588</x:v>
      </x:c>
      <x:c r="J43" s="43" t="n">
        <x:f>IFERROR(I43/SUM($I$9:$I$54),0)</x:f>
        <x:v>0.005650390567602449</x:v>
      </x:c>
      <x:c r="K43" s="31" t="n">
        <x:f>RANK(I43,$I$9:$I$54,0)</x:f>
        <x:v>35</x:v>
      </x:c>
      <x:c r="L43" s="32" t="n">
        <x:f>COUNTIFS('國外委外明細'!$F$4:$F$188,G43,'國外委外明細'!$A$4:$A$188,$B$4,'國外委外明細'!$J$4:$J$188,"&lt;&gt;解約")</x:f>
        <x:v>2</x:v>
      </x:c>
    </x:row>
    <x:row r="44">
      <x:c r="G44" s="30" t="str">
        <x:v>荷寶</x:v>
      </x:c>
      <x:c r="H44" s="40" t="n">
        <x:f>SUMIFS('國外委外明細'!$G$4:$G$188,'國外委外明細'!$F$4:$F$188,G44,'國外委外明細'!$A$4:$A$188,$B$4)</x:f>
        <x:v>506416368</x:v>
      </x:c>
      <x:c r="I44" s="40" t="n">
        <x:f>SUMIFS('國外委外明細'!$H$4:$H$188,'國外委外明細'!$F$4:$F$188,G44,'國外委外明細'!$A$4:$A$188,$B$4)</x:f>
        <x:v>697308846</x:v>
      </x:c>
      <x:c r="J44" s="43" t="n">
        <x:f>IFERROR(I44/SUM($I$9:$I$54),0)</x:f>
        <x:v>0.005577177607236788</x:v>
      </x:c>
      <x:c r="K44" s="31" t="n">
        <x:f>RANK(I44,$I$9:$I$54,0)</x:f>
        <x:v>36</x:v>
      </x:c>
      <x:c r="L44" s="32" t="n">
        <x:f>COUNTIFS('國外委外明細'!$F$4:$F$188,G44,'國外委外明細'!$A$4:$A$188,$B$4,'國外委外明細'!$J$4:$J$188,"&lt;&gt;解約")</x:f>
        <x:v>1</x:v>
      </x:c>
    </x:row>
    <x:row r="45">
      <x:c r="G45" s="30" t="str">
        <x:v>摩根士丹利</x:v>
      </x:c>
      <x:c r="H45" s="40" t="n">
        <x:f>SUMIFS('國外委外明細'!$G$4:$G$188,'國外委外明細'!$F$4:$F$188,G45,'國外委外明細'!$A$4:$A$188,$B$4)</x:f>
        <x:v>460000000</x:v>
      </x:c>
      <x:c r="I45" s="40" t="n">
        <x:f>SUMIFS('國外委外明細'!$H$4:$H$188,'國外委外明細'!$F$4:$F$188,G45,'國外委外明細'!$A$4:$A$188,$B$4)</x:f>
        <x:v>690570828</x:v>
      </x:c>
      <x:c r="J45" s="43" t="n">
        <x:f>IFERROR(I45/SUM($I$9:$I$54),0)</x:f>
        <x:v>0.005523285958905744</x:v>
      </x:c>
      <x:c r="K45" s="31" t="n">
        <x:f>RANK(I45,$I$9:$I$54,0)</x:f>
        <x:v>37</x:v>
      </x:c>
      <x:c r="L45" s="32" t="n">
        <x:f>COUNTIFS('國外委外明細'!$F$4:$F$188,G45,'國外委外明細'!$A$4:$A$188,$B$4,'國外委外明細'!$J$4:$J$188,"&lt;&gt;解約")</x:f>
        <x:v>2</x:v>
      </x:c>
    </x:row>
    <x:row r="46">
      <x:c r="G46" s="30" t="str">
        <x:v>PGIM</x:v>
      </x:c>
      <x:c r="H46" s="40" t="n">
        <x:f>SUMIFS('國外委外明細'!$G$4:$G$188,'國外委外明細'!$F$4:$F$188,G46,'國外委外明細'!$A$4:$A$188,$B$4)</x:f>
        <x:v>600000000</x:v>
      </x:c>
      <x:c r="I46" s="40" t="n">
        <x:f>SUMIFS('國外委外明細'!$H$4:$H$188,'國外委外明細'!$F$4:$F$188,G46,'國外委外明細'!$A$4:$A$188,$B$4)</x:f>
        <x:v>688857784</x:v>
      </x:c>
      <x:c r="J46" s="43" t="n">
        <x:f>IFERROR(I46/SUM($I$9:$I$54),0)</x:f>
        <x:v>0.005509584783749547</x:v>
      </x:c>
      <x:c r="K46" s="31" t="n">
        <x:f>RANK(I46,$I$9:$I$54,0)</x:f>
        <x:v>38</x:v>
      </x:c>
      <x:c r="L46" s="32" t="n">
        <x:f>COUNTIFS('國外委外明細'!$F$4:$F$188,G46,'國外委外明細'!$A$4:$A$188,$B$4,'國外委外明細'!$J$4:$J$188,"&lt;&gt;解約")</x:f>
        <x:v>1</x:v>
      </x:c>
    </x:row>
    <x:row r="47">
      <x:c r="G47" s="30" t="str">
        <x:v>Amundi</x:v>
      </x:c>
      <x:c r="H47" s="40" t="n">
        <x:f>SUMIFS('國外委外明細'!$G$4:$G$188,'國外委外明細'!$F$4:$F$188,G47,'國外委外明細'!$A$4:$A$188,$B$4)</x:f>
        <x:v>500000000</x:v>
      </x:c>
      <x:c r="I47" s="40" t="n">
        <x:f>SUMIFS('國外委外明細'!$H$4:$H$188,'國外委外明細'!$F$4:$F$188,G47,'國外委外明細'!$A$4:$A$188,$B$4)</x:f>
        <x:v>666575819</x:v>
      </x:c>
      <x:c r="J47" s="43" t="n">
        <x:f>IFERROR(I47/SUM($I$9:$I$54),0)</x:f>
        <x:v>0.005331370385701836</x:v>
      </x:c>
      <x:c r="K47" s="31" t="n">
        <x:f>RANK(I47,$I$9:$I$54,0)</x:f>
        <x:v>39</x:v>
      </x:c>
      <x:c r="L47" s="32" t="n">
        <x:f>COUNTIFS('國外委外明細'!$F$4:$F$188,G47,'國外委外明細'!$A$4:$A$188,$B$4,'國外委外明細'!$J$4:$J$188,"&lt;&gt;解約")</x:f>
        <x:v>2</x:v>
      </x:c>
    </x:row>
    <x:row r="48">
      <x:c r="G48" s="30" t="str">
        <x:v>LGIM</x:v>
      </x:c>
      <x:c r="H48" s="40" t="n">
        <x:f>SUMIFS('國外委外明細'!$G$4:$G$188,'國外委外明細'!$F$4:$F$188,G48,'國外委外明細'!$A$4:$A$188,$B$4)</x:f>
        <x:v>400000000</x:v>
      </x:c>
      <x:c r="I48" s="40" t="n">
        <x:f>SUMIFS('國外委外明細'!$H$4:$H$188,'國外委外明細'!$F$4:$F$188,G48,'國外委外明細'!$A$4:$A$188,$B$4)</x:f>
        <x:v>593041556</x:v>
      </x:c>
      <x:c r="J48" s="43" t="n">
        <x:f>IFERROR(I48/SUM($I$9:$I$54),0)</x:f>
        <x:v>0.004743232651151627</x:v>
      </x:c>
      <x:c r="K48" s="31" t="n">
        <x:f>RANK(I48,$I$9:$I$54,0)</x:f>
        <x:v>40</x:v>
      </x:c>
      <x:c r="L48" s="32" t="n">
        <x:f>COUNTIFS('國外委外明細'!$F$4:$F$188,G48,'國外委外明細'!$A$4:$A$188,$B$4,'國外委外明細'!$J$4:$J$188,"&lt;&gt;解約")</x:f>
        <x:v>1</x:v>
      </x:c>
    </x:row>
    <x:row r="49">
      <x:c r="G49" s="30" t="str">
        <x:v>Center Square</x:v>
      </x:c>
      <x:c r="H49" s="40" t="n">
        <x:f>SUMIFS('國外委外明細'!$G$4:$G$188,'國外委外明細'!$F$4:$F$188,G49,'國外委外明細'!$A$4:$A$188,$B$4)</x:f>
        <x:v>400000000</x:v>
      </x:c>
      <x:c r="I49" s="40" t="n">
        <x:f>SUMIFS('國外委外明細'!$H$4:$H$188,'國外委外明細'!$F$4:$F$188,G49,'國外委外明細'!$A$4:$A$188,$B$4)</x:f>
        <x:v>458409894</x:v>
      </x:c>
      <x:c r="J49" s="43" t="n">
        <x:f>IFERROR(I49/SUM($I$9:$I$54),0)</x:f>
        <x:v>0.0036664290298600195</x:v>
      </x:c>
      <x:c r="K49" s="31" t="n">
        <x:f>RANK(I49,$I$9:$I$54,0)</x:f>
        <x:v>41</x:v>
      </x:c>
      <x:c r="L49" s="32" t="n">
        <x:f>COUNTIFS('國外委外明細'!$F$4:$F$188,G49,'國外委外明細'!$A$4:$A$188,$B$4,'國外委外明細'!$J$4:$J$188,"&lt;&gt;解約")</x:f>
        <x:v>1</x:v>
      </x:c>
    </x:row>
    <x:row r="50">
      <x:c r="G50" s="30" t="str">
        <x:v>HSBC</x:v>
      </x:c>
      <x:c r="H50" s="40" t="n">
        <x:f>SUMIFS('國外委外明細'!$G$4:$G$188,'國外委外明細'!$F$4:$F$188,G50,'國外委外明細'!$A$4:$A$188,$B$4)</x:f>
        <x:v>400000000</x:v>
      </x:c>
      <x:c r="I50" s="40" t="n">
        <x:f>SUMIFS('國外委外明細'!$H$4:$H$188,'國外委外明細'!$F$4:$F$188,G50,'國外委外明細'!$A$4:$A$188,$B$4)</x:f>
        <x:v>421747465</x:v>
      </x:c>
      <x:c r="J50" s="43" t="n">
        <x:f>IFERROR(I50/SUM($I$9:$I$54),0)</x:f>
        <x:v>0.003373197588413902</x:v>
      </x:c>
      <x:c r="K50" s="31" t="n">
        <x:f>RANK(I50,$I$9:$I$54,0)</x:f>
        <x:v>42</x:v>
      </x:c>
      <x:c r="L50" s="32" t="n">
        <x:f>COUNTIFS('國外委外明細'!$F$4:$F$188,G50,'國外委外明細'!$A$4:$A$188,$B$4,'國外委外明細'!$J$4:$J$188,"&lt;&gt;解約")</x:f>
        <x:v>1</x:v>
      </x:c>
    </x:row>
    <x:row r="51">
      <x:c r="G51" s="30" t="str">
        <x:v>Allianz</x:v>
      </x:c>
      <x:c r="H51" s="40" t="n">
        <x:f>SUMIFS('國外委外明細'!$G$4:$G$188,'國外委外明細'!$F$4:$F$188,G51,'國外委外明細'!$A$4:$A$188,$B$4)</x:f>
        <x:v>275923278</x:v>
      </x:c>
      <x:c r="I51" s="40" t="n">
        <x:f>SUMIFS('國外委外明細'!$H$4:$H$188,'國外委外明細'!$F$4:$F$188,G51,'國外委外明細'!$A$4:$A$188,$B$4)</x:f>
        <x:v>275639320</x:v>
      </x:c>
      <x:c r="J51" s="43" t="n">
        <x:f>IFERROR(I51/SUM($I$9:$I$54),0)</x:f>
        <x:v>0.002204603386284842</x:v>
      </x:c>
      <x:c r="K51" s="31" t="n">
        <x:f>RANK(I51,$I$9:$I$54,0)</x:f>
        <x:v>43</x:v>
      </x:c>
      <x:c r="L51" s="32" t="n">
        <x:f>COUNTIFS('國外委外明細'!$F$4:$F$188,G51,'國外委外明細'!$A$4:$A$188,$B$4,'國外委外明細'!$J$4:$J$188,"&lt;&gt;解約")</x:f>
        <x:v>1</x:v>
      </x:c>
    </x:row>
    <x:row r="52">
      <x:c r="G52" s="30" t="str">
        <x:v>柏瑞</x:v>
      </x:c>
      <x:c r="H52" s="40" t="n">
        <x:f>SUMIFS('國外委外明細'!$G$4:$G$188,'國外委外明細'!$F$4:$F$188,G52,'國外委外明細'!$A$4:$A$188,$B$4)</x:f>
        <x:v>0</x:v>
      </x:c>
      <x:c r="I52" s="40" t="n">
        <x:f>SUMIFS('國外委外明細'!$H$4:$H$188,'國外委外明細'!$F$4:$F$188,G52,'國外委外明細'!$A$4:$A$188,$B$4)</x:f>
        <x:v>0</x:v>
      </x:c>
      <x:c r="J52" s="43" t="n">
        <x:f>IFERROR(I52/SUM($I$9:$I$54),0)</x:f>
        <x:v>0</x:v>
      </x:c>
      <x:c r="K52" s="31" t="n">
        <x:f>RANK(I52,$I$9:$I$54,0)</x:f>
        <x:v>44</x:v>
      </x:c>
      <x:c r="L52" s="32" t="n">
        <x:f>COUNTIFS('國外委外明細'!$F$4:$F$188,G52,'國外委外明細'!$A$4:$A$188,$B$4,'國外委外明細'!$J$4:$J$188,"&lt;&gt;解約")</x:f>
        <x:v>0</x:v>
      </x:c>
    </x:row>
    <x:row r="53">
      <x:c r="G53" s="30" t="str">
        <x:v>玉山</x:v>
      </x:c>
      <x:c r="H53" s="40" t="n">
        <x:f>SUMIFS('國外委外明細'!$G$4:$G$188,'國外委外明細'!$F$4:$F$188,G53,'國外委外明細'!$A$4:$A$188,$B$4)</x:f>
        <x:v>0</x:v>
      </x:c>
      <x:c r="I53" s="40" t="n">
        <x:f>SUMIFS('國外委外明細'!$H$4:$H$188,'國外委外明細'!$F$4:$F$188,G53,'國外委外明細'!$A$4:$A$188,$B$4)</x:f>
        <x:v>0</x:v>
      </x:c>
      <x:c r="J53" s="43" t="n">
        <x:f>IFERROR(I53/SUM($I$9:$I$54),0)</x:f>
        <x:v>0</x:v>
      </x:c>
      <x:c r="K53" s="31" t="n">
        <x:f>RANK(I53,$I$9:$I$54,0)</x:f>
        <x:v>44</x:v>
      </x:c>
      <x:c r="L53" s="32" t="n">
        <x:f>COUNTIFS('國外委外明細'!$F$4:$F$188,G53,'國外委外明細'!$A$4:$A$188,$B$4,'國外委外明細'!$J$4:$J$188,"&lt;&gt;解約")</x:f>
        <x:v>0</x:v>
      </x:c>
    </x:row>
    <x:row r="54">
      <x:c r="G54" s="33" t="str">
        <x:v>國泰</x:v>
      </x:c>
      <x:c r="H54" s="41" t="n">
        <x:f>SUMIFS('國外委外明細'!$G$4:$G$188,'國外委外明細'!$F$4:$F$188,G54,'國外委外明細'!$A$4:$A$188,$B$4)</x:f>
        <x:v>0</x:v>
      </x:c>
      <x:c r="I54" s="41" t="n">
        <x:f>SUMIFS('國外委外明細'!$H$4:$H$188,'國外委外明細'!$F$4:$F$188,G54,'國外委外明細'!$A$4:$A$188,$B$4)</x:f>
        <x:v>0</x:v>
      </x:c>
      <x:c r="J54" s="44" t="n">
        <x:f>IFERROR(I54/SUM($I$9:$I$54),0)</x:f>
        <x:v>0</x:v>
      </x:c>
      <x:c r="K54" s="34" t="n">
        <x:f>RANK(I54,$I$9:$I$54,0)</x:f>
        <x:v>44</x:v>
      </x:c>
      <x:c r="L54" s="35" t="n">
        <x:f>COUNTIFS('國外委外明細'!$F$4:$F$188,G54,'國外委外明細'!$A$4:$A$188,$B$4,'國外委外明細'!$J$4:$J$188,"&lt;&gt;解約")</x:f>
        <x:v>0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f83ae911498749b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9.779998779296875" hidden="0" customWidth="1"/>
    <x:col min="2" max="2" width="10.220000267028809" hidden="0" customWidth="1"/>
    <x:col min="3" max="3" width="28" hidden="0" customWidth="1"/>
    <x:col min="4" max="4" width="38" hidden="0" customWidth="1"/>
    <x:col min="5" max="5" width="26" hidden="0" customWidth="1"/>
    <x:col min="6" max="6" width="15.109999656677246" hidden="0" customWidth="1"/>
    <x:col min="7" max="7" width="48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96" t="str">
        <x:v>1</x:v>
      </x:c>
      <x:c r="B4" s="97" t="str">
        <x:v>月度資產配置</x:v>
      </x:c>
      <x:c r="C4" s="97" t="str">
        <x:v>四大基金各資產配置列</x:v>
      </x:c>
      <x:c r="D4" s="97" t="str">
        <x:v>日期、基金、項目、金額、比率、來源</x:v>
      </x:c>
      <x:c r="E4" s="97" t="str">
        <x:v>PDF「資產配置」</x:v>
      </x:c>
      <x:c r="F4" s="97" t="str">
        <x:v>最新配置與合計圖</x:v>
      </x:c>
      <x:c r="G4" s="98" t="str">
        <x:v>完整保留自行運用、轉存金融機構、短期票券、債券、貸款、股票、國外投資及委託經營；國內委託經營歸入委託經營-權益證券</x:v>
      </x:c>
    </x:row>
    <x:row r="5">
      <x:c r="A5" s="99" t="str">
        <x:v>2</x:v>
      </x:c>
      <x:c r="B5" s="100" t="str">
        <x:v>國內委外明細</x:v>
      </x:c>
      <x:c r="C5" s="100" t="str">
        <x:v>各批次／業者一列，含當期加/減與帳戶狀態</x:v>
      </x:c>
      <x:c r="D5" s="100" t="str">
        <x:v>日期、基金、批次、業者、金額、淨資產、當期加/減、帳戶狀態、兩種報酬率</x:v>
      </x:c>
      <x:c r="E5" s="100" t="str">
        <x:v>PDF「國內委外投資概況」</x:v>
      </x:c>
      <x:c r="F5" s="100" t="str">
        <x:v>國內業者彙總</x:v>
      </x:c>
      <x:c r="G5" s="101" t="str">
        <x:v>新增帳戶標記「新增」；既有帳戶標記「持續」；本月消失帳戶補列並標記「解約」，當期加/減以淨資產差額計算</x:v>
      </x:c>
    </x:row>
    <x:row r="6">
      <x:c r="A6" s="99" t="str">
        <x:v>3</x:v>
      </x:c>
      <x:c r="B6" s="100" t="str">
        <x:v>國外委外明細</x:v>
      </x:c>
      <x:c r="C6" s="100" t="str">
        <x:v>各批次／業者一列，含當期加/減與帳戶狀態</x:v>
      </x:c>
      <x:c r="D6" s="100" t="str">
        <x:v>日期、基金、批次、業者、金額、淨資產、當期加/減、帳戶狀態、兩種報酬率、單位</x:v>
      </x:c>
      <x:c r="E6" s="100" t="str">
        <x:v>PDF「國外委外投資概況」</x:v>
      </x:c>
      <x:c r="F6" s="100" t="str">
        <x:v>國外業者彙總</x:v>
      </x:c>
      <x:c r="G6" s="101" t="str">
        <x:v>新增／持續／解約判定同國內；美元及其他原始幣別不自行換匯</x:v>
      </x:c>
    </x:row>
    <x:row r="7">
      <x:c r="A7" s="99" t="str">
        <x:v>4</x:v>
      </x:c>
      <x:c r="B7" s="100" t="str">
        <x:v>業者彙總</x:v>
      </x:c>
      <x:c r="C7" s="100" t="str">
        <x:v>不需手動新增</x:v>
      </x:c>
      <x:c r="D7" s="100" t="str">
        <x:v>調整控制項日期／基金</x:v>
      </x:c>
      <x:c r="E7" s="100" t="str">
        <x:v>工作表上方 B4、B5</x:v>
      </x:c>
      <x:c r="F7" s="100" t="str">
        <x:v>市占與排名、帳戶數</x:v>
      </x:c>
      <x:c r="G7" s="101" t="str">
        <x:v>所有業者依目前淨資產排序；市占率以目前淨資產計算；帳戶數以每批次出現一次計數</x:v>
      </x:c>
    </x:row>
    <x:row r="8">
      <x:c r="A8" s="102" t="str">
        <x:v>5</x:v>
      </x:c>
      <x:c r="B8" s="103" t="str">
        <x:v>資料品質檢核</x:v>
      </x:c>
      <x:c r="C8" s="103" t="str">
        <x:v>不需手動新增</x:v>
      </x:c>
      <x:c r="D8" s="103" t="str">
        <x:v>確認狀態為 OK</x:v>
      </x:c>
      <x:c r="E8" s="103" t="str">
        <x:v>檢核頁</x:v>
      </x:c>
      <x:c r="F8" s="103" t="str">
        <x:v>驗證來源與總額</x:v>
      </x:c>
      <x:c r="G8" s="104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.88999938964844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329999923706055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185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