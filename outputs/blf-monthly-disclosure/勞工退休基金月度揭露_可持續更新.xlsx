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4a626f9f5a46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669daac13ad74f94"/>
    <x:sheet xmlns:r="http://schemas.openxmlformats.org/officeDocument/2006/relationships" name="儀表板(美元)" sheetId="2" r:id="R33a107dc429342d7"/>
    <x:sheet xmlns:r="http://schemas.openxmlformats.org/officeDocument/2006/relationships" name="月度資產配置" sheetId="3" r:id="R038d41fa085c48ab"/>
    <x:sheet xmlns:r="http://schemas.openxmlformats.org/officeDocument/2006/relationships" name="國內委外明細" sheetId="4" r:id="R90f8d2ff99c0436a"/>
    <x:sheet xmlns:r="http://schemas.openxmlformats.org/officeDocument/2006/relationships" name="國外委外明細" sheetId="5" r:id="R98c7add857854f5c"/>
    <x:sheet xmlns:r="http://schemas.openxmlformats.org/officeDocument/2006/relationships" name="批次彙總" sheetId="6" r:id="R95dcd709b20e4a79"/>
    <x:sheet xmlns:r="http://schemas.openxmlformats.org/officeDocument/2006/relationships" name="業者彙總" sheetId="7" r:id="R655147c3abff4a48"/>
    <x:sheet xmlns:r="http://schemas.openxmlformats.org/officeDocument/2006/relationships" name="更新說明" sheetId="8" r:id="Rd797195441a049c8"/>
    <x:sheet xmlns:r="http://schemas.openxmlformats.org/officeDocument/2006/relationships" name="資料品質檢核" sheetId="9" r:id="R00327db2d15443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b68a86cea04a65" /><Relationship Type="http://schemas.openxmlformats.org/officeDocument/2006/relationships/theme" Target="/xl/theme/theme1.xml" Id="R4662e937ea6a4494" /><Relationship Type="http://schemas.openxmlformats.org/officeDocument/2006/relationships/sharedStrings" Target="/xl/sharedStrings.xml" Id="R524b3046061c4e30" /><Relationship Type="http://schemas.openxmlformats.org/officeDocument/2006/relationships/worksheet" Target="/xl/worksheets/sheet1.xml" Id="R669daac13ad74f94" /><Relationship Type="http://schemas.openxmlformats.org/officeDocument/2006/relationships/worksheet" Target="/xl/worksheets/sheet2.xml" Id="R33a107dc429342d7" /><Relationship Type="http://schemas.openxmlformats.org/officeDocument/2006/relationships/worksheet" Target="/xl/worksheets/sheet3.xml" Id="R038d41fa085c48ab" /><Relationship Type="http://schemas.openxmlformats.org/officeDocument/2006/relationships/worksheet" Target="/xl/worksheets/sheet4.xml" Id="R90f8d2ff99c0436a" /><Relationship Type="http://schemas.openxmlformats.org/officeDocument/2006/relationships/worksheet" Target="/xl/worksheets/sheet5.xml" Id="R98c7add857854f5c" /><Relationship Type="http://schemas.openxmlformats.org/officeDocument/2006/relationships/worksheet" Target="/xl/worksheets/sheet6.xml" Id="R95dcd709b20e4a79" /><Relationship Type="http://schemas.openxmlformats.org/officeDocument/2006/relationships/worksheet" Target="/xl/worksheets/sheet7.xml" Id="R655147c3abff4a48" /><Relationship Type="http://schemas.openxmlformats.org/officeDocument/2006/relationships/worksheet" Target="/xl/worksheets/sheet8.xml" Id="Rd797195441a049c8" /><Relationship Type="http://schemas.openxmlformats.org/officeDocument/2006/relationships/worksheet" Target="/xl/worksheets/sheet9.xml" Id="R00327db2d15443f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bcbffc68bdd42c7" /><Relationship Type="http://schemas.openxmlformats.org/officeDocument/2006/relationships/chart" Target="/xl/drawings/charts/chart2.xml" Id="Re347ddf758a443cf" /><Relationship Type="http://schemas.openxmlformats.org/officeDocument/2006/relationships/chart" Target="/xl/drawings/charts/chart3.xml" Id="R8327dbd615e5436d" /><Relationship Type="http://schemas.openxmlformats.org/officeDocument/2006/relationships/chart" Target="/xl/drawings/charts/chart4.xml" Id="Rc802eff804884510" /><Relationship Type="http://schemas.openxmlformats.org/officeDocument/2006/relationships/chart" Target="/xl/drawings/charts/chart5.xml" Id="Ra942c1960ef0439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ef3eb68545f84288" /><Relationship Type="http://schemas.openxmlformats.org/officeDocument/2006/relationships/chart" Target="/xl/drawings/charts/chart7.xml" Id="R06365c72ff574aa6" /><Relationship Type="http://schemas.openxmlformats.org/officeDocument/2006/relationships/chart" Target="/xl/drawings/charts/chart8.xml" Id="R8fabfa9601cf43b8" /><Relationship Type="http://schemas.openxmlformats.org/officeDocument/2006/relationships/chart" Target="/xl/drawings/charts/chart9.xml" Id="R3b8271fb31fc4e07" /><Relationship Type="http://schemas.openxmlformats.org/officeDocument/2006/relationships/chart" Target="/xl/drawings/charts/chart10.xml" Id="R9e842dc2cb7e4bf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c1c31b906090403b" /><Relationship Type="http://schemas.openxmlformats.org/officeDocument/2006/relationships/chart" Target="/xl/drawings/charts/chart12.xml" Id="R73cbe4e5c09a4c57" /><Relationship Type="http://schemas.openxmlformats.org/officeDocument/2006/relationships/chart" Target="/xl/drawings/charts/chart13.xml" Id="Reda42996294f4f1d" /><Relationship Type="http://schemas.openxmlformats.org/officeDocument/2006/relationships/chart" Target="/xl/drawings/charts/chart14.xml" Id="R3ca6cd30a901413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'儀表板'!$V$12:$V$27</c:f>
              <c:strCache>
                <c:ptCount val="0"/>
              </c:strCache>
            </c:strRef>
          </c:cat>
          <c:val>
            <c:numRef>
              <c:f>'儀表板'!$W$12:$W$27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'儀表板'!$X$12:$X$27</c:f>
              <c:strCache>
                <c:ptCount val="0"/>
              </c:strCache>
            </c:strRef>
          </c:cat>
          <c:val>
            <c:numRef>
              <c:f>'儀表板'!$Y$12:$Y$27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'儀表板'!$Z$12:$Z$27</c:f>
              <c:strCache>
                <c:ptCount val="0"/>
              </c:strCache>
            </c:strRef>
          </c:cat>
          <c:val>
            <c:numRef>
              <c:f>'儀表板'!$AA$12:$AA$27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'儀表板'!$AB$12:$AB$27</c:f>
              <c:strCache>
                <c:ptCount val="0"/>
              </c:strCache>
            </c:strRef>
          </c:cat>
          <c:val>
            <c:numRef>
              <c:f>'儀表板'!$AC$12:$AC$27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'儀表板'!$AD$12:$AD$27</c:f>
              <c:strCache>
                <c:ptCount val="0"/>
              </c:strCache>
            </c:strRef>
          </c:cat>
          <c:val>
            <c:numRef>
              <c:f>'儀表板'!$AE$12:$AE$27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'儀表板(美元)'!$V$12:$V$27</c:f>
              <c:strCache>
                <c:ptCount val="0"/>
              </c:strCache>
            </c:strRef>
          </c:cat>
          <c:val>
            <c:numRef>
              <c:f>'儀表板(美元)'!$W$12:$W$27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'儀表板(美元)'!$X$12:$X$27</c:f>
              <c:strCache>
                <c:ptCount val="0"/>
              </c:strCache>
            </c:strRef>
          </c:cat>
          <c:val>
            <c:numRef>
              <c:f>'儀表板(美元)'!$Y$12:$Y$27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'儀表板(美元)'!$Z$12:$Z$27</c:f>
              <c:strCache>
                <c:ptCount val="0"/>
              </c:strCache>
            </c:strRef>
          </c:cat>
          <c:val>
            <c:numRef>
              <c:f>'儀表板(美元)'!$AA$12:$AA$27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'儀表板(美元)'!$AB$12:$AB$27</c:f>
              <c:strCache>
                <c:ptCount val="0"/>
              </c:strCache>
            </c:strRef>
          </c:cat>
          <c:val>
            <c:numRef>
              <c:f>'儀表板(美元)'!$AC$12:$AC$27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'儀表板(美元)'!$AD$12:$AD$27</c:f>
              <c:strCache>
                <c:ptCount val="0"/>
              </c:strCache>
            </c:strRef>
          </c:cat>
          <c:val>
            <c:numRef>
              <c:f>'儀表板(美元)'!$AE$12:$AE$27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cbffc68bdd42c7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47ddf758a443cf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27dbd615e5436d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02eff804884510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42c1960ef0439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3eb68545f84288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365c72ff574aa6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abfa9601cf43b8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8271fb31fc4e07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842dc2cb7e4bfb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c31b906090403b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cbe4e5c09a4c57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a42996294f4f1d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a6cd30a901413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6a7ed608974b4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68f018aaa4f94a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4e78f0887e1484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45515c2be7a4ac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cf4438ae6a0444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2862eef213a4ea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d4068634ba3d489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50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轉存金融機構</x:v>
      </x:c>
      <x:c r="W12" s="50" t="n">
        <x:f>IFERROR(SUMIFS('月度資產配置'!$F$4:$F$263,'月度資產配置'!$A$4:$A$263,$A$6,'月度資產配置'!$C$4:$C$263,"新制",'月度資產配置'!$D$4:$D$263,"轉存金融機構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0.08010000000000002</x:v>
      </x:c>
      <x:c r="X12" t="str">
        <x:v>轉存金融機構</x:v>
      </x:c>
      <x:c r="Y12" s="50" t="n">
        <x:f>IFERROR(SUMIFS('月度資產配置'!$F$4:$F$263,'月度資產配置'!$A$4:$A$263,$A$6,'月度資產配置'!$C$4:$C$263,"舊制",'月度資產配置'!$D$4:$D$263,"轉存金融機構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0.2029</x:v>
      </x:c>
      <x:c r="Z12" t="str">
        <x:v>轉存金融機構</x:v>
      </x:c>
      <x:c r="AA12" s="50" t="n">
        <x:f>IFERROR(SUMIFS('月度資產配置'!$F$4:$F$263,'月度資產配置'!$A$4:$A$263,$A$6,'月度資產配置'!$C$4:$C$263,"勞工保險",'月度資產配置'!$D$4:$D$263,"轉存金融機構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0.0983</x:v>
      </x:c>
      <x:c r="AB12" t="str">
        <x:v>轉存金融機構</x:v>
      </x:c>
      <x:c r="AC12" s="50" t="n">
        <x:f>IFERROR(SUMIFS('月度資產配置'!$F$4:$F$263,'月度資產配置'!$A$4:$A$263,$A$6,'月度資產配置'!$C$4:$C$263,"國民年金",'月度資產配置'!$D$4:$D$263,"轉存金融機構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</x:v>
      </x:c>
      <x:c r="AD12" t="str">
        <x:v>轉存金融機構</x:v>
      </x:c>
      <x:c r="AE12" s="50" t="n">
        <x:f>IFERROR(SUMIFS('月度資產配置'!$F$4:$F$263,'月度資產配置'!$A$4:$A$263,$A$6,'月度資產配置'!$D$4:$D$263,"轉存金融機構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0.107325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政策性貸款</x:v>
      </x:c>
      <x:c r="W13" s="50" t="n">
        <x:f>IFERROR(SUMIFS('月度資產配置'!$F$4:$F$263,'月度資產配置'!$A$4:$A$263,$A$6,'月度資產配置'!$C$4:$C$263,"新制",'月度資產配置'!$D$4:$D$263,"政策性貸款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3" t="str">
        <x:v>政策性貸款</x:v>
      </x:c>
      <x:c r="Y13" s="50" t="n">
        <x:f>IFERROR(SUMIFS('月度資產配置'!$F$4:$F$263,'月度資產配置'!$A$4:$A$263,$A$6,'月度資產配置'!$C$4:$C$263,"舊制",'月度資產配置'!$D$4:$D$263,"政策性貸款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3" t="str">
        <x:v>政策性貸款</x:v>
      </x:c>
      <x:c r="AA13" s="50" t="n">
        <x:f>IFERROR(SUMIFS('月度資產配置'!$F$4:$F$263,'月度資產配置'!$A$4:$A$263,$A$6,'月度資產配置'!$C$4:$C$263,"勞工保險",'月度資產配置'!$D$4:$D$263,"政策性貸款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</x:v>
      </x:c>
      <x:c r="AB13" t="str">
        <x:v>政策性貸款</x:v>
      </x:c>
      <x:c r="AC13" s="50" t="n">
        <x:f>IFERROR(SUMIFS('月度資產配置'!$F$4:$F$263,'月度資產配置'!$A$4:$A$263,$A$6,'月度資產配置'!$C$4:$C$263,"國民年金",'月度資產配置'!$D$4:$D$263,"政策性貸款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3" t="str">
        <x:v>政策性貸款</x:v>
      </x:c>
      <x:c r="AE13" s="50" t="n">
        <x:f>IFERROR(SUMIFS('月度資產配置'!$F$4:$F$263,'月度資產配置'!$A$4:$A$263,$A$6,'月度資產配置'!$D$4:$D$263,"政策性貸款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短期票券</x:v>
      </x:c>
      <x:c r="W14" s="50" t="n">
        <x:f>IFERROR(SUMIFS('月度資產配置'!$F$4:$F$263,'月度資產配置'!$A$4:$A$263,$A$6,'月度資產配置'!$C$4:$C$263,"新制",'月度資產配置'!$D$4:$D$263,"短期票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0.025600000000000005</x:v>
      </x:c>
      <x:c r="X14" t="str">
        <x:v>短期票券</x:v>
      </x:c>
      <x:c r="Y14" s="50" t="n">
        <x:f>IFERROR(SUMIFS('月度資產配置'!$F$4:$F$263,'月度資產配置'!$A$4:$A$263,$A$6,'月度資產配置'!$C$4:$C$263,"舊制",'月度資產配置'!$D$4:$D$263,"短期票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0.061200000000000004</x:v>
      </x:c>
      <x:c r="Z14" t="str">
        <x:v>短期票券</x:v>
      </x:c>
      <x:c r="AA14" s="50" t="n">
        <x:f>IFERROR(SUMIFS('月度資產配置'!$F$4:$F$263,'月度資產配置'!$A$4:$A$263,$A$6,'月度資產配置'!$C$4:$C$263,"勞工保險",'月度資產配置'!$D$4:$D$263,"短期票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0.026099999999999998</x:v>
      </x:c>
      <x:c r="AB14" t="str">
        <x:v>短期票券</x:v>
      </x:c>
      <x:c r="AC14" s="50" t="n">
        <x:f>IFERROR(SUMIFS('月度資產配置'!$F$4:$F$263,'月度資產配置'!$A$4:$A$263,$A$6,'月度資產配置'!$C$4:$C$263,"國民年金",'月度資產配置'!$D$4:$D$263,"短期票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0.0174</x:v>
      </x:c>
      <x:c r="AD14" t="str">
        <x:v>短期票券</x:v>
      </x:c>
      <x:c r="AE14" s="50" t="n">
        <x:f>IFERROR(SUMIFS('月度資產配置'!$F$4:$F$263,'月度資產配置'!$A$4:$A$263,$A$6,'月度資產配置'!$D$4:$D$263,"短期票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0.032575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公債、公司債、金融債券及特別股</x:v>
      </x:c>
      <x:c r="W15" s="50" t="n">
        <x:f>IFERROR(SUMIFS('月度資產配置'!$F$4:$F$263,'月度資產配置'!$A$4:$A$263,$A$6,'月度資產配置'!$C$4:$C$263,"新制",'月度資產配置'!$D$4:$D$263,"公債、公司債、金融債券及特別股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0.042100000000000005</x:v>
      </x:c>
      <x:c r="X15" t="str">
        <x:v>公債、公司債、金融債券及特別股</x:v>
      </x:c>
      <x:c r="Y15" s="50" t="n">
        <x:f>IFERROR(SUMIFS('月度資產配置'!$F$4:$F$263,'月度資產配置'!$A$4:$A$263,$A$6,'月度資產配置'!$C$4:$C$263,"舊制",'月度資產配置'!$D$4:$D$263,"公債、公司債、金融債券及特別股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公債、公司債、金融債券及特別股</x:v>
      </x:c>
      <x:c r="AA15" s="50" t="n">
        <x:f>IFERROR(SUMIFS('月度資產配置'!$F$4:$F$263,'月度資產配置'!$A$4:$A$263,$A$6,'月度資產配置'!$C$4:$C$263,"勞工保險",'月度資產配置'!$D$4:$D$263,"公債、公司債、金融債券及特別股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0.043899999999999995</x:v>
      </x:c>
      <x:c r="AB15" t="str">
        <x:v>公債、公司債、金融債券及特別股</x:v>
      </x:c>
      <x:c r="AC15" s="50" t="n">
        <x:f>IFERROR(SUMIFS('月度資產配置'!$F$4:$F$263,'月度資產配置'!$A$4:$A$263,$A$6,'月度資產配置'!$C$4:$C$263,"國民年金",'月度資產配置'!$D$4:$D$263,"公債、公司債、金融債券及特別股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0.0691</x:v>
      </x:c>
      <x:c r="AD15" t="str">
        <x:v>公債、公司債、金融債券及特別股</x:v>
      </x:c>
      <x:c r="AE15" s="50" t="n">
        <x:f>IFERROR(SUMIFS('月度資產配置'!$F$4:$F$263,'月度資產配置'!$A$4:$A$263,$A$6,'月度資產配置'!$D$4:$D$263,"公債、公司債、金融債券及特別股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0.038775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公債、金融債券、公司債及證券化商品</x:v>
      </x:c>
      <x:c r="W16" s="50" t="n">
        <x:f>IFERROR(SUMIFS('月度資產配置'!$F$4:$F$263,'月度資產配置'!$A$4:$A$263,$A$6,'月度資產配置'!$C$4:$C$263,"新制",'月度資產配置'!$D$4:$D$263,"公債、金融債券、公司債及證券化商品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6" t="str">
        <x:v>公債、金融債券、公司債及證券化商品</x:v>
      </x:c>
      <x:c r="Y16" s="50" t="n">
        <x:f>IFERROR(SUMIFS('月度資產配置'!$F$4:$F$263,'月度資產配置'!$A$4:$A$263,$A$6,'月度資產配置'!$C$4:$C$263,"舊制",'月度資產配置'!$D$4:$D$263,"公債、金融債券、公司債及證券化商品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0.0724</x:v>
      </x:c>
      <x:c r="Z16" t="str">
        <x:v>公債、金融債券、公司債及證券化商品</x:v>
      </x:c>
      <x:c r="AA16" s="50" t="n">
        <x:f>IFERROR(SUMIFS('月度資產配置'!$F$4:$F$263,'月度資產配置'!$A$4:$A$263,$A$6,'月度資產配置'!$C$4:$C$263,"勞工保險",'月度資產配置'!$D$4:$D$263,"公債、金融債券、公司債及證券化商品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</x:v>
      </x:c>
      <x:c r="AB16" t="str">
        <x:v>公債、金融債券、公司債及證券化商品</x:v>
      </x:c>
      <x:c r="AC16" s="50" t="n">
        <x:f>IFERROR(SUMIFS('月度資產配置'!$F$4:$F$263,'月度資產配置'!$A$4:$A$263,$A$6,'月度資產配置'!$C$4:$C$263,"國民年金",'月度資產配置'!$D$4:$D$263,"公債、金融債券、公司債及證券化商品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6" t="str">
        <x:v>公債、金融債券、公司債及證券化商品</x:v>
      </x:c>
      <x:c r="AE16" s="50" t="n">
        <x:f>IFERROR(SUMIFS('月度資產配置'!$F$4:$F$263,'月度資產配置'!$A$4:$A$263,$A$6,'月度資產配置'!$D$4:$D$263,"公債、金融債券、公司債及證券化商品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0.0181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房屋及土地</x:v>
      </x:c>
      <x:c r="W17" s="50" t="n">
        <x:f>IFERROR(SUMIFS('月度資產配置'!$F$4:$F$263,'月度資產配置'!$A$4:$A$263,$A$6,'月度資產配置'!$C$4:$C$263,"新制",'月度資產配置'!$D$4:$D$263,"房屋及土地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7" t="str">
        <x:v>房屋及土地</x:v>
      </x:c>
      <x:c r="Y17" s="50" t="n">
        <x:f>IFERROR(SUMIFS('月度資產配置'!$F$4:$F$263,'月度資產配置'!$A$4:$A$263,$A$6,'月度資產配置'!$C$4:$C$263,"舊制",'月度資產配置'!$D$4:$D$263,"房屋及土地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7" t="str">
        <x:v>房屋及土地</x:v>
      </x:c>
      <x:c r="AA17" s="50" t="n">
        <x:f>IFERROR(SUMIFS('月度資產配置'!$F$4:$F$263,'月度資產配置'!$A$4:$A$263,$A$6,'月度資產配置'!$C$4:$C$263,"勞工保險",'月度資產配置'!$D$4:$D$263,"房屋及土地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0.0009</x:v>
      </x:c>
      <x:c r="AB17" t="str">
        <x:v>房屋及土地</x:v>
      </x:c>
      <x:c r="AC17" s="50" t="n">
        <x:f>IFERROR(SUMIFS('月度資產配置'!$F$4:$F$263,'月度資產配置'!$A$4:$A$263,$A$6,'月度資產配置'!$C$4:$C$263,"國民年金",'月度資產配置'!$D$4:$D$263,"房屋及土地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7" t="str">
        <x:v>房屋及土地</x:v>
      </x:c>
      <x:c r="AE17" s="50" t="n">
        <x:f>IFERROR(SUMIFS('月度資產配置'!$F$4:$F$263,'月度資產配置'!$A$4:$A$263,$A$6,'月度資產配置'!$D$4:$D$263,"房屋及土地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0.000225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政府或公營事業貸款</x:v>
      </x:c>
      <x:c r="W18" s="50" t="n">
        <x:f>IFERROR(SUMIFS('月度資產配置'!$F$4:$F$263,'月度資產配置'!$A$4:$A$263,$A$6,'月度資產配置'!$C$4:$C$263,"新制",'月度資產配置'!$D$4:$D$263,"政府或公營事業貸款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8" t="str">
        <x:v>政府或公營事業貸款</x:v>
      </x:c>
      <x:c r="Y18" s="50" t="n">
        <x:f>IFERROR(SUMIFS('月度資產配置'!$F$4:$F$263,'月度資產配置'!$A$4:$A$263,$A$6,'月度資產配置'!$C$4:$C$263,"舊制",'月度資產配置'!$D$4:$D$263,"政府或公營事業貸款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8" t="str">
        <x:v>政府或公營事業貸款</x:v>
      </x:c>
      <x:c r="AA18" s="50" t="n">
        <x:f>IFERROR(SUMIFS('月度資產配置'!$F$4:$F$263,'月度資產配置'!$A$4:$A$263,$A$6,'月度資產配置'!$C$4:$C$263,"勞工保險",'月度資產配置'!$D$4:$D$263,"政府或公營事業貸款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0.0005</x:v>
      </x:c>
      <x:c r="AB18" t="str">
        <x:v>政府或公營事業貸款</x:v>
      </x:c>
      <x:c r="AC18" s="50" t="n">
        <x:f>IFERROR(SUMIFS('月度資產配置'!$F$4:$F$263,'月度資產配置'!$A$4:$A$263,$A$6,'月度資產配置'!$C$4:$C$263,"國民年金",'月度資產配置'!$D$4:$D$263,"政府或公營事業貸款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8" t="str">
        <x:v>政府或公營事業貸款</x:v>
      </x:c>
      <x:c r="AE18" s="50" t="n">
        <x:f>IFERROR(SUMIFS('月度資產配置'!$F$4:$F$263,'月度資產配置'!$A$4:$A$263,$A$6,'月度資產配置'!$D$4:$D$263,"政府或公營事業貸款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0.000125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被保險人貸款</x:v>
      </x:c>
      <x:c r="W19" s="50" t="n">
        <x:f>IFERROR(SUMIFS('月度資產配置'!$F$4:$F$263,'月度資產配置'!$A$4:$A$263,$A$6,'月度資產配置'!$C$4:$C$263,"新制",'月度資產配置'!$D$4:$D$263,"被保險人貸款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9" t="str">
        <x:v>被保險人貸款</x:v>
      </x:c>
      <x:c r="Y19" s="50" t="n">
        <x:f>IFERROR(SUMIFS('月度資產配置'!$F$4:$F$263,'月度資產配置'!$A$4:$A$263,$A$6,'月度資產配置'!$C$4:$C$263,"舊制",'月度資產配置'!$D$4:$D$263,"被保險人貸款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9" t="str">
        <x:v>被保險人貸款</x:v>
      </x:c>
      <x:c r="AA19" s="50" t="n">
        <x:f>IFERROR(SUMIFS('月度資產配置'!$F$4:$F$263,'月度資產配置'!$A$4:$A$263,$A$6,'月度資產配置'!$C$4:$C$263,"勞工保險",'月度資產配置'!$D$4:$D$263,"被保險人貸款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0.020499999999999997</x:v>
      </x:c>
      <x:c r="AB19" t="str">
        <x:v>被保險人貸款</x:v>
      </x:c>
      <x:c r="AC19" s="50" t="n">
        <x:f>IFERROR(SUMIFS('月度資產配置'!$F$4:$F$263,'月度資產配置'!$A$4:$A$263,$A$6,'月度資產配置'!$C$4:$C$263,"國民年金",'月度資產配置'!$D$4:$D$263,"被保險人貸款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9" t="str">
        <x:v>被保險人貸款</x:v>
      </x:c>
      <x:c r="AE19" s="50" t="n">
        <x:f>IFERROR(SUMIFS('月度資產配置'!$F$4:$F$263,'月度資產配置'!$A$4:$A$263,$A$6,'月度資產配置'!$D$4:$D$263,"被保險人貸款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0.005124999999999999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  <x:c r="V20" t="str">
        <x:v>股票及受益憑證投資（含期貨）</x:v>
      </x:c>
      <x:c r="W20" s="50" t="n">
        <x:f>IFERROR(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0.0522</x:v>
      </x:c>
      <x:c r="X20" t="str">
        <x:v>股票及受益憑證投資（含期貨）</x:v>
      </x:c>
      <x:c r="Y20" s="50" t="n">
        <x:f>IFERROR(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0.0721</x:v>
      </x:c>
      <x:c r="Z20" t="str">
        <x:v>股票及受益憑證投資（含期貨）</x:v>
      </x:c>
      <x:c r="AA20" s="50" t="n">
        <x:f>IFERROR(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0.3098</x:v>
      </x:c>
      <x:c r="AB20" t="str">
        <x:v>股票及受益憑證投資（含期貨）</x:v>
      </x:c>
      <x:c r="AC20" s="50" t="n">
        <x:f>IFERROR(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0.262</x:v>
      </x:c>
      <x:c r="AD20" t="str">
        <x:v>股票及受益憑證投資（含期貨）</x:v>
      </x:c>
      <x:c r="AE20" s="50" t="n">
        <x:f>IFERROR(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0.174025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  <x:c r="V21" t="str">
        <x:v>自行運用-國外-固定收益</x:v>
      </x:c>
      <x:c r="W21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21" t="str">
        <x:v>自行運用-國外-固定收益</x:v>
      </x:c>
      <x:c r="Y21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21" t="str">
        <x:v>自行運用-國外-固定收益</x:v>
      </x:c>
      <x:c r="AA21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21" t="str">
        <x:v>自行運用-國外-固定收益</x:v>
      </x:c>
      <x:c r="AC21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21" t="str">
        <x:v>自行運用-國外-固定收益</x:v>
      </x:c>
      <x:c r="AE21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  <x:c r="V22" t="str">
        <x:v>自行運用-國外-權益證券</x:v>
      </x:c>
      <x:c r="W22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22" t="str">
        <x:v>自行運用-國外-權益證券</x:v>
      </x:c>
      <x:c r="Y22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22" t="str">
        <x:v>自行運用-國外-權益證券</x:v>
      </x:c>
      <x:c r="AA22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22" t="str">
        <x:v>自行運用-國外-權益證券</x:v>
      </x:c>
      <x:c r="AC22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22" t="str">
        <x:v>自行運用-國外-權益證券</x:v>
      </x:c>
      <x:c r="AE22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  <x:c r="V23" t="str">
        <x:v>自行運用-國外-另類投資</x:v>
      </x:c>
      <x:c r="W23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23" t="str">
        <x:v>自行運用-國外-另類投資</x:v>
      </x:c>
      <x:c r="Y23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23" t="str">
        <x:v>自行運用-國外-另類投資</x:v>
      </x:c>
      <x:c r="AA23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23" t="str">
        <x:v>自行運用-國外-另類投資</x:v>
      </x:c>
      <x:c r="AC23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23" t="str">
        <x:v>自行運用-國外-另類投資</x:v>
      </x:c>
      <x:c r="AE23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  <x:c r="V24" t="str">
        <x:v>委託經營-國內-權益證券</x:v>
      </x:c>
      <x:c r="W24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24" t="str">
        <x:v>委託經營-國內-權益證券</x:v>
      </x:c>
      <x:c r="Y24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24" t="str">
        <x:v>委託經營-國內-權益證券</x:v>
      </x:c>
      <x:c r="AA24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24" t="str">
        <x:v>委託經營-國內-權益證券</x:v>
      </x:c>
      <x:c r="AC24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24" t="str">
        <x:v>委託經營-國內-權益證券</x:v>
      </x:c>
      <x:c r="AE24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  <x:c r="V25" t="str">
        <x:v>委託經營-國外-固定收益</x:v>
      </x:c>
      <x:c r="W25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25" t="str">
        <x:v>委託經營-國外-固定收益</x:v>
      </x:c>
      <x:c r="Y25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25" t="str">
        <x:v>委託經營-國外-固定收益</x:v>
      </x:c>
      <x:c r="AA25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25" t="str">
        <x:v>委託經營-國外-固定收益</x:v>
      </x:c>
      <x:c r="AC25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25" t="str">
        <x:v>委託經營-國外-固定收益</x:v>
      </x:c>
      <x:c r="AE25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  <x:c r="V26" t="str">
        <x:v>委託經營-國外-權益證券</x:v>
      </x:c>
      <x:c r="W26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26" t="str">
        <x:v>委託經營-國外-權益證券</x:v>
      </x:c>
      <x:c r="Y26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26" t="str">
        <x:v>委託經營-國外-權益證券</x:v>
      </x:c>
      <x:c r="AA26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26" t="str">
        <x:v>委託經營-國外-權益證券</x:v>
      </x:c>
      <x:c r="AC26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26" t="str">
        <x:v>委託經營-國外-權益證券</x:v>
      </x:c>
      <x:c r="AE26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  <x:c r="V27" t="str">
        <x:v>委託經營-國外-另類投資</x:v>
      </x:c>
      <x:c r="W27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27" t="str">
        <x:v>委託經營-國外-另類投資</x:v>
      </x:c>
      <x:c r="Y27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27" t="str">
        <x:v>委託經營-國外-另類投資</x:v>
      </x:c>
      <x:c r="AA27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27" t="str">
        <x:v>委託經營-國外-另類投資</x:v>
      </x:c>
      <x:c r="AC27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27" t="str">
        <x:v>委託經營-國外-另類投資</x:v>
      </x:c>
      <x:c r="AE27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1f6a7ed608974b4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50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轉存金融機構</x:v>
      </x:c>
      <x:c r="W12" s="50" t="n">
        <x:f>IFERROR(SUMIFS('月度資產配置'!$F$4:$F$263,'月度資產配置'!$A$4:$A$263,$A$6,'月度資產配置'!$C$4:$C$263,"新制",'月度資產配置'!$D$4:$D$263,"轉存金融機構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0.08010000000000002</x:v>
      </x:c>
      <x:c r="X12" t="str">
        <x:v>轉存金融機構</x:v>
      </x:c>
      <x:c r="Y12" s="50" t="n">
        <x:f>IFERROR(SUMIFS('月度資產配置'!$F$4:$F$263,'月度資產配置'!$A$4:$A$263,$A$6,'月度資產配置'!$C$4:$C$263,"舊制",'月度資產配置'!$D$4:$D$263,"轉存金融機構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0.2029</x:v>
      </x:c>
      <x:c r="Z12" t="str">
        <x:v>轉存金融機構</x:v>
      </x:c>
      <x:c r="AA12" s="50" t="n">
        <x:f>IFERROR(SUMIFS('月度資產配置'!$F$4:$F$263,'月度資產配置'!$A$4:$A$263,$A$6,'月度資產配置'!$C$4:$C$263,"勞工保險",'月度資產配置'!$D$4:$D$263,"轉存金融機構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0.0983</x:v>
      </x:c>
      <x:c r="AB12" t="str">
        <x:v>轉存金融機構</x:v>
      </x:c>
      <x:c r="AC12" s="50" t="n">
        <x:f>IFERROR(SUMIFS('月度資產配置'!$F$4:$F$263,'月度資產配置'!$A$4:$A$263,$A$6,'月度資產配置'!$C$4:$C$263,"國民年金",'月度資產配置'!$D$4:$D$263,"轉存金融機構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</x:v>
      </x:c>
      <x:c r="AD12" t="str">
        <x:v>轉存金融機構</x:v>
      </x:c>
      <x:c r="AE12" s="50" t="n">
        <x:f>IFERROR(SUMIFS('月度資產配置'!$F$4:$F$263,'月度資產配置'!$A$4:$A$263,$A$6,'月度資產配置'!$D$4:$D$263,"轉存金融機構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0.107325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政策性貸款</x:v>
      </x:c>
      <x:c r="W13" s="50" t="n">
        <x:f>IFERROR(SUMIFS('月度資產配置'!$F$4:$F$263,'月度資產配置'!$A$4:$A$263,$A$6,'月度資產配置'!$C$4:$C$263,"新制",'月度資產配置'!$D$4:$D$263,"政策性貸款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3" t="str">
        <x:v>政策性貸款</x:v>
      </x:c>
      <x:c r="Y13" s="50" t="n">
        <x:f>IFERROR(SUMIFS('月度資產配置'!$F$4:$F$263,'月度資產配置'!$A$4:$A$263,$A$6,'月度資產配置'!$C$4:$C$263,"舊制",'月度資產配置'!$D$4:$D$263,"政策性貸款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3" t="str">
        <x:v>政策性貸款</x:v>
      </x:c>
      <x:c r="AA13" s="50" t="n">
        <x:f>IFERROR(SUMIFS('月度資產配置'!$F$4:$F$263,'月度資產配置'!$A$4:$A$263,$A$6,'月度資產配置'!$C$4:$C$263,"勞工保險",'月度資產配置'!$D$4:$D$263,"政策性貸款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</x:v>
      </x:c>
      <x:c r="AB13" t="str">
        <x:v>政策性貸款</x:v>
      </x:c>
      <x:c r="AC13" s="50" t="n">
        <x:f>IFERROR(SUMIFS('月度資產配置'!$F$4:$F$263,'月度資產配置'!$A$4:$A$263,$A$6,'月度資產配置'!$C$4:$C$263,"國民年金",'月度資產配置'!$D$4:$D$263,"政策性貸款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3" t="str">
        <x:v>政策性貸款</x:v>
      </x:c>
      <x:c r="AE13" s="50" t="n">
        <x:f>IFERROR(SUMIFS('月度資產配置'!$F$4:$F$263,'月度資產配置'!$A$4:$A$263,$A$6,'月度資產配置'!$D$4:$D$263,"政策性貸款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短期票券</x:v>
      </x:c>
      <x:c r="W14" s="50" t="n">
        <x:f>IFERROR(SUMIFS('月度資產配置'!$F$4:$F$263,'月度資產配置'!$A$4:$A$263,$A$6,'月度資產配置'!$C$4:$C$263,"新制",'月度資產配置'!$D$4:$D$263,"短期票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0.025600000000000005</x:v>
      </x:c>
      <x:c r="X14" t="str">
        <x:v>短期票券</x:v>
      </x:c>
      <x:c r="Y14" s="50" t="n">
        <x:f>IFERROR(SUMIFS('月度資產配置'!$F$4:$F$263,'月度資產配置'!$A$4:$A$263,$A$6,'月度資產配置'!$C$4:$C$263,"舊制",'月度資產配置'!$D$4:$D$263,"短期票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0.061200000000000004</x:v>
      </x:c>
      <x:c r="Z14" t="str">
        <x:v>短期票券</x:v>
      </x:c>
      <x:c r="AA14" s="50" t="n">
        <x:f>IFERROR(SUMIFS('月度資產配置'!$F$4:$F$263,'月度資產配置'!$A$4:$A$263,$A$6,'月度資產配置'!$C$4:$C$263,"勞工保險",'月度資產配置'!$D$4:$D$263,"短期票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0.026099999999999998</x:v>
      </x:c>
      <x:c r="AB14" t="str">
        <x:v>短期票券</x:v>
      </x:c>
      <x:c r="AC14" s="50" t="n">
        <x:f>IFERROR(SUMIFS('月度資產配置'!$F$4:$F$263,'月度資產配置'!$A$4:$A$263,$A$6,'月度資產配置'!$C$4:$C$263,"國民年金",'月度資產配置'!$D$4:$D$263,"短期票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0.0174</x:v>
      </x:c>
      <x:c r="AD14" t="str">
        <x:v>短期票券</x:v>
      </x:c>
      <x:c r="AE14" s="50" t="n">
        <x:f>IFERROR(SUMIFS('月度資產配置'!$F$4:$F$263,'月度資產配置'!$A$4:$A$263,$A$6,'月度資產配置'!$D$4:$D$263,"短期票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0.032575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公債、公司債、金融債券及特別股</x:v>
      </x:c>
      <x:c r="W15" s="50" t="n">
        <x:f>IFERROR(SUMIFS('月度資產配置'!$F$4:$F$263,'月度資產配置'!$A$4:$A$263,$A$6,'月度資產配置'!$C$4:$C$263,"新制",'月度資產配置'!$D$4:$D$263,"公債、公司債、金融債券及特別股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0.042100000000000005</x:v>
      </x:c>
      <x:c r="X15" t="str">
        <x:v>公債、公司債、金融債券及特別股</x:v>
      </x:c>
      <x:c r="Y15" s="50" t="n">
        <x:f>IFERROR(SUMIFS('月度資產配置'!$F$4:$F$263,'月度資產配置'!$A$4:$A$263,$A$6,'月度資產配置'!$C$4:$C$263,"舊制",'月度資產配置'!$D$4:$D$263,"公債、公司債、金融債券及特別股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公債、公司債、金融債券及特別股</x:v>
      </x:c>
      <x:c r="AA15" s="50" t="n">
        <x:f>IFERROR(SUMIFS('月度資產配置'!$F$4:$F$263,'月度資產配置'!$A$4:$A$263,$A$6,'月度資產配置'!$C$4:$C$263,"勞工保險",'月度資產配置'!$D$4:$D$263,"公債、公司債、金融債券及特別股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0.043899999999999995</x:v>
      </x:c>
      <x:c r="AB15" t="str">
        <x:v>公債、公司債、金融債券及特別股</x:v>
      </x:c>
      <x:c r="AC15" s="50" t="n">
        <x:f>IFERROR(SUMIFS('月度資產配置'!$F$4:$F$263,'月度資產配置'!$A$4:$A$263,$A$6,'月度資產配置'!$C$4:$C$263,"國民年金",'月度資產配置'!$D$4:$D$263,"公債、公司債、金融債券及特別股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0.0691</x:v>
      </x:c>
      <x:c r="AD15" t="str">
        <x:v>公債、公司債、金融債券及特別股</x:v>
      </x:c>
      <x:c r="AE15" s="50" t="n">
        <x:f>IFERROR(SUMIFS('月度資產配置'!$F$4:$F$263,'月度資產配置'!$A$4:$A$263,$A$6,'月度資產配置'!$D$4:$D$263,"公債、公司債、金融債券及特別股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0.038775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公債、金融債券、公司債及證券化商品</x:v>
      </x:c>
      <x:c r="W16" s="50" t="n">
        <x:f>IFERROR(SUMIFS('月度資產配置'!$F$4:$F$263,'月度資產配置'!$A$4:$A$263,$A$6,'月度資產配置'!$C$4:$C$263,"新制",'月度資產配置'!$D$4:$D$263,"公債、金融債券、公司債及證券化商品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6" t="str">
        <x:v>公債、金融債券、公司債及證券化商品</x:v>
      </x:c>
      <x:c r="Y16" s="50" t="n">
        <x:f>IFERROR(SUMIFS('月度資產配置'!$F$4:$F$263,'月度資產配置'!$A$4:$A$263,$A$6,'月度資產配置'!$C$4:$C$263,"舊制",'月度資產配置'!$D$4:$D$263,"公債、金融債券、公司債及證券化商品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0.0724</x:v>
      </x:c>
      <x:c r="Z16" t="str">
        <x:v>公債、金融債券、公司債及證券化商品</x:v>
      </x:c>
      <x:c r="AA16" s="50" t="n">
        <x:f>IFERROR(SUMIFS('月度資產配置'!$F$4:$F$263,'月度資產配置'!$A$4:$A$263,$A$6,'月度資產配置'!$C$4:$C$263,"勞工保險",'月度資產配置'!$D$4:$D$263,"公債、金融債券、公司債及證券化商品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</x:v>
      </x:c>
      <x:c r="AB16" t="str">
        <x:v>公債、金融債券、公司債及證券化商品</x:v>
      </x:c>
      <x:c r="AC16" s="50" t="n">
        <x:f>IFERROR(SUMIFS('月度資產配置'!$F$4:$F$263,'月度資產配置'!$A$4:$A$263,$A$6,'月度資產配置'!$C$4:$C$263,"國民年金",'月度資產配置'!$D$4:$D$263,"公債、金融債券、公司債及證券化商品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6" t="str">
        <x:v>公債、金融債券、公司債及證券化商品</x:v>
      </x:c>
      <x:c r="AE16" s="50" t="n">
        <x:f>IFERROR(SUMIFS('月度資產配置'!$F$4:$F$263,'月度資產配置'!$A$4:$A$263,$A$6,'月度資產配置'!$D$4:$D$263,"公債、金融債券、公司債及證券化商品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0.0181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房屋及土地</x:v>
      </x:c>
      <x:c r="W17" s="50" t="n">
        <x:f>IFERROR(SUMIFS('月度資產配置'!$F$4:$F$263,'月度資產配置'!$A$4:$A$263,$A$6,'月度資產配置'!$C$4:$C$263,"新制",'月度資產配置'!$D$4:$D$263,"房屋及土地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7" t="str">
        <x:v>房屋及土地</x:v>
      </x:c>
      <x:c r="Y17" s="50" t="n">
        <x:f>IFERROR(SUMIFS('月度資產配置'!$F$4:$F$263,'月度資產配置'!$A$4:$A$263,$A$6,'月度資產配置'!$C$4:$C$263,"舊制",'月度資產配置'!$D$4:$D$263,"房屋及土地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7" t="str">
        <x:v>房屋及土地</x:v>
      </x:c>
      <x:c r="AA17" s="50" t="n">
        <x:f>IFERROR(SUMIFS('月度資產配置'!$F$4:$F$263,'月度資產配置'!$A$4:$A$263,$A$6,'月度資產配置'!$C$4:$C$263,"勞工保險",'月度資產配置'!$D$4:$D$263,"房屋及土地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0.0009</x:v>
      </x:c>
      <x:c r="AB17" t="str">
        <x:v>房屋及土地</x:v>
      </x:c>
      <x:c r="AC17" s="50" t="n">
        <x:f>IFERROR(SUMIFS('月度資產配置'!$F$4:$F$263,'月度資產配置'!$A$4:$A$263,$A$6,'月度資產配置'!$C$4:$C$263,"國民年金",'月度資產配置'!$D$4:$D$263,"房屋及土地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7" t="str">
        <x:v>房屋及土地</x:v>
      </x:c>
      <x:c r="AE17" s="50" t="n">
        <x:f>IFERROR(SUMIFS('月度資產配置'!$F$4:$F$263,'月度資產配置'!$A$4:$A$263,$A$6,'月度資產配置'!$D$4:$D$263,"房屋及土地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0.000225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政府或公營事業貸款</x:v>
      </x:c>
      <x:c r="W18" s="50" t="n">
        <x:f>IFERROR(SUMIFS('月度資產配置'!$F$4:$F$263,'月度資產配置'!$A$4:$A$263,$A$6,'月度資產配置'!$C$4:$C$263,"新制",'月度資產配置'!$D$4:$D$263,"政府或公營事業貸款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8" t="str">
        <x:v>政府或公營事業貸款</x:v>
      </x:c>
      <x:c r="Y18" s="50" t="n">
        <x:f>IFERROR(SUMIFS('月度資產配置'!$F$4:$F$263,'月度資產配置'!$A$4:$A$263,$A$6,'月度資產配置'!$C$4:$C$263,"舊制",'月度資產配置'!$D$4:$D$263,"政府或公營事業貸款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8" t="str">
        <x:v>政府或公營事業貸款</x:v>
      </x:c>
      <x:c r="AA18" s="50" t="n">
        <x:f>IFERROR(SUMIFS('月度資產配置'!$F$4:$F$263,'月度資產配置'!$A$4:$A$263,$A$6,'月度資產配置'!$C$4:$C$263,"勞工保險",'月度資產配置'!$D$4:$D$263,"政府或公營事業貸款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0.0005</x:v>
      </x:c>
      <x:c r="AB18" t="str">
        <x:v>政府或公營事業貸款</x:v>
      </x:c>
      <x:c r="AC18" s="50" t="n">
        <x:f>IFERROR(SUMIFS('月度資產配置'!$F$4:$F$263,'月度資產配置'!$A$4:$A$263,$A$6,'月度資產配置'!$C$4:$C$263,"國民年金",'月度資產配置'!$D$4:$D$263,"政府或公營事業貸款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8" t="str">
        <x:v>政府或公營事業貸款</x:v>
      </x:c>
      <x:c r="AE18" s="50" t="n">
        <x:f>IFERROR(SUMIFS('月度資產配置'!$F$4:$F$263,'月度資產配置'!$A$4:$A$263,$A$6,'月度資產配置'!$D$4:$D$263,"政府或公營事業貸款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0.000125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被保險人貸款</x:v>
      </x:c>
      <x:c r="W19" s="50" t="n">
        <x:f>IFERROR(SUMIFS('月度資產配置'!$F$4:$F$263,'月度資產配置'!$A$4:$A$263,$A$6,'月度資產配置'!$C$4:$C$263,"新制",'月度資產配置'!$D$4:$D$263,"被保險人貸款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</x:v>
      </x:c>
      <x:c r="X19" t="str">
        <x:v>被保險人貸款</x:v>
      </x:c>
      <x:c r="Y19" s="50" t="n">
        <x:f>IFERROR(SUMIFS('月度資產配置'!$F$4:$F$263,'月度資產配置'!$A$4:$A$263,$A$6,'月度資產配置'!$C$4:$C$263,"舊制",'月度資產配置'!$D$4:$D$263,"被保險人貸款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9" t="str">
        <x:v>被保險人貸款</x:v>
      </x:c>
      <x:c r="AA19" s="50" t="n">
        <x:f>IFERROR(SUMIFS('月度資產配置'!$F$4:$F$263,'月度資產配置'!$A$4:$A$263,$A$6,'月度資產配置'!$C$4:$C$263,"勞工保險",'月度資產配置'!$D$4:$D$263,"被保險人貸款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0.020499999999999997</x:v>
      </x:c>
      <x:c r="AB19" t="str">
        <x:v>被保險人貸款</x:v>
      </x:c>
      <x:c r="AC19" s="50" t="n">
        <x:f>IFERROR(SUMIFS('月度資產配置'!$F$4:$F$263,'月度資產配置'!$A$4:$A$263,$A$6,'月度資產配置'!$C$4:$C$263,"國民年金",'月度資產配置'!$D$4:$D$263,"被保險人貸款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</x:v>
      </x:c>
      <x:c r="AD19" t="str">
        <x:v>被保險人貸款</x:v>
      </x:c>
      <x:c r="AE19" s="50" t="n">
        <x:f>IFERROR(SUMIFS('月度資產配置'!$F$4:$F$263,'月度資產配置'!$A$4:$A$263,$A$6,'月度資產配置'!$D$4:$D$263,"被保險人貸款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0.005124999999999999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  <x:c r="V20" t="str">
        <x:v>股票及受益憑證投資（含期貨）</x:v>
      </x:c>
      <x:c r="W20" s="50" t="n">
        <x:f>IFERROR(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0.0522</x:v>
      </x:c>
      <x:c r="X20" t="str">
        <x:v>股票及受益憑證投資（含期貨）</x:v>
      </x:c>
      <x:c r="Y20" s="50" t="n">
        <x:f>IFERROR(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0.0721</x:v>
      </x:c>
      <x:c r="Z20" t="str">
        <x:v>股票及受益憑證投資（含期貨）</x:v>
      </x:c>
      <x:c r="AA20" s="50" t="n">
        <x:f>IFERROR(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0.3098</x:v>
      </x:c>
      <x:c r="AB20" t="str">
        <x:v>股票及受益憑證投資（含期貨）</x:v>
      </x:c>
      <x:c r="AC20" s="50" t="n">
        <x:f>IFERROR(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0.262</x:v>
      </x:c>
      <x:c r="AD20" t="str">
        <x:v>股票及受益憑證投資（含期貨）</x:v>
      </x:c>
      <x:c r="AE20" s="50" t="n">
        <x:f>IFERROR(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0.174025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  <x:c r="V21" t="str">
        <x:v>自行運用-國外-固定收益</x:v>
      </x:c>
      <x:c r="W21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21" t="str">
        <x:v>自行運用-國外-固定收益</x:v>
      </x:c>
      <x:c r="Y21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21" t="str">
        <x:v>自行運用-國外-固定收益</x:v>
      </x:c>
      <x:c r="AA21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21" t="str">
        <x:v>自行運用-國外-固定收益</x:v>
      </x:c>
      <x:c r="AC21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21" t="str">
        <x:v>自行運用-國外-固定收益</x:v>
      </x:c>
      <x:c r="AE21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  <x:c r="V22" t="str">
        <x:v>自行運用-國外-權益證券</x:v>
      </x:c>
      <x:c r="W22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22" t="str">
        <x:v>自行運用-國外-權益證券</x:v>
      </x:c>
      <x:c r="Y22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22" t="str">
        <x:v>自行運用-國外-權益證券</x:v>
      </x:c>
      <x:c r="AA22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22" t="str">
        <x:v>自行運用-國外-權益證券</x:v>
      </x:c>
      <x:c r="AC22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22" t="str">
        <x:v>自行運用-國外-權益證券</x:v>
      </x:c>
      <x:c r="AE22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  <x:c r="V23" t="str">
        <x:v>自行運用-國外-另類投資</x:v>
      </x:c>
      <x:c r="W23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23" t="str">
        <x:v>自行運用-國外-另類投資</x:v>
      </x:c>
      <x:c r="Y23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23" t="str">
        <x:v>自行運用-國外-另類投資</x:v>
      </x:c>
      <x:c r="AA23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23" t="str">
        <x:v>自行運用-國外-另類投資</x:v>
      </x:c>
      <x:c r="AC23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23" t="str">
        <x:v>自行運用-國外-另類投資</x:v>
      </x:c>
      <x:c r="AE23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  <x:c r="V24" t="str">
        <x:v>委託經營-國內-權益證券</x:v>
      </x:c>
      <x:c r="W24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24" t="str">
        <x:v>委託經營-國內-權益證券</x:v>
      </x:c>
      <x:c r="Y24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24" t="str">
        <x:v>委託經營-國內-權益證券</x:v>
      </x:c>
      <x:c r="AA24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24" t="str">
        <x:v>委託經營-國內-權益證券</x:v>
      </x:c>
      <x:c r="AC24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24" t="str">
        <x:v>委託經營-國內-權益證券</x:v>
      </x:c>
      <x:c r="AE24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  <x:c r="V25" t="str">
        <x:v>委託經營-國外-固定收益</x:v>
      </x:c>
      <x:c r="W25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25" t="str">
        <x:v>委託經營-國外-固定收益</x:v>
      </x:c>
      <x:c r="Y25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25" t="str">
        <x:v>委託經營-國外-固定收益</x:v>
      </x:c>
      <x:c r="AA25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25" t="str">
        <x:v>委託經營-國外-固定收益</x:v>
      </x:c>
      <x:c r="AC25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25" t="str">
        <x:v>委託經營-國外-固定收益</x:v>
      </x:c>
      <x:c r="AE25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  <x:c r="V26" t="str">
        <x:v>委託經營-國外-權益證券</x:v>
      </x:c>
      <x:c r="W26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26" t="str">
        <x:v>委託經營-國外-權益證券</x:v>
      </x:c>
      <x:c r="Y26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26" t="str">
        <x:v>委託經營-國外-權益證券</x:v>
      </x:c>
      <x:c r="AA26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26" t="str">
        <x:v>委託經營-國外-權益證券</x:v>
      </x:c>
      <x:c r="AC26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26" t="str">
        <x:v>委託經營-國外-權益證券</x:v>
      </x:c>
      <x:c r="AE26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  <x:c r="V27" t="str">
        <x:v>委託經營-國外-另類投資</x:v>
      </x:c>
      <x:c r="W27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27" t="str">
        <x:v>委託經營-國外-另類投資</x:v>
      </x:c>
      <x:c r="Y27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27" t="str">
        <x:v>委託經營-國外-另類投資</x:v>
      </x:c>
      <x:c r="AA27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27" t="str">
        <x:v>委託經營-國外-另類投資</x:v>
      </x:c>
      <x:c r="AC27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27" t="str">
        <x:v>委託經營-國外-另類投資</x:v>
      </x:c>
      <x:c r="AE27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68f018aaa4f94ad0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.88999938964844" hidden="0" customWidth="1"/>
    <x:col min="2" max="2" width="7.440000057220459" hidden="0" customWidth="1"/>
    <x:col min="3" max="3" width="7.110000133514404" hidden="0" customWidth="1"/>
    <x:col min="4" max="4" width="28" hidden="0" customWidth="1"/>
    <x:col min="5" max="5" width="14.109999656677246" hidden="0" customWidth="1"/>
    <x:col min="6" max="6" width="14.329999923706055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74e78f0887e1484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1.779999732971191" hidden="0" customWidth="1"/>
    <x:col min="8" max="8" width="12.77999973297119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d45515c2be7a4ac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1.560001373291016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38" hidden="0" customWidth="1"/>
    <x:col min="6" max="6" width="14.670000076293945" hidden="0" customWidth="1"/>
    <x:col min="7" max="7" width="10.890000343322754" hidden="0" customWidth="1"/>
    <x:col min="8" max="8" width="11" hidden="0" customWidth="1"/>
    <x:col min="9" max="9" width="16.670000076293945" hidden="0" customWidth="1"/>
    <x:col min="10" max="10" width="9.329999923706055" hidden="0" customWidth="1"/>
    <x:col min="11" max="11" width="7.110000133514404" hidden="0" customWidth="1"/>
    <x:col min="12" max="12" width="17.670000076293945" hidden="0" customWidth="1"/>
    <x:col min="13" max="13" width="22.670000076293945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瑞銀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信安環球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瑞銀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安聯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野村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2cf4438ae6a0444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.439998626708984" hidden="0" customWidth="1"/>
    <x:col min="2" max="2" width="7.440000057220459" hidden="0" customWidth="1"/>
    <x:col min="3" max="3" width="7.110000133514404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.329999923706055" hidden="0" customWidth="1"/>
    <x:col min="9" max="9" width="22.670000076293945" hidden="0" customWidth="1"/>
    <x:col min="10" max="10" width="7.110000133514404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12862eef213a4ea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780000686645508" hidden="0" customWidth="1"/>
    <x:col min="4" max="4" width="17.110000610351562" hidden="0" customWidth="1"/>
    <x:col min="5" max="5" width="3.7799999713897705" hidden="0" customWidth="1"/>
    <x:col min="6" max="6" width="5.440000057220459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7.110000610351562" hidden="0" customWidth="1"/>
    <x:col min="11" max="11" width="3.7799999713897705" hidden="0" customWidth="1"/>
    <x:col min="12" max="12" width="5.440000057220459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IFERROR(I9/SUM($I$9:$I$58),0)</x:f>
        <x:v>0.1425863938130672</x:v>
      </x:c>
      <x:c r="K9" s="28" t="n">
        <x:f>RANK(I9,$I$9:$I$58,0)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IFERROR(I10/SUM($I$9:$I$58),0)</x:f>
        <x:v>0.09813994841568788</x:v>
      </x:c>
      <x:c r="K10" s="31" t="n">
        <x:f>RANK(I10,$I$9:$I$58,0)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IFERROR(I11/SUM($I$9:$I$58),0)</x:f>
        <x:v>0.0658173479525746</x:v>
      </x:c>
      <x:c r="K11" s="31" t="n">
        <x:f>RANK(I11,$I$9:$I$58,0)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IFERROR(I12/SUM($I$9:$I$58),0)</x:f>
        <x:v>0.05198129730148962</x:v>
      </x:c>
      <x:c r="K12" s="31" t="n">
        <x:f>RANK(I12,$I$9:$I$58,0)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IFERROR(I13/SUM($I$9:$I$58),0)</x:f>
        <x:v>0.04985510490232206</x:v>
      </x:c>
      <x:c r="K13" s="31" t="n">
        <x:f>RANK(I13,$I$9:$I$58,0)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IFERROR(I14/SUM($I$9:$I$58),0)</x:f>
        <x:v>0.04728217040768952</x:v>
      </x:c>
      <x:c r="K14" s="31" t="n">
        <x:f>RANK(I14,$I$9:$I$58,0)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SUM(I19:I58)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IFERROR(I15/SUM($I$9:$I$58),0)</x:f>
        <x:v>0.041707268576776396</x:v>
      </x:c>
      <x:c r="K15" s="31" t="n">
        <x:f>RANK(I15,$I$9:$I$58,0)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IFERROR(I16/SUM($I$9:$I$58),0)</x:f>
        <x:v>0.0390633442383119</x:v>
      </x:c>
      <x:c r="K16" s="31" t="n">
        <x:f>RANK(I16,$I$9:$I$58,0)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IFERROR(I17/SUM($I$9:$I$58),0)</x:f>
        <x:v>0.03877277801889003</x:v>
      </x:c>
      <x:c r="K17" s="31" t="n">
        <x:f>RANK(I17,$I$9:$I$58,0)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IFERROR(I18/SUM($I$9:$I$58),0)</x:f>
        <x:v>0.03265450709707709</x:v>
      </x:c>
      <x:c r="K18" s="31" t="n">
        <x:f>RANK(I18,$I$9:$I$58,0)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IFERROR(I19/SUM($I$9:$I$58),0)</x:f>
        <x:v>0.028196924357274576</x:v>
      </x:c>
      <x:c r="K19" s="31" t="n">
        <x:f>RANK(I19,$I$9:$I$58,0)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IFERROR(I20/SUM($I$9:$I$58),0)</x:f>
        <x:v>0.02773664317707005</x:v>
      </x:c>
      <x:c r="K20" s="31" t="n">
        <x:f>RANK(I20,$I$9:$I$58,0)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IFERROR(I21/SUM($I$9:$I$58),0)</x:f>
        <x:v>0.024308666913996812</x:v>
      </x:c>
      <x:c r="K21" s="31" t="n">
        <x:f>RANK(I21,$I$9:$I$58,0)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IFERROR(I22/SUM($I$9:$I$58),0)</x:f>
        <x:v>0.024260201503502884</x:v>
      </x:c>
      <x:c r="K22" s="31" t="n">
        <x:f>RANK(I22,$I$9:$I$58,0)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IFERROR(I23/SUM($I$9:$I$58),0)</x:f>
        <x:v>0.023529260688206054</x:v>
      </x:c>
      <x:c r="K23" s="31" t="n">
        <x:f>RANK(I23,$I$9:$I$58,0)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IFERROR(I24/SUM($I$9:$I$58),0)</x:f>
        <x:v>0.02066872267919953</x:v>
      </x:c>
      <x:c r="K24" s="31" t="n">
        <x:f>RANK(I24,$I$9:$I$58,0)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IFERROR(I25/SUM($I$9:$I$58),0)</x:f>
        <x:v>0.019666098114268265</x:v>
      </x:c>
      <x:c r="K25" s="31" t="n">
        <x:f>RANK(I25,$I$9:$I$58,0)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IFERROR(I26/SUM($I$9:$I$58),0)</x:f>
        <x:v>0.019110879114965472</x:v>
      </x:c>
      <x:c r="K26" s="31" t="n">
        <x:f>RANK(I26,$I$9:$I$58,0)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IFERROR(I27/SUM($I$9:$I$58),0)</x:f>
        <x:v>0.014446878972447797</x:v>
      </x:c>
      <x:c r="K27" s="31" t="n">
        <x:f>RANK(I27,$I$9:$I$58,0)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IFERROR(I28/SUM($I$9:$I$58),0)</x:f>
        <x:v>0.013750672143502425</x:v>
      </x:c>
      <x:c r="K28" s="31" t="n">
        <x:f>RANK(I28,$I$9:$I$58,0)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IFERROR(I29/SUM($I$9:$I$58),0)</x:f>
        <x:v>0.013670178215349427</x:v>
      </x:c>
      <x:c r="K29" s="31" t="n">
        <x:f>RANK(I29,$I$9:$I$58,0)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IFERROR(I30/SUM($I$9:$I$58),0)</x:f>
        <x:v>0.013436471420130734</x:v>
      </x:c>
      <x:c r="K30" s="31" t="n">
        <x:f>RANK(I30,$I$9:$I$58,0)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IFERROR(I31/SUM($I$9:$I$58),0)</x:f>
        <x:v>0.011105586058408076</x:v>
      </x:c>
      <x:c r="K31" s="31" t="n">
        <x:f>RANK(I31,$I$9:$I$58,0)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IFERROR(I32/SUM($I$9:$I$58),0)</x:f>
        <x:v>0.01081426468608088</x:v>
      </x:c>
      <x:c r="K32" s="31" t="n">
        <x:f>RANK(I32,$I$9:$I$58,0)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IFERROR(I33/SUM($I$9:$I$58),0)</x:f>
        <x:v>0.01069599957979951</x:v>
      </x:c>
      <x:c r="K33" s="31" t="n">
        <x:f>RANK(I33,$I$9:$I$58,0)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Insight</x:v>
      </x:c>
      <x:c r="H34" s="40" t="n">
        <x:f>SUMIFS('國外委外明細'!$G$4:$G$188,'國外委外明細'!$F$4:$F$188,G34,'國外委外明細'!$A$4:$A$188,$B$4)</x:f>
        <x:v>1229834121</x:v>
      </x:c>
      <x:c r="I34" s="40" t="n">
        <x:f>SUMIFS('國外委外明細'!$H$4:$H$188,'國外委外明細'!$F$4:$F$188,G34,'國外委外明細'!$A$4:$A$188,$B$4)</x:f>
        <x:v>1218224544</x:v>
      </x:c>
      <x:c r="J34" s="43" t="n">
        <x:f>IFERROR(I34/SUM($I$9:$I$58),0)</x:f>
        <x:v>0.009743537151948088</x:v>
      </x:c>
      <x:c r="K34" s="31" t="n">
        <x:f>RANK(I34,$I$9:$I$58,0)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American Century</x:v>
      </x:c>
      <x:c r="H35" s="40" t="n">
        <x:f>SUMIFS('國外委外明細'!$G$4:$G$188,'國外委外明細'!$F$4:$F$188,G35,'國外委外明細'!$A$4:$A$188,$B$4)</x:f>
        <x:v>959838014</x:v>
      </x:c>
      <x:c r="I35" s="40" t="n">
        <x:f>SUMIFS('國外委外明細'!$H$4:$H$188,'國外委外明細'!$F$4:$F$188,G35,'國外委外明細'!$A$4:$A$188,$B$4)</x:f>
        <x:v>1175399124</x:v>
      </x:c>
      <x:c r="J35" s="43" t="n">
        <x:f>IFERROR(I35/SUM($I$9:$I$58),0)</x:f>
        <x:v>0.00940101321178211</x:v>
      </x:c>
      <x:c r="K35" s="31" t="n">
        <x:f>RANK(I35,$I$9:$I$58,0)</x:f>
        <x:v>27</x:v>
      </x:c>
      <x:c r="L35" s="32" t="n">
        <x:f>COUNTIFS('國外委外明細'!$F$4:$F$188,G35,'國外委外明細'!$A$4:$A$188,$B$4,'國外委外明細'!$J$4:$J$188,"&lt;&gt;解約")</x:f>
        <x:v>4</x:v>
      </x:c>
    </x:row>
    <x:row r="36">
      <x:c r="G36" s="30" t="str">
        <x:v>T. Rowe Price</x:v>
      </x:c>
      <x:c r="H36" s="40" t="n">
        <x:f>SUMIFS('國外委外明細'!$G$4:$G$188,'國外委外明細'!$F$4:$F$188,G36,'國外委外明細'!$A$4:$A$188,$B$4)</x:f>
        <x:v>960000000</x:v>
      </x:c>
      <x:c r="I36" s="40" t="n">
        <x:f>SUMIFS('國外委外明細'!$H$4:$H$188,'國外委外明細'!$F$4:$F$188,G36,'國外委外明細'!$A$4:$A$188,$B$4)</x:f>
        <x:v>1142513053</x:v>
      </x:c>
      <x:c r="J36" s="43" t="n">
        <x:f>IFERROR(I36/SUM($I$9:$I$58),0)</x:f>
        <x:v>0.009137985631071913</x:v>
      </x:c>
      <x:c r="K36" s="31" t="n">
        <x:f>RANK(I36,$I$9:$I$58,0)</x:f>
        <x:v>28</x:v>
      </x:c>
      <x:c r="L36" s="32" t="n">
        <x:f>COUNTIFS('國外委外明細'!$F$4:$F$188,G36,'國外委外明細'!$A$4:$A$188,$B$4,'國外委外明細'!$J$4:$J$188,"&lt;&gt;解約")</x:f>
        <x:v>3</x:v>
      </x:c>
    </x:row>
    <x:row r="37">
      <x:c r="G37" s="30" t="str">
        <x:v>Ninety One</x:v>
      </x:c>
      <x:c r="H37" s="40" t="n">
        <x:f>SUMIFS('國外委外明細'!$G$4:$G$188,'國外委外明細'!$F$4:$F$188,G37,'國外委外明細'!$A$4:$A$188,$B$4)</x:f>
        <x:v>900000000</x:v>
      </x:c>
      <x:c r="I37" s="40" t="n">
        <x:f>SUMIFS('國外委外明細'!$H$4:$H$188,'國外委外明細'!$F$4:$F$188,G37,'國外委外明細'!$A$4:$A$188,$B$4)</x:f>
        <x:v>1077267573</x:v>
      </x:c>
      <x:c r="J37" s="43" t="n">
        <x:f>IFERROR(I37/SUM($I$9:$I$58),0)</x:f>
        <x:v>0.008616142788955701</x:v>
      </x:c>
      <x:c r="K37" s="31" t="n">
        <x:f>RANK(I37,$I$9:$I$58,0)</x:f>
        <x:v>29</x:v>
      </x:c>
      <x:c r="L37" s="32" t="n">
        <x:f>COUNTIFS('國外委外明細'!$F$4:$F$188,G37,'國外委外明細'!$A$4:$A$188,$B$4,'國外委外明細'!$J$4:$J$188,"&lt;&gt;解約")</x:f>
        <x:v>2</x:v>
      </x:c>
    </x:row>
    <x:row r="38">
      <x:c r="G38" s="30" t="str">
        <x:v>ClearBridge</x:v>
      </x:c>
      <x:c r="H38" s="40" t="n">
        <x:f>SUMIFS('國外委外明細'!$G$4:$G$188,'國外委外明細'!$F$4:$F$188,G38,'國外委外明細'!$A$4:$A$188,$B$4)</x:f>
        <x:v>760000000</x:v>
      </x:c>
      <x:c r="I38" s="40" t="n">
        <x:f>SUMIFS('國外委外明細'!$H$4:$H$188,'國外委外明細'!$F$4:$F$188,G38,'國外委外明細'!$A$4:$A$188,$B$4)</x:f>
        <x:v>1047858894</x:v>
      </x:c>
      <x:c r="J38" s="43" t="n">
        <x:f>IFERROR(I38/SUM($I$9:$I$58),0)</x:f>
        <x:v>0.00838092789541452</x:v>
      </x:c>
      <x:c r="K38" s="31" t="n">
        <x:f>RANK(I38,$I$9:$I$58,0)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聯博</x:v>
      </x:c>
      <x:c r="H39" s="40" t="n">
        <x:f>SUMIFS('國外委外明細'!$G$4:$G$188,'國外委外明細'!$F$4:$F$188,G39,'國外委外明細'!$A$4:$A$188,$B$4)</x:f>
        <x:v>900495639</x:v>
      </x:c>
      <x:c r="I39" s="40" t="n">
        <x:f>SUMIFS('國外委外明細'!$H$4:$H$188,'國外委外明細'!$F$4:$F$188,G39,'國外委外明細'!$A$4:$A$188,$B$4)</x:f>
        <x:v>897752897</x:v>
      </x:c>
      <x:c r="J39" s="43" t="n">
        <x:f>IFERROR(I39/SUM($I$9:$I$58),0)</x:f>
        <x:v>0.007180358291310641</x:v>
      </x:c>
      <x:c r="K39" s="31" t="n">
        <x:f>RANK(I39,$I$9:$I$58,0)</x:f>
        <x:v>31</x:v>
      </x:c>
      <x:c r="L39" s="32" t="n">
        <x:f>COUNTIFS('國外委外明細'!$F$4:$F$188,G39,'國外委外明細'!$A$4:$A$188,$B$4,'國外委外明細'!$J$4:$J$188,"&lt;&gt;解約")</x:f>
        <x:v>1</x:v>
      </x:c>
    </x:row>
    <x:row r="40">
      <x:c r="G40" s="30" t="str">
        <x:v>信安</x:v>
      </x:c>
      <x:c r="H40" s="40" t="n">
        <x:f>SUMIFS('國外委外明細'!$G$4:$G$188,'國外委外明細'!$F$4:$F$188,G40,'國外委外明細'!$A$4:$A$188,$B$4)</x:f>
        <x:v>708888643</x:v>
      </x:c>
      <x:c r="I40" s="40" t="n">
        <x:f>SUMIFS('國外委外明細'!$H$4:$H$188,'國外委外明細'!$F$4:$F$188,G40,'國外委外明細'!$A$4:$A$188,$B$4)</x:f>
        <x:v>801020312</x:v>
      </x:c>
      <x:c r="J40" s="43" t="n">
        <x:f>IFERROR(I40/SUM($I$9:$I$58),0)</x:f>
        <x:v>0.006406677002098759</x:v>
      </x:c>
      <x:c r="K40" s="31" t="n">
        <x:f>RANK(I40,$I$9:$I$58,0)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Pictet</x:v>
      </x:c>
      <x:c r="H41" s="40" t="n">
        <x:f>SUMIFS('國外委外明細'!$G$4:$G$188,'國外委外明細'!$F$4:$F$188,G41,'國外委外明細'!$A$4:$A$188,$B$4)</x:f>
        <x:v>618843493</x:v>
      </x:c>
      <x:c r="I41" s="40" t="n">
        <x:f>SUMIFS('國外委外明細'!$H$4:$H$188,'國外委外明細'!$F$4:$F$188,G41,'國外委外明細'!$A$4:$A$188,$B$4)</x:f>
        <x:v>769778438</x:v>
      </x:c>
      <x:c r="J41" s="43" t="n">
        <x:f>IFERROR(I41/SUM($I$9:$I$58),0)</x:f>
        <x:v>0.00615679994822167</x:v>
      </x:c>
      <x:c r="K41" s="31" t="n">
        <x:f>RANK(I41,$I$9:$I$58,0)</x:f>
        <x:v>33</x:v>
      </x:c>
      <x:c r="L41" s="32" t="n">
        <x:f>COUNTIFS('國外委外明細'!$F$4:$F$188,G41,'國外委外明細'!$A$4:$A$188,$B$4,'國外委外明細'!$J$4:$J$188,"&lt;&gt;解約")</x:f>
        <x:v>1</x:v>
      </x:c>
    </x:row>
    <x:row r="42">
      <x:c r="G42" s="30" t="str">
        <x:v>滙豐</x:v>
      </x:c>
      <x:c r="H42" s="40" t="n">
        <x:f>SUMIFS('國外委外明細'!$G$4:$G$188,'國外委外明細'!$F$4:$F$188,G42,'國外委外明細'!$A$4:$A$188,$B$4)</x:f>
        <x:v>460000000</x:v>
      </x:c>
      <x:c r="I42" s="40" t="n">
        <x:f>SUMIFS('國外委外明細'!$H$4:$H$188,'國外委外明細'!$F$4:$F$188,G42,'國外委外明細'!$A$4:$A$188,$B$4)</x:f>
        <x:v>706462588</x:v>
      </x:c>
      <x:c r="J42" s="43" t="n">
        <x:f>IFERROR(I42/SUM($I$9:$I$58),0)</x:f>
        <x:v>0.005650390567602449</x:v>
      </x:c>
      <x:c r="K42" s="31" t="n">
        <x:f>RANK(I42,$I$9:$I$58,0)</x:f>
        <x:v>34</x:v>
      </x:c>
      <x:c r="L42" s="32" t="n">
        <x:f>COUNTIFS('國外委外明細'!$F$4:$F$188,G42,'國外委外明細'!$A$4:$A$188,$B$4,'國外委外明細'!$J$4:$J$188,"&lt;&gt;解約")</x:f>
        <x:v>2</x:v>
      </x:c>
    </x:row>
    <x:row r="43">
      <x:c r="G43" s="30" t="str">
        <x:v>荷寶</x:v>
      </x:c>
      <x:c r="H43" s="40" t="n">
        <x:f>SUMIFS('國外委外明細'!$G$4:$G$188,'國外委外明細'!$F$4:$F$188,G43,'國外委外明細'!$A$4:$A$188,$B$4)</x:f>
        <x:v>506416368</x:v>
      </x:c>
      <x:c r="I43" s="40" t="n">
        <x:f>SUMIFS('國外委外明細'!$H$4:$H$188,'國外委外明細'!$F$4:$F$188,G43,'國外委外明細'!$A$4:$A$188,$B$4)</x:f>
        <x:v>697308846</x:v>
      </x:c>
      <x:c r="J43" s="43" t="n">
        <x:f>IFERROR(I43/SUM($I$9:$I$58),0)</x:f>
        <x:v>0.005577177607236788</x:v>
      </x:c>
      <x:c r="K43" s="31" t="n">
        <x:f>RANK(I43,$I$9:$I$58,0)</x:f>
        <x:v>35</x:v>
      </x:c>
      <x:c r="L43" s="32" t="n">
        <x:f>COUNTIFS('國外委外明細'!$F$4:$F$188,G43,'國外委外明細'!$A$4:$A$188,$B$4,'國外委外明細'!$J$4:$J$188,"&lt;&gt;解約")</x:f>
        <x:v>1</x:v>
      </x:c>
    </x:row>
    <x:row r="44">
      <x:c r="G44" s="30" t="str">
        <x:v>摩根士丹利</x:v>
      </x:c>
      <x:c r="H44" s="40" t="n">
        <x:f>SUMIFS('國外委外明細'!$G$4:$G$188,'國外委外明細'!$F$4:$F$188,G44,'國外委外明細'!$A$4:$A$188,$B$4)</x:f>
        <x:v>460000000</x:v>
      </x:c>
      <x:c r="I44" s="40" t="n">
        <x:f>SUMIFS('國外委外明細'!$H$4:$H$188,'國外委外明細'!$F$4:$F$188,G44,'國外委外明細'!$A$4:$A$188,$B$4)</x:f>
        <x:v>690570828</x:v>
      </x:c>
      <x:c r="J44" s="43" t="n">
        <x:f>IFERROR(I44/SUM($I$9:$I$58),0)</x:f>
        <x:v>0.005523285958905744</x:v>
      </x:c>
      <x:c r="K44" s="31" t="n">
        <x:f>RANK(I44,$I$9:$I$58,0)</x:f>
        <x:v>36</x:v>
      </x:c>
      <x:c r="L44" s="32" t="n">
        <x:f>COUNTIFS('國外委外明細'!$F$4:$F$188,G44,'國外委外明細'!$A$4:$A$188,$B$4,'國外委外明細'!$J$4:$J$188,"&lt;&gt;解約")</x:f>
        <x:v>2</x:v>
      </x:c>
    </x:row>
    <x:row r="45">
      <x:c r="G45" s="30" t="str">
        <x:v>PGIM</x:v>
      </x:c>
      <x:c r="H45" s="40" t="n">
        <x:f>SUMIFS('國外委外明細'!$G$4:$G$188,'國外委外明細'!$F$4:$F$188,G45,'國外委外明細'!$A$4:$A$188,$B$4)</x:f>
        <x:v>600000000</x:v>
      </x:c>
      <x:c r="I45" s="40" t="n">
        <x:f>SUMIFS('國外委外明細'!$H$4:$H$188,'國外委外明細'!$F$4:$F$188,G45,'國外委外明細'!$A$4:$A$188,$B$4)</x:f>
        <x:v>688857784</x:v>
      </x:c>
      <x:c r="J45" s="43" t="n">
        <x:f>IFERROR(I45/SUM($I$9:$I$58),0)</x:f>
        <x:v>0.005509584783749547</x:v>
      </x:c>
      <x:c r="K45" s="31" t="n">
        <x:f>RANK(I45,$I$9:$I$58,0)</x:f>
        <x:v>37</x:v>
      </x:c>
      <x:c r="L45" s="32" t="n">
        <x:f>COUNTIFS('國外委外明細'!$F$4:$F$188,G45,'國外委外明細'!$A$4:$A$188,$B$4,'國外委外明細'!$J$4:$J$188,"&lt;&gt;解約")</x:f>
        <x:v>1</x:v>
      </x:c>
    </x:row>
    <x:row r="46">
      <x:c r="G46" s="30" t="str">
        <x:v>Amundi</x:v>
      </x:c>
      <x:c r="H46" s="40" t="n">
        <x:f>SUMIFS('國外委外明細'!$G$4:$G$188,'國外委外明細'!$F$4:$F$188,G46,'國外委外明細'!$A$4:$A$188,$B$4)</x:f>
        <x:v>500000000</x:v>
      </x:c>
      <x:c r="I46" s="40" t="n">
        <x:f>SUMIFS('國外委外明細'!$H$4:$H$188,'國外委外明細'!$F$4:$F$188,G46,'國外委外明細'!$A$4:$A$188,$B$4)</x:f>
        <x:v>666575819</x:v>
      </x:c>
      <x:c r="J46" s="43" t="n">
        <x:f>IFERROR(I46/SUM($I$9:$I$58),0)</x:f>
        <x:v>0.005331370385701836</x:v>
      </x:c>
      <x:c r="K46" s="31" t="n">
        <x:f>RANK(I46,$I$9:$I$58,0)</x:f>
        <x:v>38</x:v>
      </x:c>
      <x:c r="L46" s="32" t="n">
        <x:f>COUNTIFS('國外委外明細'!$F$4:$F$188,G46,'國外委外明細'!$A$4:$A$188,$B$4,'國外委外明細'!$J$4:$J$188,"&lt;&gt;解約")</x:f>
        <x:v>2</x:v>
      </x:c>
    </x:row>
    <x:row r="47">
      <x:c r="G47" s="30" t="str">
        <x:v>LGIM</x:v>
      </x:c>
      <x:c r="H47" s="40" t="n">
        <x:f>SUMIFS('國外委外明細'!$G$4:$G$188,'國外委外明細'!$F$4:$F$188,G47,'國外委外明細'!$A$4:$A$188,$B$4)</x:f>
        <x:v>400000000</x:v>
      </x:c>
      <x:c r="I47" s="40" t="n">
        <x:f>SUMIFS('國外委外明細'!$H$4:$H$188,'國外委外明細'!$F$4:$F$188,G47,'國外委外明細'!$A$4:$A$188,$B$4)</x:f>
        <x:v>593041556</x:v>
      </x:c>
      <x:c r="J47" s="43" t="n">
        <x:f>IFERROR(I47/SUM($I$9:$I$58),0)</x:f>
        <x:v>0.004743232651151627</x:v>
      </x:c>
      <x:c r="K47" s="31" t="n">
        <x:f>RANK(I47,$I$9:$I$58,0)</x:f>
        <x:v>39</x:v>
      </x:c>
      <x:c r="L47" s="32" t="n">
        <x:f>COUNTIFS('國外委外明細'!$F$4:$F$188,G47,'國外委外明細'!$A$4:$A$188,$B$4,'國外委外明細'!$J$4:$J$188,"&lt;&gt;解約")</x:f>
        <x:v>1</x:v>
      </x:c>
    </x:row>
    <x:row r="48">
      <x:c r="G48" s="30" t="str">
        <x:v>信安環球</x:v>
      </x:c>
      <x:c r="H48" s="40" t="n">
        <x:f>SUMIFS('國外委外明細'!$G$4:$G$188,'國外委外明細'!$F$4:$F$188,G48,'國外委外明細'!$A$4:$A$188,$B$4)</x:f>
        <x:v>425091462</x:v>
      </x:c>
      <x:c r="I48" s="40" t="n">
        <x:f>SUMIFS('國外委外明細'!$H$4:$H$188,'國外委外明細'!$F$4:$F$188,G48,'國外委外明細'!$A$4:$A$188,$B$4)</x:f>
        <x:v>478192278</x:v>
      </x:c>
      <x:c r="J48" s="43" t="n">
        <x:f>IFERROR(I48/SUM($I$9:$I$58),0)</x:f>
        <x:v>0.0038246514153861015</x:v>
      </x:c>
      <x:c r="K48" s="31" t="n">
        <x:f>RANK(I48,$I$9:$I$58,0)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IFERROR(I49/SUM($I$9:$I$58),0)</x:f>
        <x:v>0.0036664290298600195</x:v>
      </x:c>
      <x:c r="K49" s="31" t="n">
        <x:f>RANK(I49,$I$9:$I$58,0)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UBS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422040147</x:v>
      </x:c>
      <x:c r="J50" s="43" t="n">
        <x:f>IFERROR(I50/SUM($I$9:$I$58),0)</x:f>
        <x:v>0.0033755385016345</x:v>
      </x:c>
      <x:c r="K50" s="31" t="n">
        <x:f>RANK(I50,$I$9:$I$58,0)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HSBC</x:v>
      </x:c>
      <x:c r="H51" s="40" t="n">
        <x:f>SUMIFS('國外委外明細'!$G$4:$G$188,'國外委外明細'!$F$4:$F$188,G51,'國外委外明細'!$A$4:$A$188,$B$4)</x:f>
        <x:v>400000000</x:v>
      </x:c>
      <x:c r="I51" s="40" t="n">
        <x:f>SUMIFS('國外委外明細'!$H$4:$H$188,'國外委外明細'!$F$4:$F$188,G51,'國外委外明細'!$A$4:$A$188,$B$4)</x:f>
        <x:v>421747465</x:v>
      </x:c>
      <x:c r="J51" s="43" t="n">
        <x:f>IFERROR(I51/SUM($I$9:$I$58),0)</x:f>
        <x:v>0.003373197588413902</x:v>
      </x:c>
      <x:c r="K51" s="31" t="n">
        <x:f>RANK(I51,$I$9:$I$58,0)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瑞銀</x:v>
      </x:c>
      <x:c r="H52" s="40" t="n">
        <x:f>SUMIFS('國外委外明細'!$G$4:$G$188,'國外委外明細'!$F$4:$F$188,G52,'國外委外明細'!$A$4:$A$188,$B$4)</x:f>
        <x:v>361201485</x:v>
      </x:c>
      <x:c r="I52" s="40" t="n">
        <x:f>SUMIFS('國外委外明細'!$H$4:$H$188,'國外委外明細'!$F$4:$F$188,G52,'國外委外明細'!$A$4:$A$188,$B$4)</x:f>
        <x:v>367521178</x:v>
      </x:c>
      <x:c r="J52" s="43" t="n">
        <x:f>IFERROR(I52/SUM($I$9:$I$58),0)</x:f>
        <x:v>0.002939487855180437</x:v>
      </x:c>
      <x:c r="K52" s="31" t="n">
        <x:f>RANK(I52,$I$9:$I$58,0)</x:f>
        <x:v>44</x:v>
      </x:c>
      <x:c r="L52" s="32" t="n">
        <x:f>COUNTIFS('國外委外明細'!$F$4:$F$188,G52,'國外委外明細'!$A$4:$A$188,$B$4,'國外委外明細'!$J$4:$J$188,"&lt;&gt;解約")</x:f>
        <x:v>1</x:v>
      </x:c>
    </x:row>
    <x:row r="53">
      <x:c r="G53" s="30" t="str">
        <x:v>Allianz</x:v>
      </x:c>
      <x:c r="H53" s="40" t="n">
        <x:f>SUMIFS('國外委外明細'!$G$4:$G$188,'國外委外明細'!$F$4:$F$188,G53,'國外委外明細'!$A$4:$A$188,$B$4)</x:f>
        <x:v>275923278</x:v>
      </x:c>
      <x:c r="I53" s="40" t="n">
        <x:f>SUMIFS('國外委外明細'!$H$4:$H$188,'國外委外明細'!$F$4:$F$188,G53,'國外委外明細'!$A$4:$A$188,$B$4)</x:f>
        <x:v>275639320</x:v>
      </x:c>
      <x:c r="J53" s="43" t="n">
        <x:f>IFERROR(I53/SUM($I$9:$I$58),0)</x:f>
        <x:v>0.002204603386284842</x:v>
      </x:c>
      <x:c r="K53" s="31" t="n">
        <x:f>RANK(I53,$I$9:$I$58,0)</x:f>
        <x:v>45</x:v>
      </x:c>
      <x:c r="L53" s="32" t="n">
        <x:f>COUNTIFS('國外委外明細'!$F$4:$F$188,G53,'國外委外明細'!$A$4:$A$188,$B$4,'國外委外明細'!$J$4:$J$188,"&lt;&gt;解約")</x:f>
        <x:v>1</x:v>
      </x:c>
    </x:row>
    <x:row r="54">
      <x:c r="G54" s="30" t="str">
        <x:v>柏瑞</x:v>
      </x:c>
      <x:c r="H54" s="40" t="n">
        <x:f>SUMIFS('國外委外明細'!$G$4:$G$188,'國外委外明細'!$F$4:$F$188,G54,'國外委外明細'!$A$4:$A$188,$B$4)</x:f>
        <x:v>0</x:v>
      </x:c>
      <x:c r="I54" s="40" t="n">
        <x:f>SUMIFS('國外委外明細'!$H$4:$H$188,'國外委外明細'!$F$4:$F$188,G54,'國外委外明細'!$A$4:$A$188,$B$4)</x:f>
        <x:v>0</x:v>
      </x:c>
      <x:c r="J54" s="43" t="n">
        <x:f>IFERROR(I54/SUM($I$9:$I$58),0)</x:f>
        <x:v>0</x:v>
      </x:c>
      <x:c r="K54" s="31" t="n">
        <x:f>RANK(I54,$I$9:$I$58,0)</x:f>
        <x:v>46</x:v>
      </x:c>
      <x:c r="L54" s="32" t="n">
        <x:f>COUNTIFS('國外委外明細'!$F$4:$F$188,G54,'國外委外明細'!$A$4:$A$188,$B$4,'國外委外明細'!$J$4:$J$188,"&lt;&gt;解約")</x:f>
        <x:v>0</x:v>
      </x:c>
    </x:row>
    <x:row r="55">
      <x:c r="G55" s="30" t="str">
        <x:v>安聯</x:v>
      </x:c>
      <x:c r="H55" s="40" t="n">
        <x:f>SUMIFS('國外委外明細'!$G$4:$G$188,'國外委外明細'!$F$4:$F$188,G55,'國外委外明細'!$A$4:$A$188,$B$4)</x:f>
        <x:v>0</x:v>
      </x:c>
      <x:c r="I55" s="40" t="n">
        <x:f>SUMIFS('國外委外明細'!$H$4:$H$188,'國外委外明細'!$F$4:$F$188,G55,'國外委外明細'!$A$4:$A$188,$B$4)</x:f>
        <x:v>0</x:v>
      </x:c>
      <x:c r="J55" s="43" t="n">
        <x:f>IFERROR(I55/SUM($I$9:$I$58),0)</x:f>
        <x:v>0</x:v>
      </x:c>
      <x:c r="K55" s="31" t="n">
        <x:f>RANK(I55,$I$9:$I$58,0)</x:f>
        <x:v>46</x:v>
      </x:c>
      <x:c r="L55" s="32" t="n">
        <x:f>COUNTIFS('國外委外明細'!$F$4:$F$188,G55,'國外委外明細'!$A$4:$A$188,$B$4,'國外委外明細'!$J$4:$J$188,"&lt;&gt;解約")</x:f>
        <x:v>0</x:v>
      </x:c>
    </x:row>
    <x:row r="56">
      <x:c r="G56" s="30" t="str">
        <x:v>玉山</x:v>
      </x:c>
      <x:c r="H56" s="40" t="n">
        <x:f>SUMIFS('國外委外明細'!$G$4:$G$188,'國外委外明細'!$F$4:$F$188,G56,'國外委外明細'!$A$4:$A$188,$B$4)</x:f>
        <x:v>0</x:v>
      </x:c>
      <x:c r="I56" s="40" t="n">
        <x:f>SUMIFS('國外委外明細'!$H$4:$H$188,'國外委外明細'!$F$4:$F$188,G56,'國外委外明細'!$A$4:$A$188,$B$4)</x:f>
        <x:v>0</x:v>
      </x:c>
      <x:c r="J56" s="43" t="n">
        <x:f>IFERROR(I56/SUM($I$9:$I$58),0)</x:f>
        <x:v>0</x:v>
      </x:c>
      <x:c r="K56" s="31" t="n">
        <x:f>RANK(I56,$I$9:$I$58,0)</x:f>
        <x:v>46</x:v>
      </x:c>
      <x:c r="L56" s="32" t="n">
        <x:f>COUNTIFS('國外委外明細'!$F$4:$F$188,G56,'國外委外明細'!$A$4:$A$188,$B$4,'國外委外明細'!$J$4:$J$188,"&lt;&gt;解約")</x:f>
        <x:v>0</x:v>
      </x:c>
    </x:row>
    <x:row r="57">
      <x:c r="G57" s="30" t="str">
        <x:v>野村</x:v>
      </x:c>
      <x:c r="H57" s="40" t="n">
        <x:f>SUMIFS('國外委外明細'!$G$4:$G$188,'國外委外明細'!$F$4:$F$188,G57,'國外委外明細'!$A$4:$A$188,$B$4)</x:f>
        <x:v>0</x:v>
      </x:c>
      <x:c r="I57" s="40" t="n">
        <x:f>SUMIFS('國外委外明細'!$H$4:$H$188,'國外委外明細'!$F$4:$F$188,G57,'國外委外明細'!$A$4:$A$188,$B$4)</x:f>
        <x:v>0</x:v>
      </x:c>
      <x:c r="J57" s="43" t="n">
        <x:f>IFERROR(I57/SUM($I$9:$I$58),0)</x:f>
        <x:v>0</x:v>
      </x:c>
      <x:c r="K57" s="31" t="n">
        <x:f>RANK(I57,$I$9:$I$58,0)</x:f>
        <x:v>46</x:v>
      </x:c>
      <x:c r="L57" s="32" t="n">
        <x:f>COUNTIFS('國外委外明細'!$F$4:$F$188,G57,'國外委外明細'!$A$4:$A$188,$B$4,'國外委外明細'!$J$4:$J$188,"&lt;&gt;解約")</x:f>
        <x:v>0</x:v>
      </x:c>
    </x:row>
    <x:row r="58">
      <x:c r="G58" s="33" t="str">
        <x:v>國泰</x:v>
      </x:c>
      <x:c r="H58" s="41" t="n">
        <x:f>SUMIFS('國外委外明細'!$G$4:$G$188,'國外委外明細'!$F$4:$F$188,G58,'國外委外明細'!$A$4:$A$188,$B$4)</x:f>
        <x:v>0</x:v>
      </x:c>
      <x:c r="I58" s="41" t="n">
        <x:f>SUMIFS('國外委外明細'!$H$4:$H$188,'國外委外明細'!$F$4:$F$188,G58,'國外委外明細'!$A$4:$A$188,$B$4)</x:f>
        <x:v>0</x:v>
      </x:c>
      <x:c r="J58" s="44" t="n">
        <x:f>IFERROR(I58/SUM($I$9:$I$58),0)</x:f>
        <x:v>0</x:v>
      </x:c>
      <x:c r="K58" s="34" t="n">
        <x:f>RANK(I58,$I$9:$I$58,0)</x:f>
        <x:v>46</x:v>
      </x:c>
      <x:c r="L58" s="35" t="n">
        <x:f>COUNTIFS('國外委外明細'!$F$4:$F$188,G58,'國外委外明細'!$A$4:$A$188,$B$4,'國外委外明細'!$J$4:$J$188,"&lt;&gt;解約")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d4068634ba3d4894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33000183105469" hidden="0" customWidth="1"/>
    <x:col min="2" max="2" width="10.4399995803833" hidden="0" customWidth="1"/>
    <x:col min="3" max="3" width="28" hidden="0" customWidth="1"/>
    <x:col min="4" max="4" width="38" hidden="0" customWidth="1"/>
    <x:col min="5" max="5" width="26" hidden="0" customWidth="1"/>
    <x:col min="6" max="6" width="15.4399995803833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.779998779296875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440000057220459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