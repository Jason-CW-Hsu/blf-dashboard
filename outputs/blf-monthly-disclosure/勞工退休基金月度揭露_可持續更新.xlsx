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59a4debcee4b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ea57131bbd824ffa"/>
    <x:sheet xmlns:r="http://schemas.openxmlformats.org/officeDocument/2006/relationships" name="儀表板(美元)" sheetId="2" r:id="Rc7f6dd0ef8624f3c"/>
    <x:sheet xmlns:r="http://schemas.openxmlformats.org/officeDocument/2006/relationships" name="月度資產配置" sheetId="3" r:id="R8f610c8024324425"/>
    <x:sheet xmlns:r="http://schemas.openxmlformats.org/officeDocument/2006/relationships" name="國內委外明細" sheetId="4" r:id="R503ecde672d34e62"/>
    <x:sheet xmlns:r="http://schemas.openxmlformats.org/officeDocument/2006/relationships" name="國外委外明細" sheetId="5" r:id="R4ebe21c7b8d64aff"/>
    <x:sheet xmlns:r="http://schemas.openxmlformats.org/officeDocument/2006/relationships" name="批次彙總" sheetId="6" r:id="R802666f003924e1b"/>
    <x:sheet xmlns:r="http://schemas.openxmlformats.org/officeDocument/2006/relationships" name="業者彙總" sheetId="7" r:id="R9c0fb9a211e949db"/>
    <x:sheet xmlns:r="http://schemas.openxmlformats.org/officeDocument/2006/relationships" name="更新說明" sheetId="8" r:id="Red807b104c3e47b5"/>
    <x:sheet xmlns:r="http://schemas.openxmlformats.org/officeDocument/2006/relationships" name="資料品質檢核" sheetId="9" r:id="R435746bd90384b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09a676b9a241f5" /><Relationship Type="http://schemas.openxmlformats.org/officeDocument/2006/relationships/theme" Target="/xl/theme/theme1.xml" Id="Re4f4fec97f7f4271" /><Relationship Type="http://schemas.openxmlformats.org/officeDocument/2006/relationships/sharedStrings" Target="/xl/sharedStrings.xml" Id="R01e93a2679a644d1" /><Relationship Type="http://schemas.openxmlformats.org/officeDocument/2006/relationships/worksheet" Target="/xl/worksheets/sheet1.xml" Id="Rea57131bbd824ffa" /><Relationship Type="http://schemas.openxmlformats.org/officeDocument/2006/relationships/worksheet" Target="/xl/worksheets/sheet2.xml" Id="Rc7f6dd0ef8624f3c" /><Relationship Type="http://schemas.openxmlformats.org/officeDocument/2006/relationships/worksheet" Target="/xl/worksheets/sheet3.xml" Id="R8f610c8024324425" /><Relationship Type="http://schemas.openxmlformats.org/officeDocument/2006/relationships/worksheet" Target="/xl/worksheets/sheet4.xml" Id="R503ecde672d34e62" /><Relationship Type="http://schemas.openxmlformats.org/officeDocument/2006/relationships/worksheet" Target="/xl/worksheets/sheet5.xml" Id="R4ebe21c7b8d64aff" /><Relationship Type="http://schemas.openxmlformats.org/officeDocument/2006/relationships/worksheet" Target="/xl/worksheets/sheet6.xml" Id="R802666f003924e1b" /><Relationship Type="http://schemas.openxmlformats.org/officeDocument/2006/relationships/worksheet" Target="/xl/worksheets/sheet7.xml" Id="R9c0fb9a211e949db" /><Relationship Type="http://schemas.openxmlformats.org/officeDocument/2006/relationships/worksheet" Target="/xl/worksheets/sheet8.xml" Id="Red807b104c3e47b5" /><Relationship Type="http://schemas.openxmlformats.org/officeDocument/2006/relationships/worksheet" Target="/xl/worksheets/sheet9.xml" Id="R435746bd90384b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c8e118ed474418" /><Relationship Type="http://schemas.openxmlformats.org/officeDocument/2006/relationships/chart" Target="/xl/drawings/charts/chart2.xml" Id="R6b65fbf37bde4894" /><Relationship Type="http://schemas.openxmlformats.org/officeDocument/2006/relationships/chart" Target="/xl/drawings/charts/chart3.xml" Id="R4a329b0c78c647c2" /><Relationship Type="http://schemas.openxmlformats.org/officeDocument/2006/relationships/chart" Target="/xl/drawings/charts/chart4.xml" Id="R2b4a3c4fd0d84121" /><Relationship Type="http://schemas.openxmlformats.org/officeDocument/2006/relationships/chart" Target="/xl/drawings/charts/chart5.xml" Id="R55ef10ffbb394b0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b2a6c0d367bd46fa" /><Relationship Type="http://schemas.openxmlformats.org/officeDocument/2006/relationships/chart" Target="/xl/drawings/charts/chart7.xml" Id="R56c9937843464ec6" /><Relationship Type="http://schemas.openxmlformats.org/officeDocument/2006/relationships/chart" Target="/xl/drawings/charts/chart8.xml" Id="R1c39af05f56c4eb8" /><Relationship Type="http://schemas.openxmlformats.org/officeDocument/2006/relationships/chart" Target="/xl/drawings/charts/chart9.xml" Id="Ra0ea1935afa845af" /><Relationship Type="http://schemas.openxmlformats.org/officeDocument/2006/relationships/chart" Target="/xl/drawings/charts/chart10.xml" Id="Rbe4c7fa4cb2f402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ca4d8f8b1ada4398" /><Relationship Type="http://schemas.openxmlformats.org/officeDocument/2006/relationships/chart" Target="/xl/drawings/charts/chart12.xml" Id="R19e78b81399f4313" /><Relationship Type="http://schemas.openxmlformats.org/officeDocument/2006/relationships/chart" Target="/xl/drawings/charts/chart13.xml" Id="Rc4beec4e9e464d05" /><Relationship Type="http://schemas.openxmlformats.org/officeDocument/2006/relationships/chart" Target="/xl/drawings/charts/chart14.xml" Id="Rfce1f130435241f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'儀表板'!$V$12:$V$15</c:f>
              <c:strCache>
                <c:ptCount val="0"/>
              </c:strCache>
            </c:strRef>
          </c:cat>
          <c:val>
            <c:numRef>
              <c:f>'儀表板'!$W$12:$W$15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'儀表板'!$X$12:$X$15</c:f>
              <c:strCache>
                <c:ptCount val="0"/>
              </c:strCache>
            </c:strRef>
          </c:cat>
          <c:val>
            <c:numRef>
              <c:f>'儀表板'!$Y$12:$Y$15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'儀表板'!$Z$12:$Z$15</c:f>
              <c:strCache>
                <c:ptCount val="0"/>
              </c:strCache>
            </c:strRef>
          </c:cat>
          <c:val>
            <c:numRef>
              <c:f>'儀表板'!$AA$12:$AA$15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'儀表板'!$AB$12:$AB$15</c:f>
              <c:strCache>
                <c:ptCount val="0"/>
              </c:strCache>
            </c:strRef>
          </c:cat>
          <c:val>
            <c:numRef>
              <c:f>'儀表板'!$AC$12:$AC$15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'儀表板'!$AD$12:$AD$15</c:f>
              <c:strCache>
                <c:ptCount val="0"/>
              </c:strCache>
            </c:strRef>
          </c:cat>
          <c:val>
            <c:numRef>
              <c:f>'儀表板'!$AE$12:$AE$15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'儀表板(美元)'!$V$12:$V$15</c:f>
              <c:strCache>
                <c:ptCount val="0"/>
              </c:strCache>
            </c:strRef>
          </c:cat>
          <c:val>
            <c:numRef>
              <c:f>'儀表板(美元)'!$W$12:$W$15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'儀表板(美元)'!$X$12:$X$15</c:f>
              <c:strCache>
                <c:ptCount val="0"/>
              </c:strCache>
            </c:strRef>
          </c:cat>
          <c:val>
            <c:numRef>
              <c:f>'儀表板(美元)'!$Y$12:$Y$15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'儀表板(美元)'!$Z$12:$Z$15</c:f>
              <c:strCache>
                <c:ptCount val="0"/>
              </c:strCache>
            </c:strRef>
          </c:cat>
          <c:val>
            <c:numRef>
              <c:f>'儀表板(美元)'!$AA$12:$AA$15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'儀表板(美元)'!$AB$12:$AB$15</c:f>
              <c:strCache>
                <c:ptCount val="0"/>
              </c:strCache>
            </c:strRef>
          </c:cat>
          <c:val>
            <c:numRef>
              <c:f>'儀表板(美元)'!$AC$12:$AC$15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'儀表板(美元)'!$AD$12:$AD$15</c:f>
              <c:strCache>
                <c:ptCount val="0"/>
              </c:strCache>
            </c:strRef>
          </c:cat>
          <c:val>
            <c:numRef>
              <c:f>'儀表板(美元)'!$AE$12:$AE$15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c8e118ed474418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65fbf37bde489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329b0c78c647c2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4a3c4fd0d84121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ef10ffbb394b0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a6c0d367bd46fa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c9937843464ec6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39af05f56c4eb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ea1935afa845af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4c7fa4cb2f402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4d8f8b1ada4398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e78b81399f4313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beec4e9e464d05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e1f130435241f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123d448f714b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576dfdfedbb349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5ff615b097e473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e109314e2a44d0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614b9a4d83540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34131b6140b42c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45831a0033ca4c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固定收益</x:v>
      </x:c>
      <x:c r="W12" s="50" t="n">
        <x:f>IFERROR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0.22060000000000002</x:v>
      </x:c>
      <x:c r="X12" t="str">
        <x:v>固定收益</x:v>
      </x:c>
      <x:c r="Y12" s="50" t="n">
        <x:f>IFERROR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0.1165</x:v>
      </x:c>
      <x:c r="Z12" t="str">
        <x:v>固定收益</x:v>
      </x:c>
      <x:c r="AA12" s="50" t="n">
        <x:f>IFERROR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0.1724</x:v>
      </x:c>
      <x:c r="AB12" t="str">
        <x:v>固定收益</x:v>
      </x:c>
      <x:c r="AC12" s="50" t="n">
        <x:f>IFERROR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0.1711</x:v>
      </x:c>
      <x:c r="AD12" t="str">
        <x:v>固定收益</x:v>
      </x:c>
      <x:c r="AE12" s="50" t="n">
        <x:f>IFERROR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0.45747499999999997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權益證券</x:v>
      </x:c>
      <x:c r="W13" s="50" t="n">
        <x:f>IFERROR(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0.4739</x:v>
      </x:c>
      <x:c r="X13" t="str">
        <x:v>權益證券</x:v>
      </x:c>
      <x:c r="Y13" s="50" t="n">
        <x:f>IFERROR(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0.3744</x:v>
      </x:c>
      <x:c r="Z13" t="str">
        <x:v>權益證券</x:v>
      </x:c>
      <x:c r="AA13" s="50" t="n">
        <x:f>IFERROR(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0.2375</x:v>
      </x:c>
      <x:c r="AB13" t="str">
        <x:v>權益證券</x:v>
      </x:c>
      <x:c r="AC13" s="50" t="n">
        <x:f>IFERROR(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0.3722</x:v>
      </x:c>
      <x:c r="AD13" t="str">
        <x:v>權益證券</x:v>
      </x:c>
      <x:c r="AE13" s="50" t="n">
        <x:f>IFERROR(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0.8622749999999999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另類投資</x:v>
      </x:c>
      <x:c r="W14" s="50" t="n">
        <x:f>IFERROR(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0.1055</x:v>
      </x:c>
      <x:c r="X14" t="str">
        <x:v>另類投資</x:v>
      </x:c>
      <x:c r="Y14" s="50" t="n">
        <x:f>IFERROR(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0.1005</x:v>
      </x:c>
      <x:c r="Z14" t="str">
        <x:v>另類投資</x:v>
      </x:c>
      <x:c r="AA14" s="50" t="n">
        <x:f>IFERROR(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0.0901</x:v>
      </x:c>
      <x:c r="AB14" t="str">
        <x:v>另類投資</x:v>
      </x:c>
      <x:c r="AC14" s="50" t="n">
        <x:f>IFERROR(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0.060200000000000004</x:v>
      </x:c>
      <x:c r="AD14" t="str">
        <x:v>另類投資</x:v>
      </x:c>
      <x:c r="AE14" s="50" t="n">
        <x:f>IFERROR(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0.119375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其他</x:v>
      </x:c>
      <x:c r="W15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0.19999999999999998</x:v>
      </x:c>
      <x:c r="X15" t="str">
        <x:v>其他</x:v>
      </x:c>
      <x:c r="Y15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0.4086</x:v>
      </x:c>
      <x:c r="Z15" t="str">
        <x:v>其他</x:v>
      </x:c>
      <x:c r="AA15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0.5</x:v>
      </x:c>
      <x:c r="AB15" t="str">
        <x:v>其他</x:v>
      </x:c>
      <x:c r="AC15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0.3965</x:v>
      </x:c>
      <x:c r="AD15" t="str">
        <x:v>其他</x:v>
      </x:c>
      <x:c r="AE15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0.9830249999999999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0e123d448f714b7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固定收益</x:v>
      </x:c>
      <x:c r="W12" s="50" t="n">
        <x:f>IFERROR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0.22060000000000002</x:v>
      </x:c>
      <x:c r="X12" t="str">
        <x:v>固定收益</x:v>
      </x:c>
      <x:c r="Y12" s="50" t="n">
        <x:f>IFERROR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0.1165</x:v>
      </x:c>
      <x:c r="Z12" t="str">
        <x:v>固定收益</x:v>
      </x:c>
      <x:c r="AA12" s="50" t="n">
        <x:f>IFERROR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0.1724</x:v>
      </x:c>
      <x:c r="AB12" t="str">
        <x:v>固定收益</x:v>
      </x:c>
      <x:c r="AC12" s="50" t="n">
        <x:f>IFERROR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0.1711</x:v>
      </x:c>
      <x:c r="AD12" t="str">
        <x:v>固定收益</x:v>
      </x:c>
      <x:c r="AE12" s="50" t="n">
        <x:f>IFERROR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0.45747499999999997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權益證券</x:v>
      </x:c>
      <x:c r="W13" s="50" t="n">
        <x:f>IFERROR(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0.4739</x:v>
      </x:c>
      <x:c r="X13" t="str">
        <x:v>權益證券</x:v>
      </x:c>
      <x:c r="Y13" s="50" t="n">
        <x:f>IFERROR(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0.3744</x:v>
      </x:c>
      <x:c r="Z13" t="str">
        <x:v>權益證券</x:v>
      </x:c>
      <x:c r="AA13" s="50" t="n">
        <x:f>IFERROR(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0.2375</x:v>
      </x:c>
      <x:c r="AB13" t="str">
        <x:v>權益證券</x:v>
      </x:c>
      <x:c r="AC13" s="50" t="n">
        <x:f>IFERROR(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0.3722</x:v>
      </x:c>
      <x:c r="AD13" t="str">
        <x:v>權益證券</x:v>
      </x:c>
      <x:c r="AE13" s="50" t="n">
        <x:f>IFERROR(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0.8622749999999999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另類投資</x:v>
      </x:c>
      <x:c r="W14" s="50" t="n">
        <x:f>IFERROR(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0.1055</x:v>
      </x:c>
      <x:c r="X14" t="str">
        <x:v>另類投資</x:v>
      </x:c>
      <x:c r="Y14" s="50" t="n">
        <x:f>IFERROR(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0.1005</x:v>
      </x:c>
      <x:c r="Z14" t="str">
        <x:v>另類投資</x:v>
      </x:c>
      <x:c r="AA14" s="50" t="n">
        <x:f>IFERROR(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0.0901</x:v>
      </x:c>
      <x:c r="AB14" t="str">
        <x:v>另類投資</x:v>
      </x:c>
      <x:c r="AC14" s="50" t="n">
        <x:f>IFERROR(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0.060200000000000004</x:v>
      </x:c>
      <x:c r="AD14" t="str">
        <x:v>另類投資</x:v>
      </x:c>
      <x:c r="AE14" s="50" t="n">
        <x:f>IFERROR(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0.119375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其他</x:v>
      </x:c>
      <x:c r="W15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外-另類投資")+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),0)</x:f>
        <x:v>0.19999999999999998</x:v>
      </x:c>
      <x:c r="X15" t="str">
        <x:v>其他</x:v>
      </x:c>
      <x:c r="Y15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外-另類投資")+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),0)</x:f>
        <x:v>0.4086</x:v>
      </x:c>
      <x:c r="Z15" t="str">
        <x:v>其他</x:v>
      </x:c>
      <x:c r="AA15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外-另類投資")+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),0)</x:f>
        <x:v>0.5</x:v>
      </x:c>
      <x:c r="AB15" t="str">
        <x:v>其他</x:v>
      </x:c>
      <x:c r="AC15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外-另類投資")+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),0)</x:f>
        <x:v>0.3965</x:v>
      </x:c>
      <x:c r="AD15" t="str">
        <x:v>其他</x:v>
      </x:c>
      <x:c r="AE15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自行運用-國外-固定收益")+SUMIFS('月度資產配置'!$F$4:$F$263,'月度資產配置'!$A$4:$A$263,$A$6,'月度資產配置'!$D$4:$D$263,"委託經營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外-另類投資")+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),0)</x:f>
        <x:v>0.9830249999999999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576dfdfedbb3494b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88999938964844" hidden="0" customWidth="1"/>
    <x:col min="2" max="2" width="7.440000057220459" hidden="0" customWidth="1"/>
    <x:col min="3" max="3" width="7.110000133514404" hidden="0" customWidth="1"/>
    <x:col min="4" max="4" width="28" hidden="0" customWidth="1"/>
    <x:col min="5" max="5" width="14.109999656677246" hidden="0" customWidth="1"/>
    <x:col min="6" max="6" width="14.329999923706055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55ff615b097e473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1.779999732971191" hidden="0" customWidth="1"/>
    <x:col min="8" max="8" width="12.77999973297119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0e109314e2a44d0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0.890000343322754" hidden="0" customWidth="1"/>
    <x:col min="8" max="8" width="1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6614b9a4d835403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.439998626708984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.329999923706055" hidden="0" customWidth="1"/>
    <x:col min="9" max="9" width="22.670000076293945" hidden="0" customWidth="1"/>
    <x:col min="10" max="10" width="7.110000133514404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234131b6140b42c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780000686645508" hidden="0" customWidth="1"/>
    <x:col min="4" max="4" width="17.110000610351562" hidden="0" customWidth="1"/>
    <x:col min="5" max="5" width="3.7799999713897705" hidden="0" customWidth="1"/>
    <x:col min="6" max="6" width="5.440000057220459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7.110000610351562" hidden="0" customWidth="1"/>
    <x:col min="11" max="11" width="3.7799999713897705" hidden="0" customWidth="1"/>
    <x:col min="12" max="12" width="5.440000057220459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45831a0033ca4cbf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33000183105469" hidden="0" customWidth="1"/>
    <x:col min="2" max="2" width="10.4399995803833" hidden="0" customWidth="1"/>
    <x:col min="3" max="3" width="28" hidden="0" customWidth="1"/>
    <x:col min="4" max="4" width="38" hidden="0" customWidth="1"/>
    <x:col min="5" max="5" width="26" hidden="0" customWidth="1"/>
    <x:col min="6" max="6" width="15.4399995803833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.779998779296875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440000057220459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