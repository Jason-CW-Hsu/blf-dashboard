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7ed344aa784c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e87528e56a36462a"/>
    <x:sheet xmlns:r="http://schemas.openxmlformats.org/officeDocument/2006/relationships" name="儀表板(美元)" sheetId="2" r:id="Ra379386546114bb2"/>
    <x:sheet xmlns:r="http://schemas.openxmlformats.org/officeDocument/2006/relationships" name="月度資產配置" sheetId="3" r:id="R5f74e0a1d39c4cc3"/>
    <x:sheet xmlns:r="http://schemas.openxmlformats.org/officeDocument/2006/relationships" name="國內委外明細" sheetId="4" r:id="R296337b48e8e4cd5"/>
    <x:sheet xmlns:r="http://schemas.openxmlformats.org/officeDocument/2006/relationships" name="國外委外明細" sheetId="5" r:id="Re93f5d3b0154472a"/>
    <x:sheet xmlns:r="http://schemas.openxmlformats.org/officeDocument/2006/relationships" name="批次彙總" sheetId="6" r:id="R80e815531c144522"/>
    <x:sheet xmlns:r="http://schemas.openxmlformats.org/officeDocument/2006/relationships" name="業者彙總" sheetId="7" r:id="Rbef1f4f447074f1d"/>
    <x:sheet xmlns:r="http://schemas.openxmlformats.org/officeDocument/2006/relationships" name="更新說明" sheetId="8" r:id="Rdeff005d91a04d7b"/>
    <x:sheet xmlns:r="http://schemas.openxmlformats.org/officeDocument/2006/relationships" name="資料品質檢核" sheetId="9" r:id="R7c8db6c9138a4c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3" fillId="0" borderId="14" xfId="0" applyNumberFormat="1" applyFont="1" applyFill="1" applyBorder="1" applyAlignment="1">
      <x:alignment vertical="center"/>
    </x:xf>
    <x:xf numFmtId="206" fontId="3" fillId="0" borderId="14" xfId="0" applyNumberFormat="1" applyFont="1" applyFill="1" applyBorder="1" applyAlignment="1">
      <x:alignment vertical="center"/>
    </x:xf>
    <x:xf numFmtId="207" fontId="0" fillId="0" borderId="1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0f716d71c641d6" /><Relationship Type="http://schemas.openxmlformats.org/officeDocument/2006/relationships/theme" Target="/xl/theme/theme1.xml" Id="R716326c0f4e34c65" /><Relationship Type="http://schemas.openxmlformats.org/officeDocument/2006/relationships/sharedStrings" Target="/xl/sharedStrings.xml" Id="Refe95d632d444f1f" /><Relationship Type="http://schemas.openxmlformats.org/officeDocument/2006/relationships/worksheet" Target="/xl/worksheets/sheet1.xml" Id="Re87528e56a36462a" /><Relationship Type="http://schemas.openxmlformats.org/officeDocument/2006/relationships/worksheet" Target="/xl/worksheets/sheet2.xml" Id="Ra379386546114bb2" /><Relationship Type="http://schemas.openxmlformats.org/officeDocument/2006/relationships/worksheet" Target="/xl/worksheets/sheet3.xml" Id="R5f74e0a1d39c4cc3" /><Relationship Type="http://schemas.openxmlformats.org/officeDocument/2006/relationships/worksheet" Target="/xl/worksheets/sheet4.xml" Id="R296337b48e8e4cd5" /><Relationship Type="http://schemas.openxmlformats.org/officeDocument/2006/relationships/worksheet" Target="/xl/worksheets/sheet5.xml" Id="Re93f5d3b0154472a" /><Relationship Type="http://schemas.openxmlformats.org/officeDocument/2006/relationships/worksheet" Target="/xl/worksheets/sheet6.xml" Id="R80e815531c144522" /><Relationship Type="http://schemas.openxmlformats.org/officeDocument/2006/relationships/worksheet" Target="/xl/worksheets/sheet7.xml" Id="Rbef1f4f447074f1d" /><Relationship Type="http://schemas.openxmlformats.org/officeDocument/2006/relationships/worksheet" Target="/xl/worksheets/sheet8.xml" Id="Rdeff005d91a04d7b" /><Relationship Type="http://schemas.openxmlformats.org/officeDocument/2006/relationships/worksheet" Target="/xl/worksheets/sheet9.xml" Id="R7c8db6c9138a4c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65c5aaee68413b" /><Relationship Type="http://schemas.openxmlformats.org/officeDocument/2006/relationships/chart" Target="/xl/drawings/charts/chart2.xml" Id="Rcb2e7cdce6614c73" /><Relationship Type="http://schemas.openxmlformats.org/officeDocument/2006/relationships/chart" Target="/xl/drawings/charts/chart3.xml" Id="R2f6a283226d9416a" /><Relationship Type="http://schemas.openxmlformats.org/officeDocument/2006/relationships/chart" Target="/xl/drawings/charts/chart4.xml" Id="R8cfaf89a012f430b" /><Relationship Type="http://schemas.openxmlformats.org/officeDocument/2006/relationships/chart" Target="/xl/drawings/charts/chart5.xml" Id="R5d77060cd4cb476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f6d9b1780a914709" /><Relationship Type="http://schemas.openxmlformats.org/officeDocument/2006/relationships/chart" Target="/xl/drawings/charts/chart7.xml" Id="Rc9de1220e0fe4090" /><Relationship Type="http://schemas.openxmlformats.org/officeDocument/2006/relationships/chart" Target="/xl/drawings/charts/chart8.xml" Id="Re627f86af3d847f6" /><Relationship Type="http://schemas.openxmlformats.org/officeDocument/2006/relationships/chart" Target="/xl/drawings/charts/chart9.xml" Id="R17d6bef0e3de4335" /><Relationship Type="http://schemas.openxmlformats.org/officeDocument/2006/relationships/chart" Target="/xl/drawings/charts/chart10.xml" Id="R410a26c28fa1414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b4dedc3b6dcf4f44" /><Relationship Type="http://schemas.openxmlformats.org/officeDocument/2006/relationships/chart" Target="/xl/drawings/charts/chart12.xml" Id="R66ac9d1d7f1e440a" /><Relationship Type="http://schemas.openxmlformats.org/officeDocument/2006/relationships/chart" Target="/xl/drawings/charts/chart13.xml" Id="R8bf1758ab4b24786" /><Relationship Type="http://schemas.openxmlformats.org/officeDocument/2006/relationships/chart" Target="/xl/drawings/charts/chart14.xml" Id="R6643bb1acfbb43e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新制基金｜57,963.5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'儀表板'!$V$12:$V$17</c:f>
              <c:strCache>
                <c:ptCount val="0"/>
              </c:strCache>
            </c:strRef>
          </c:cat>
          <c:val>
            <c:numRef>
              <c:f>'儀表板'!$W$12:$W$17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舊制基金｜11,622.6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'儀表板'!$X$12:$X$17</c:f>
              <c:strCache>
                <c:ptCount val="0"/>
              </c:strCache>
            </c:strRef>
          </c:cat>
          <c:val>
            <c:numRef>
              <c:f>'儀表板'!$Y$12:$Y$17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勞工保險基金｜16,820.7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'儀表板'!$Z$12:$Z$17</c:f>
              <c:strCache>
                <c:ptCount val="0"/>
              </c:strCache>
            </c:strRef>
          </c:cat>
          <c:val>
            <c:numRef>
              <c:f>'儀表板'!$AA$12:$AA$17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國民年金保險基金｜9,043.3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'儀表板'!$AB$12:$AB$17</c:f>
              <c:strCache>
                <c:ptCount val="0"/>
              </c:strCache>
            </c:strRef>
          </c:cat>
          <c:val>
            <c:numRef>
              <c:f>'儀表板'!$AC$12:$AC$17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四大基金合計｜95,450.1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'儀表板'!$AD$12:$AD$17</c:f>
              <c:strCache>
                <c:ptCount val="0"/>
              </c:strCache>
            </c:strRef>
          </c:cat>
          <c:val>
            <c:numRef>
              <c:f>'儀表板'!$AE$12:$AE$17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新制基金｜$181.4B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'儀表板(美元)'!$V$12:$V$17</c:f>
              <c:strCache>
                <c:ptCount val="0"/>
              </c:strCache>
            </c:strRef>
          </c:cat>
          <c:val>
            <c:numRef>
              <c:f>'儀表板(美元)'!$W$12:$W$17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舊制基金｜$36.4B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'儀表板(美元)'!$X$12:$X$17</c:f>
              <c:strCache>
                <c:ptCount val="0"/>
              </c:strCache>
            </c:strRef>
          </c:cat>
          <c:val>
            <c:numRef>
              <c:f>'儀表板(美元)'!$Y$12:$Y$17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勞工保險基金｜$52.7B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'儀表板(美元)'!$Z$12:$Z$17</c:f>
              <c:strCache>
                <c:ptCount val="0"/>
              </c:strCache>
            </c:strRef>
          </c:cat>
          <c:val>
            <c:numRef>
              <c:f>'儀表板(美元)'!$AA$12:$AA$17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國民年金保險基金｜$28.3B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'儀表板(美元)'!$AB$12:$AB$17</c:f>
              <c:strCache>
                <c:ptCount val="0"/>
              </c:strCache>
            </c:strRef>
          </c:cat>
          <c:val>
            <c:numRef>
              <c:f>'儀表板(美元)'!$AC$12:$AC$17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四大基金合計｜$298.8B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'儀表板(美元)'!$AD$12:$AD$17</c:f>
              <c:strCache>
                <c:ptCount val="0"/>
              </c:strCache>
            </c:strRef>
          </c:cat>
          <c:val>
            <c:numRef>
              <c:f>'儀表板(美元)'!$AE$12:$AE$17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65c5aaee68413b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2e7cdce6614c73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6a283226d9416a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faf89a012f430b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77060cd4cb476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d9b1780a914709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de1220e0fe4090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27f86af3d847f6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d6bef0e3de4335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0a26c28fa1414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dedc3b6dcf4f44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ac9d1d7f1e440a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f1758ab4b24786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43bb1acfbb43e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31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L116" headerRowCount="1" totalsRowCount="0" totalsRowShown="0">
  <x:tableColumns count="12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任至今投資報酬率"/>
    <x:tableColumn id="10" name="委任至今目標／指標報酬率"/>
    <x:tableColumn id="11" name="單位"/>
    <x:tableColumn id="12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L167" headerRowCount="1" totalsRowCount="0" totalsRowShown="0">
  <x:tableColumns count="12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任至今投資報酬率"/>
    <x:tableColumn id="10" name="委任至今目標／指標報酬率"/>
    <x:tableColumn id="11" name="單位"/>
    <x:tableColumn id="12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96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b8b7b4605747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b0271ae0687c4e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874c35804c0459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dc830a4a3de461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bcc5a7be51f4a7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1e24e89e4a74a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d9ded2b0d3c542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1–6 月；勞保、國保為 115 年 6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MAX('月度資產配置'!$A$4:$A$231)</x:f>
        <x:v>46174</x:v>
      </x:c>
      <x:c r="B6" s="61" t="n">
        <x:f>SUMIFS('月度資產配置'!$E$4:$E$231,'月度資產配置'!$A$4:$A$231,$A$6,'月度資產配置'!$C$4:$C$231,"新制",'月度資產配置'!$D$4:$D$231,"合計")</x:f>
        <x:v>5796350429763</x:v>
      </x:c>
      <x:c r="C6" s="61" t="n">
        <x:f>SUMIFS('月度資產配置'!$E$4:$E$231,'月度資產配置'!$A$4:$A$231,$A$6,'月度資產配置'!$C$4:$C$231,"舊制",'月度資產配置'!$D$4:$D$231,"合計")</x:f>
        <x:v>1162258442448</x:v>
      </x:c>
      <x:c r="D6" s="61" t="n">
        <x:f>SUMIFS('月度資產配置'!$E$4:$E$231,'月度資產配置'!$A$4:$A$231,$A$6,'月度資產配置'!$C$4:$C$231,"勞工保險",'月度資產配置'!$D$4:$D$231,"合計")</x:f>
        <x:v>1682071104275</x:v>
      </x:c>
      <x:c r="E6" s="61" t="n">
        <x:f>SUMIFS('月度資產配置'!$E$4:$E$231,'月度資產配置'!$A$4:$A$231,$A$6,'月度資產配置'!$C$4:$C$231,"國民年金",'月度資產配置'!$D$4:$D$231,"合計")</x:f>
        <x:v>904331257518</x:v>
      </x:c>
      <x:c r="F6" s="62" t="n">
        <x:f>SUM(B6:E6)</x:f>
        <x:v>9545011234004</x:v>
      </x:c>
      <x:c r="H6" s="57" t="str">
        <x:v>業者數</x:v>
      </x:c>
      <x:c r="I6" s="58" t="n">
        <x:v>18</x:v>
      </x:c>
      <x:c r="J6" s="58" t="n">
        <x:v>47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SUMIFS('月度資產配置'!$E$4:$E$231,'月度資產配置'!$A$4:$A$231,$A$6,'月度資產配置'!$C$4:$C$231,"新制",'月度資產配置'!$D$4:$D$231,$A10)/(100000000)</x:f>
        <x:v>20390.12229569</x:v>
      </x:c>
      <x:c r="C10" s="63" t="n">
        <x:f>SUMIFS('月度資產配置'!$E$4:$E$231,'月度資產配置'!$A$4:$A$231,$A$6,'月度資產配置'!$C$4:$C$231,"舊制",'月度資產配置'!$D$4:$D$231,$A10)/(100000000)</x:f>
        <x:v>5152.41051164</x:v>
      </x:c>
      <x:c r="D10" s="63" t="n">
        <x:f>SUMIFS('月度資產配置'!$E$4:$E$231,'月度資產配置'!$A$4:$A$231,$A$6,'月度資產配置'!$C$4:$C$231,"勞工保險",'月度資產配置'!$D$4:$D$231,$A10)/(100000000)</x:f>
        <x:v>11502.79925641</x:v>
      </x:c>
      <x:c r="E10" s="63" t="n">
        <x:f>SUMIFS('月度資產配置'!$E$4:$E$231,'月度資產配置'!$A$4:$A$231,$A$6,'月度資產配置'!$C$4:$C$231,"國民年金",'月度資產配置'!$D$4:$D$231,$A10)/(100000000)</x:f>
        <x:v>5577.83030776</x:v>
      </x:c>
      <x:c r="F10" s="64" t="n">
        <x:f>SUM(B10:E10)</x:f>
        <x:v>42623.162371499995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SUMIFS('月度資產配置'!$E$4:$E$231,'月度資產配置'!$A$4:$A$231,$A$6,'月度資產配置'!$C$4:$C$231,"新制",'月度資產配置'!$D$4:$D$231,$A11)/(100000000)</x:f>
        <x:v>37573.38200194</x:v>
      </x:c>
      <x:c r="C11" s="65" t="n">
        <x:f>SUMIFS('月度資產配置'!$E$4:$E$231,'月度資產配置'!$A$4:$A$231,$A$6,'月度資產配置'!$C$4:$C$231,"舊制",'月度資產配置'!$D$4:$D$231,$A11)/(100000000)</x:f>
        <x:v>6470.17391284</x:v>
      </x:c>
      <x:c r="D11" s="65" t="n">
        <x:f>SUMIFS('月度資產配置'!$E$4:$E$231,'月度資產配置'!$A$4:$A$231,$A$6,'月度資產配置'!$C$4:$C$231,"勞工保險",'月度資產配置'!$D$4:$D$231,$A11)/(100000000)</x:f>
        <x:v>5317.91178634</x:v>
      </x:c>
      <x:c r="E11" s="65" t="n">
        <x:f>SUMIFS('月度資產配置'!$E$4:$E$231,'月度資產配置'!$A$4:$A$231,$A$6,'月度資產配置'!$C$4:$C$231,"國民年金",'月度資產配置'!$D$4:$D$231,$A11)/(100000000)</x:f>
        <x:v>3465.48226742</x:v>
      </x:c>
      <x:c r="F11" s="66" t="n">
        <x:f>SUM(B11:E11)</x:f>
        <x:v>52826.94996854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65" t="n">
        <x:f>SUMIFS('月度資產配置'!$E$4:$E$231,'月度資產配置'!$A$4:$A$231,$A$6,'月度資產配置'!$C$4:$C$231,"新制",'月度資產配置'!$D$4:$D$231,$A12)/(100000000)</x:f>
        <x:v>7156.55062812</x:v>
      </x:c>
      <x:c r="C12" s="65" t="n">
        <x:f>SUMIFS('月度資產配置'!$E$4:$E$231,'月度資產配置'!$A$4:$A$231,$A$6,'月度資產配置'!$C$4:$C$231,"舊制",'月度資產配置'!$D$4:$D$231,$A12)/(100000000)</x:f>
        <x:v>308.4342312</x:v>
      </x:c>
      <x:c r="D12" s="65" t="n">
        <x:f>SUMIFS('月度資產配置'!$E$4:$E$231,'月度資產配置'!$A$4:$A$231,$A$6,'月度資產配置'!$C$4:$C$231,"勞工保險",'月度資產配置'!$D$4:$D$231,$A12)/(100000000)</x:f>
        <x:v>1905.48255833</x:v>
      </x:c>
      <x:c r="E12" s="65" t="n">
        <x:f>SUMIFS('月度資產配置'!$E$4:$E$231,'月度資產配置'!$A$4:$A$231,$A$6,'月度資產配置'!$C$4:$C$231,"國民年金",'月度資產配置'!$D$4:$D$231,$A12)/(100000000)</x:f>
        <x:v>1081.89687089</x:v>
      </x:c>
      <x:c r="F12" s="66" t="n">
        <x:f>SUM(B12:E12)</x:f>
        <x:v>10452.364288539999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0.20465428003748373</x:v>
      </x:c>
      <x:c r="X12" t="str">
        <x:f>A12</x:f>
        <x:v>自行運用-固定收益</x:v>
      </x:c>
      <x:c r="Y12" s="50" t="n">
        <x:f>C12/SUM($C$12:$C$17)</x:f>
        <x:v>0.05889386678841089</x:v>
      </x:c>
      <x:c r="Z12" t="str">
        <x:f>A12</x:f>
        <x:v>自行運用-固定收益</x:v>
      </x:c>
      <x:c r="AA12" s="50" t="n">
        <x:f>D12/SUM($D$12:$D$17)</x:f>
        <x:v>0.254526473393381</x:v>
      </x:c>
      <x:c r="AB12" t="str">
        <x:f>A12</x:f>
        <x:v>自行運用-固定收益</x:v>
      </x:c>
      <x:c r="AC12" s="50" t="n">
        <x:f>E12/SUM($E$12:$E$17)</x:f>
        <x:v>0.2520778638398026</x:v>
      </x:c>
      <x:c r="AD12" t="str">
        <x:f>A12</x:f>
        <x:v>自行運用-固定收益</x:v>
      </x:c>
      <x:c r="AE12" s="50" t="n">
        <x:f>F12/SUM($F$12:$F$17)</x:f>
        <x:v>0.20106734960503264</x:v>
      </x:c>
    </x:row>
    <x:row r="13">
      <x:c r="A13" s="30" t="str">
        <x:v>自行運用-權益證券</x:v>
      </x:c>
      <x:c r="B13" s="65" t="n">
        <x:f>SUMIFS('月度資產配置'!$E$4:$E$231,'月度資產配置'!$A$4:$A$231,$A$6,'月度資產配置'!$C$4:$C$231,"新制",'月度資產配置'!$D$4:$D$231,$A13)/(100000000)</x:f>
        <x:v>747.74832699</x:v>
      </x:c>
      <x:c r="C13" s="65" t="n">
        <x:f>SUMIFS('月度資產配置'!$E$4:$E$231,'月度資產配置'!$A$4:$A$231,$A$6,'月度資產配置'!$C$4:$C$231,"舊制",'月度資產配置'!$D$4:$D$231,$A13)/(100000000)</x:f>
        <x:v>233.96850392</x:v>
      </x:c>
      <x:c r="D13" s="65" t="n">
        <x:f>SUMIFS('月度資產配置'!$E$4:$E$231,'月度資產配置'!$A$4:$A$231,$A$6,'月度資產配置'!$C$4:$C$231,"勞工保險",'月度資產配置'!$D$4:$D$231,$A13)/(100000000)</x:f>
        <x:v>936.83868839</x:v>
      </x:c>
      <x:c r="E13" s="65" t="n">
        <x:f>SUMIFS('月度資產配置'!$E$4:$E$231,'月度資產配置'!$A$4:$A$231,$A$6,'月度資產配置'!$C$4:$C$231,"國民年金",'月度資產配置'!$D$4:$D$231,$A13)/(100000000)</x:f>
        <x:v>574.27295679</x:v>
      </x:c>
      <x:c r="F13" s="66" t="n">
        <x:f>SUM(B13:E13)</x:f>
        <x:v>2492.82847609</x:v>
      </x:c>
      <x:c r="V13" t="str">
        <x:f>A13</x:f>
        <x:v>自行運用-權益證券</x:v>
      </x:c>
      <x:c r="W13" s="50" t="n">
        <x:f>B13/SUM($B$12:$B$17)</x:f>
        <x:v>0.021383191912047135</x:v>
      </x:c>
      <x:c r="X13" t="str">
        <x:f>A13</x:f>
        <x:v>自行運用-權益證券</x:v>
      </x:c>
      <x:c r="Y13" s="50" t="n">
        <x:f>C13/SUM($C$12:$C$17)</x:f>
        <x:v>0.04467503444393389</x:v>
      </x:c>
      <x:c r="Z13" t="str">
        <x:f>A13</x:f>
        <x:v>自行運用-權益證券</x:v>
      </x:c>
      <x:c r="AA13" s="50" t="n">
        <x:f>D13/SUM($D$12:$D$17)</x:f>
        <x:v>0.12513903444142227</x:v>
      </x:c>
      <x:c r="AB13" t="str">
        <x:f>A13</x:f>
        <x:v>自行運用-權益證券</x:v>
      </x:c>
      <x:c r="AC13" s="50" t="n">
        <x:f>E13/SUM($E$12:$E$17)</x:f>
        <x:v>0.13380341888733388</x:v>
      </x:c>
      <x:c r="AD13" t="str">
        <x:f>A13</x:f>
        <x:v>自行運用-權益證券</x:v>
      </x:c>
      <x:c r="AE13" s="50" t="n">
        <x:f>F13/SUM($F$12:$F$17)</x:f>
        <x:v>0.047953400864234594</x:v>
      </x:c>
    </x:row>
    <x:row r="14">
      <x:c r="A14" s="30" t="str">
        <x:v>自行運用-另類投資</x:v>
      </x:c>
      <x:c r="B14" s="65" t="n">
        <x:f>SUMIFS('月度資產配置'!$E$4:$E$231,'月度資產配置'!$A$4:$A$231,$A$6,'月度資產配置'!$C$4:$C$231,"新制",'月度資產配置'!$D$4:$D$231,$A14)/(100000000)</x:f>
        <x:v>454.13620644</x:v>
      </x:c>
      <x:c r="C14" s="65" t="n">
        <x:f>SUMIFS('月度資產配置'!$E$4:$E$231,'月度資產配置'!$A$4:$A$231,$A$6,'月度資產配置'!$C$4:$C$231,"舊制",'月度資產配置'!$D$4:$D$231,$A14)/(100000000)</x:f>
        <x:v>0</x:v>
      </x:c>
      <x:c r="D14" s="65" t="n">
        <x:f>SUMIFS('月度資產配置'!$E$4:$E$231,'月度資產配置'!$A$4:$A$231,$A$6,'月度資產配置'!$C$4:$C$231,"勞工保險",'月度資產配置'!$D$4:$D$231,$A14)/(100000000)</x:f>
        <x:v>108.61459496</x:v>
      </x:c>
      <x:c r="E14" s="65" t="n">
        <x:f>SUMIFS('月度資產配置'!$E$4:$E$231,'月度資產配置'!$A$4:$A$231,$A$6,'月度資產配置'!$C$4:$C$231,"國民年金",'月度資產配置'!$D$4:$D$231,$A14)/(100000000)</x:f>
        <x:v>226.52089072</x:v>
      </x:c>
      <x:c r="F14" s="66" t="n">
        <x:f>SUM(B14:E14)</x:f>
        <x:v>789.27169212</x:v>
      </x:c>
      <x:c r="V14" t="str">
        <x:f>A14</x:f>
        <x:v>自行運用-另類投資</x:v>
      </x:c>
      <x:c r="W14" s="50" t="n">
        <x:f>B14/SUM($B$12:$B$17)</x:f>
        <x:v>0.01298683167317263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0.014508288041454516</x:v>
      </x:c>
      <x:c r="AB14" t="str">
        <x:f>A14</x:f>
        <x:v>自行運用-另類投資</x:v>
      </x:c>
      <x:c r="AC14" s="50" t="n">
        <x:f>E14/SUM($E$12:$E$17)</x:f>
        <x:v>0.05277850762320266</x:v>
      </x:c>
      <x:c r="AD14" t="str">
        <x:f>A14</x:f>
        <x:v>自行運用-另類投資</x:v>
      </x:c>
      <x:c r="AE14" s="50" t="n">
        <x:f>F14/SUM($F$12:$F$17)</x:f>
        <x:v>0.015182858430110717</x:v>
      </x:c>
    </x:row>
    <x:row r="15">
      <x:c r="A15" s="30" t="str">
        <x:v>委託經營-固定收益</x:v>
      </x:c>
      <x:c r="B15" s="65" t="n">
        <x:f>SUMIFS('月度資產配置'!$E$4:$E$231,'月度資產配置'!$A$4:$A$231,$A$6,'月度資產配置'!$C$4:$C$231,"新制",'月度資產配置'!$D$4:$D$231,$A15)/(100000000)</x:f>
        <x:v>5859.32807329</x:v>
      </x:c>
      <x:c r="C15" s="65" t="n">
        <x:f>SUMIFS('月度資產配置'!$E$4:$E$231,'月度資產配置'!$A$4:$A$231,$A$6,'月度資產配置'!$C$4:$C$231,"舊制",'月度資產配置'!$D$4:$D$231,$A15)/(100000000)</x:f>
        <x:v>1080.36669123</x:v>
      </x:c>
      <x:c r="D15" s="65" t="n">
        <x:f>SUMIFS('月度資產配置'!$E$4:$E$231,'月度資產配置'!$A$4:$A$231,$A$6,'月度資產配置'!$C$4:$C$231,"勞工保險",'月度資產配置'!$D$4:$D$231,$A15)/(100000000)</x:f>
        <x:v>939.35170986</x:v>
      </x:c>
      <x:c r="E15" s="65" t="n">
        <x:f>SUMIFS('月度資產配置'!$E$4:$E$231,'月度資產配置'!$A$4:$A$231,$A$6,'月度資產配置'!$C$4:$C$231,"國民年金",'月度資產配置'!$D$4:$D$231,$A15)/(100000000)</x:f>
        <x:v>427.16622221</x:v>
      </x:c>
      <x:c r="F15" s="66" t="n">
        <x:f>SUM(B15:E15)</x:f>
        <x:v>8306.21269659</x:v>
      </x:c>
      <x:c r="V15" t="str">
        <x:f>A15</x:f>
        <x:v>委託經營-固定收益</x:v>
      </x:c>
      <x:c r="W15" s="50" t="n">
        <x:f>B15/SUM($B$12:$B$17)</x:f>
        <x:v>0.16755789634616064</x:v>
      </x:c>
      <x:c r="X15" t="str">
        <x:f>A15</x:f>
        <x:v>委託經營-固定收益</x:v>
      </x:c>
      <x:c r="Y15" s="50" t="n">
        <x:f>C15/SUM($C$12:$C$17)</x:f>
        <x:v>0.20629024135352153</x:v>
      </x:c>
      <x:c r="Z15" t="str">
        <x:f>A15</x:f>
        <x:v>委託經營-固定收益</x:v>
      </x:c>
      <x:c r="AA15" s="50" t="n">
        <x:f>D15/SUM($D$12:$D$17)</x:f>
        <x:v>0.125474713448047</x:v>
      </x:c>
      <x:c r="AB15" t="str">
        <x:f>A15</x:f>
        <x:v>委託經營-固定收益</x:v>
      </x:c>
      <x:c r="AC15" s="50" t="n">
        <x:f>E15/SUM($E$12:$E$17)</x:f>
        <x:v>0.09952810817415085</x:v>
      </x:c>
      <x:c r="AD15" t="str">
        <x:f>A15</x:f>
        <x:v>委託經營-固定收益</x:v>
      </x:c>
      <x:c r="AE15" s="50" t="n">
        <x:f>F15/SUM($F$12:$F$17)</x:f>
        <x:v>0.15978281334780245</x:v>
      </x:c>
    </x:row>
    <x:row r="16">
      <x:c r="A16" s="30" t="str">
        <x:v>委託經營-權益證券</x:v>
      </x:c>
      <x:c r="B16" s="65" t="n">
        <x:f>SUMIFS('月度資產配置'!$E$4:$E$231,'月度資產配置'!$A$4:$A$231,$A$6,'月度資產配置'!$C$4:$C$231,"新制",'月度資產配置'!$D$4:$D$231,$A16)/(100000000)</x:f>
        <x:v>15180.91521122</x:v>
      </x:c>
      <x:c r="C16" s="65" t="n">
        <x:f>SUMIFS('月度資產配置'!$E$4:$E$231,'月度資產配置'!$A$4:$A$231,$A$6,'月度資產配置'!$C$4:$C$231,"舊制",'月度資產配置'!$D$4:$D$231,$A16)/(100000000)</x:f>
        <x:v>2413.077466</x:v>
      </x:c>
      <x:c r="D16" s="65" t="n">
        <x:f>SUMIFS('月度資產配置'!$E$4:$E$231,'月度資產配置'!$A$4:$A$231,$A$6,'月度資產配置'!$C$4:$C$231,"勞工保險",'月度資產配置'!$D$4:$D$231,$A16)/(100000000)</x:f>
        <x:v>2212.21954191</x:v>
      </x:c>
      <x:c r="E16" s="65" t="n">
        <x:f>SUMIFS('月度資產配置'!$E$4:$E$231,'月度資產配置'!$A$4:$A$231,$A$6,'月度資產配置'!$C$4:$C$231,"國民年金",'月度資產配置'!$D$4:$D$231,$A16)/(100000000)</x:f>
        <x:v>1686.06130386</x:v>
      </x:c>
      <x:c r="F16" s="66" t="n">
        <x:f>SUM(B16:E16)</x:f>
        <x:v>21492.27352299</x:v>
      </x:c>
      <x:c r="V16" t="str">
        <x:f>A16</x:f>
        <x:v>委託經營-權益證券</x:v>
      </x:c>
      <x:c r="W16" s="50" t="n">
        <x:f>B16/SUM($B$12:$B$17)</x:f>
        <x:v>0.4341252419363475</x:v>
      </x:c>
      <x:c r="X16" t="str">
        <x:f>A16</x:f>
        <x:v>委託經營-權益證券</x:v>
      </x:c>
      <x:c r="Y16" s="50" t="n">
        <x:f>C16/SUM($C$12:$C$17)</x:f>
        <x:v>0.4607642357977032</x:v>
      </x:c>
      <x:c r="Z16" t="str">
        <x:f>A16</x:f>
        <x:v>委託經營-權益證券</x:v>
      </x:c>
      <x:c r="AA16" s="50" t="n">
        <x:f>D16/SUM($D$12:$D$17)</x:f>
        <x:v>0.29549913008270023</x:v>
      </x:c>
      <x:c r="AB16" t="str">
        <x:f>A16</x:f>
        <x:v>委託經營-權益證券</x:v>
      </x:c>
      <x:c r="AC16" s="50" t="n">
        <x:f>E16/SUM($E$12:$E$17)</x:f>
        <x:v>0.39284588320358876</x:v>
      </x:c>
      <x:c r="AD16" t="str">
        <x:f>A16</x:f>
        <x:v>委託經營-權益證券</x:v>
      </x:c>
      <x:c r="AE16" s="50" t="n">
        <x:f>F16/SUM($F$12:$F$17)</x:f>
        <x:v>0.4134370325182797</x:v>
      </x:c>
    </x:row>
    <x:row r="17">
      <x:c r="A17" s="33" t="str">
        <x:v>委託經營-另類投資</x:v>
      </x:c>
      <x:c r="B17" s="67" t="n">
        <x:f>SUMIFS('月度資產配置'!$E$4:$E$231,'月度資產配置'!$A$4:$A$231,$A$6,'月度資產配置'!$C$4:$C$231,"新制",'月度資產配置'!$D$4:$D$231,$A17)/(100000000)</x:f>
        <x:v>5570.29765749</x:v>
      </x:c>
      <x:c r="C17" s="67" t="n">
        <x:f>SUMIFS('月度資產配置'!$E$4:$E$231,'月度資產配置'!$A$4:$A$231,$A$6,'月度資產配置'!$C$4:$C$231,"舊制",'月度資產配置'!$D$4:$D$231,$A17)/(100000000)</x:f>
        <x:v>1201.27282859</x:v>
      </x:c>
      <x:c r="D17" s="67" t="n">
        <x:f>SUMIFS('月度資產配置'!$E$4:$E$231,'月度資產配置'!$A$4:$A$231,$A$6,'月度資產配置'!$C$4:$C$231,"勞工保險",'月度資產配置'!$D$4:$D$231,$A17)/(100000000)</x:f>
        <x:v>1383.8754935</x:v>
      </x:c>
      <x:c r="E17" s="67" t="n">
        <x:f>SUMIFS('月度資產配置'!$E$4:$E$231,'月度資產配置'!$A$4:$A$231,$A$6,'月度資產配置'!$C$4:$C$231,"國民年金",'月度資產配置'!$D$4:$D$231,$A17)/(100000000)</x:f>
        <x:v>295.99717567</x:v>
      </x:c>
      <x:c r="F17" s="68" t="n">
        <x:f>SUM(B17:E17)</x:f>
        <x:v>8451.443155250001</x:v>
      </x:c>
      <x:c r="V17" t="str">
        <x:f>A17</x:f>
        <x:v>委託經營-另類投資</x:v>
      </x:c>
      <x:c r="W17" s="50" t="n">
        <x:f>B17/SUM($B$12:$B$17)</x:f>
        <x:v>0.15929255809478823</x:v>
      </x:c>
      <x:c r="X17" t="str">
        <x:f>A17</x:f>
        <x:v>委託經營-另類投資</x:v>
      </x:c>
      <x:c r="Y17" s="50" t="n">
        <x:f>C17/SUM($C$12:$C$17)</x:f>
        <x:v>0.22937662161643038</x:v>
      </x:c>
      <x:c r="Z17" t="str">
        <x:f>A17</x:f>
        <x:v>委託經營-另類投資</x:v>
      </x:c>
      <x:c r="AA17" s="50" t="n">
        <x:f>D17/SUM($D$12:$D$17)</x:f>
        <x:v>0.18485236059299498</x:v>
      </x:c>
      <x:c r="AB17" t="str">
        <x:f>A17</x:f>
        <x:v>委託經營-另類投資</x:v>
      </x:c>
      <x:c r="AC17" s="50" t="n">
        <x:f>E17/SUM($E$12:$E$17)</x:f>
        <x:v>0.06896621827192129</x:v>
      </x:c>
      <x:c r="AD17" t="str">
        <x:f>A17</x:f>
        <x:v>委託經營-另類投資</x:v>
      </x:c>
      <x:c r="AE17" s="50" t="n">
        <x:f>F17/SUM($F$12:$F$17)</x:f>
        <x:v>0.16257654523453985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dcb8b7b46057471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1–6 月；勞保、國保為 115 年 6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MAX('月度資產配置'!$A$4:$A$231)</x:f>
        <x:v>46174</x:v>
      </x:c>
      <x:c r="B6" s="70" t="n">
        <x:f>SUMIFS('月度資產配置'!$E$4:$E$231,'月度資產配置'!$A$4:$A$231,$A$6,'月度資產配置'!$C$4:$C$231,"新制",'月度資產配置'!$D$4:$D$231,"合計")/'儀表板(美元)'!$C$21/1000000000</x:f>
        <x:v>181.44781436102676</x:v>
      </x:c>
      <x:c r="C6" s="70" t="n">
        <x:f>SUMIFS('月度資產配置'!$E$4:$E$231,'月度資產配置'!$A$4:$A$231,$A$6,'月度資產配置'!$C$4:$C$231,"舊制",'月度資產配置'!$D$4:$D$231,"合計")/'儀表板(美元)'!$C$21/1000000000</x:f>
        <x:v>36.38310979646267</x:v>
      </x:c>
      <x:c r="D6" s="70" t="n">
        <x:f>SUMIFS('月度資產配置'!$E$4:$E$231,'月度資產配置'!$A$4:$A$231,$A$6,'月度資產配置'!$C$4:$C$231,"勞工保險",'月度資產配置'!$D$4:$D$231,"合計")/'儀表板(美元)'!$C$21/1000000000</x:f>
        <x:v>52.655223173423074</x:v>
      </x:c>
      <x:c r="E6" s="70" t="n">
        <x:f>SUMIFS('月度資產配置'!$E$4:$E$231,'月度資產配置'!$A$4:$A$231,$A$6,'月度資產配置'!$C$4:$C$231,"國民年金",'月度資產配置'!$D$4:$D$231,"合計")/'儀表板(美元)'!$C$21/1000000000</x:f>
        <x:v>28.309007904773832</x:v>
      </x:c>
      <x:c r="F6" s="71" t="n">
        <x:f>SUM(B6:E6)</x:f>
        <x:v>298.7951552356863</x:v>
      </x:c>
      <x:c r="H6" s="57" t="str">
        <x:v>業者數</x:v>
      </x:c>
      <x:c r="I6" s="58" t="n">
        <x:v>18</x:v>
      </x:c>
      <x:c r="J6" s="58" t="n">
        <x:v>47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SUMIFS('月度資產配置'!$E$4:$E$231,'月度資產配置'!$A$4:$A$231,$A$6,'月度資產配置'!$C$4:$C$231,"新制",'月度資產配置'!$D$4:$D$231,$A10)/(1000000000*'儀表板(美元)'!$C$21)</x:f>
        <x:v>63.8288379893254</x:v>
      </x:c>
      <x:c r="C10" s="72" t="n">
        <x:f>SUMIFS('月度資產配置'!$E$4:$E$231,'月度資產配置'!$A$4:$A$231,$A$6,'月度資產配置'!$C$4:$C$231,"舊制",'月度資產配置'!$D$4:$D$231,$A10)/(1000000000*'儀表板(美元)'!$C$21)</x:f>
        <x:v>16.129004575489123</x:v>
      </x:c>
      <x:c r="D10" s="72" t="n">
        <x:f>SUMIFS('月度資產配置'!$E$4:$E$231,'月度資產配置'!$A$4:$A$231,$A$6,'月度資產配置'!$C$4:$C$231,"勞工保險",'月度資產配置'!$D$4:$D$231,$A10)/(1000000000*'儀表板(美元)'!$C$21)</x:f>
        <x:v>36.00813666116763</x:v>
      </x:c>
      <x:c r="E10" s="72" t="n">
        <x:f>SUMIFS('月度資產配置'!$E$4:$E$231,'月度資產配置'!$A$4:$A$231,$A$6,'月度資產配置'!$C$4:$C$231,"國民年金",'月度資產配置'!$D$4:$D$231,$A10)/(1000000000*'儀表板(美元)'!$C$21)</x:f>
        <x:v>17.460730342025357</x:v>
      </x:c>
      <x:c r="F10" s="73" t="n">
        <x:f>SUM(B10:E10)</x:f>
        <x:v>133.4267095680075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SUMIFS('月度資產配置'!$E$4:$E$231,'月度資產配置'!$A$4:$A$231,$A$6,'月度資產配置'!$C$4:$C$231,"新制",'月度資產配置'!$D$4:$D$231,$A11)/(1000000000*'儀表板(美元)'!$C$21)</x:f>
        <x:v>117.61897637170136</x:v>
      </x:c>
      <x:c r="C11" s="74" t="n">
        <x:f>SUMIFS('月度資產配置'!$E$4:$E$231,'月度資產配置'!$A$4:$A$231,$A$6,'月度資產配置'!$C$4:$C$231,"舊制",'月度資產配置'!$D$4:$D$231,$A11)/(1000000000*'儀表板(美元)'!$C$21)</x:f>
        <x:v>20.25410522097355</x:v>
      </x:c>
      <x:c r="D11" s="74" t="n">
        <x:f>SUMIFS('月度資產配置'!$E$4:$E$231,'月度資產配置'!$A$4:$A$231,$A$6,'月度資產配置'!$C$4:$C$231,"勞工保險",'月度資產配置'!$D$4:$D$231,$A11)/(1000000000*'儀表板(美元)'!$C$21)</x:f>
        <x:v>16.647086512255438</x:v>
      </x:c>
      <x:c r="E11" s="74" t="n">
        <x:f>SUMIFS('月度資產配置'!$E$4:$E$231,'月度資產配置'!$A$4:$A$231,$A$6,'月度資產配置'!$C$4:$C$231,"國民年金",'月度資產配置'!$D$4:$D$231,$A11)/(1000000000*'儀表板(美元)'!$C$21)</x:f>
        <x:v>10.848277562748473</x:v>
      </x:c>
      <x:c r="F11" s="75" t="n">
        <x:f>SUM(B11:E11)</x:f>
        <x:v>165.36844566767883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74" t="n">
        <x:f>SUMIFS('月度資產配置'!$E$4:$E$231,'月度資產配置'!$A$4:$A$231,$A$6,'月度資產配置'!$C$4:$C$231,"新制",'月度資產配置'!$D$4:$D$231,$A12)/(1000000000*'儀表板(美元)'!$C$21)</x:f>
        <x:v>22.402725397151354</x:v>
      </x:c>
      <x:c r="C12" s="74" t="n">
        <x:f>SUMIFS('月度資產配置'!$E$4:$E$231,'月度資產配置'!$A$4:$A$231,$A$6,'月度資產配置'!$C$4:$C$231,"舊制",'月度資產配置'!$D$4:$D$231,$A12)/(1000000000*'儀表板(美元)'!$C$21)</x:f>
        <x:v>0.9655164539051495</x:v>
      </x:c>
      <x:c r="D12" s="74" t="n">
        <x:f>SUMIFS('月度資產配置'!$E$4:$E$231,'月度資產配置'!$A$4:$A$231,$A$6,'月度資產配置'!$C$4:$C$231,"勞工保險",'月度資產配置'!$D$4:$D$231,$A12)/(1000000000*'儀表板(美元)'!$C$21)</x:f>
        <x:v>5.964885141117546</x:v>
      </x:c>
      <x:c r="E12" s="74" t="n">
        <x:f>SUMIFS('月度資產配置'!$E$4:$E$231,'月度資產配置'!$A$4:$A$231,$A$6,'月度資產配置'!$C$4:$C$231,"國民年金",'月度資產配置'!$D$4:$D$231,$A12)/(1000000000*'儀表板(美元)'!$C$21)</x:f>
        <x:v>3.386748695852246</x:v>
      </x:c>
      <x:c r="F12" s="75" t="n">
        <x:f>SUM(B12:E12)</x:f>
        <x:v>32.71987568802629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0.2046542800374838</x:v>
      </x:c>
      <x:c r="X12" t="str">
        <x:f>A12</x:f>
        <x:v>自行運用-固定收益</x:v>
      </x:c>
      <x:c r="Y12" s="50" t="n">
        <x:f>C12/SUM($C$12:$C$17)</x:f>
        <x:v>0.0588938667884109</x:v>
      </x:c>
      <x:c r="Z12" t="str">
        <x:f>A12</x:f>
        <x:v>自行運用-固定收益</x:v>
      </x:c>
      <x:c r="AA12" s="50" t="n">
        <x:f>D12/SUM($D$12:$D$17)</x:f>
        <x:v>0.254526473393381</x:v>
      </x:c>
      <x:c r="AB12" t="str">
        <x:f>A12</x:f>
        <x:v>自行運用-固定收益</x:v>
      </x:c>
      <x:c r="AC12" s="50" t="n">
        <x:f>E12/SUM($E$12:$E$17)</x:f>
        <x:v>0.2520778638398026</x:v>
      </x:c>
      <x:c r="AD12" t="str">
        <x:f>A12</x:f>
        <x:v>自行運用-固定收益</x:v>
      </x:c>
      <x:c r="AE12" s="50" t="n">
        <x:f>F12/SUM($F$12:$F$17)</x:f>
        <x:v>0.2010673496050327</x:v>
      </x:c>
    </x:row>
    <x:row r="13">
      <x:c r="A13" s="30" t="str">
        <x:v>自行運用-權益證券</x:v>
      </x:c>
      <x:c r="B13" s="74" t="n">
        <x:f>SUMIFS('月度資產配置'!$E$4:$E$231,'月度資產配置'!$A$4:$A$231,$A$6,'月度資產配置'!$C$4:$C$231,"新制",'月度資產配置'!$D$4:$D$231,$A13)/(1000000000*'儀表板(美元)'!$C$21)</x:f>
        <x:v>2.3407366629832524</x:v>
      </x:c>
      <x:c r="C13" s="74" t="n">
        <x:f>SUMIFS('月度資產配置'!$E$4:$E$231,'月度資產配置'!$A$4:$A$231,$A$6,'月度資產配置'!$C$4:$C$231,"舊制",'月度資產配置'!$D$4:$D$231,$A13)/(1000000000*'儀表板(美元)'!$C$21)</x:f>
        <x:v>0.7324104051338237</x:v>
      </x:c>
      <x:c r="D13" s="74" t="n">
        <x:f>SUMIFS('月度資產配置'!$E$4:$E$231,'月度資產配置'!$A$4:$A$231,$A$6,'月度資產配置'!$C$4:$C$231,"勞工保險",'月度資產配置'!$D$4:$D$231,$A13)/(1000000000*'儀表板(美元)'!$C$21)</x:f>
        <x:v>2.932661413022382</x:v>
      </x:c>
      <x:c r="E13" s="74" t="n">
        <x:f>SUMIFS('月度資產配置'!$E$4:$E$231,'月度資產配置'!$A$4:$A$231,$A$6,'月度資產配置'!$C$4:$C$231,"國民年金",'月度資產配置'!$D$4:$D$231,$A13)/(1000000000*'儀表板(美元)'!$C$21)</x:f>
        <x:v>1.7976927744247926</x:v>
      </x:c>
      <x:c r="F13" s="75" t="n">
        <x:f>SUM(B13:E13)</x:f>
        <x:v>7.8035012555642504</x:v>
      </x:c>
      <x:c r="V13" t="str">
        <x:f>A13</x:f>
        <x:v>自行運用-權益證券</x:v>
      </x:c>
      <x:c r="W13" s="50" t="n">
        <x:f>B13/SUM($B$12:$B$17)</x:f>
        <x:v>0.02138319191204714</x:v>
      </x:c>
      <x:c r="X13" t="str">
        <x:f>A13</x:f>
        <x:v>自行運用-權益證券</x:v>
      </x:c>
      <x:c r="Y13" s="50" t="n">
        <x:f>C13/SUM($C$12:$C$17)</x:f>
        <x:v>0.044675034443933906</x:v>
      </x:c>
      <x:c r="Z13" t="str">
        <x:f>A13</x:f>
        <x:v>自行運用-權益證券</x:v>
      </x:c>
      <x:c r="AA13" s="50" t="n">
        <x:f>D13/SUM($D$12:$D$17)</x:f>
        <x:v>0.12513903444142227</x:v>
      </x:c>
      <x:c r="AB13" t="str">
        <x:f>A13</x:f>
        <x:v>自行運用-權益證券</x:v>
      </x:c>
      <x:c r="AC13" s="50" t="n">
        <x:f>E13/SUM($E$12:$E$17)</x:f>
        <x:v>0.13380341888733388</x:v>
      </x:c>
      <x:c r="AD13" t="str">
        <x:f>A13</x:f>
        <x:v>自行運用-權益證券</x:v>
      </x:c>
      <x:c r="AE13" s="50" t="n">
        <x:f>F13/SUM($F$12:$F$17)</x:f>
        <x:v>0.0479534008642346</x:v>
      </x:c>
    </x:row>
    <x:row r="14">
      <x:c r="A14" s="30" t="str">
        <x:v>自行運用-另類投資</x:v>
      </x:c>
      <x:c r="B14" s="74" t="n">
        <x:f>SUMIFS('月度資產配置'!$E$4:$E$231,'月度資產配置'!$A$4:$A$231,$A$6,'月度資產配置'!$C$4:$C$231,"新制",'月度資產配置'!$D$4:$D$231,$A14)/(1000000000*'儀表板(美元)'!$C$21)</x:f>
        <x:v>1.421619052872124</x:v>
      </x:c>
      <x:c r="C14" s="74" t="n">
        <x:f>SUMIFS('月度資產配置'!$E$4:$E$231,'月度資產配置'!$A$4:$A$231,$A$6,'月度資產配置'!$C$4:$C$231,"舊制",'月度資產配置'!$D$4:$D$231,$A14)/(1000000000*'儀表板(美元)'!$C$21)</x:f>
        <x:v>0</x:v>
      </x:c>
      <x:c r="D14" s="74" t="n">
        <x:f>SUMIFS('月度資產配置'!$E$4:$E$231,'月度資產配置'!$A$4:$A$231,$A$6,'月度資產配置'!$C$4:$C$231,"勞工保險",'月度資產配置'!$D$4:$D$231,$A14)/(1000000000*'儀表板(美元)'!$C$21)</x:f>
        <x:v>0.34000499283142904</x:v>
      </x:c>
      <x:c r="E14" s="74" t="n">
        <x:f>SUMIFS('月度資產配置'!$E$4:$E$231,'月度資產配置'!$A$4:$A$231,$A$6,'月度資產配置'!$C$4:$C$231,"國民年金",'月度資產配置'!$D$4:$D$231,$A14)/(1000000000*'儀表板(美元)'!$C$21)</x:f>
        <x:v>0.7090965431835968</x:v>
      </x:c>
      <x:c r="F14" s="75" t="n">
        <x:f>SUM(B14:E14)</x:f>
        <x:v>2.4707205888871497</x:v>
      </x:c>
      <x:c r="V14" t="str">
        <x:f>A14</x:f>
        <x:v>自行運用-另類投資</x:v>
      </x:c>
      <x:c r="W14" s="50" t="n">
        <x:f>B14/SUM($B$12:$B$17)</x:f>
        <x:v>0.012986831673172631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0.014508288041454516</x:v>
      </x:c>
      <x:c r="AB14" t="str">
        <x:f>A14</x:f>
        <x:v>自行運用-另類投資</x:v>
      </x:c>
      <x:c r="AC14" s="50" t="n">
        <x:f>E14/SUM($E$12:$E$17)</x:f>
        <x:v>0.05277850762320265</x:v>
      </x:c>
      <x:c r="AD14" t="str">
        <x:f>A14</x:f>
        <x:v>自行運用-另類投資</x:v>
      </x:c>
      <x:c r="AE14" s="50" t="n">
        <x:f>F14/SUM($F$12:$F$17)</x:f>
        <x:v>0.01518285843011072</x:v>
      </x:c>
    </x:row>
    <x:row r="15">
      <x:c r="A15" s="30" t="str">
        <x:v>委託經營-固定收益</x:v>
      </x:c>
      <x:c r="B15" s="74" t="n">
        <x:f>SUMIFS('月度資產配置'!$E$4:$E$231,'月度資產配置'!$A$4:$A$231,$A$6,'月度資產配置'!$C$4:$C$231,"新制",'月度資產配置'!$D$4:$D$231,$A15)/(1000000000*'儀表板(美元)'!$C$21)</x:f>
        <x:v>18.34192541333542</x:v>
      </x:c>
      <x:c r="C15" s="74" t="n">
        <x:f>SUMIFS('月度資產配置'!$E$4:$E$231,'月度資產配置'!$A$4:$A$231,$A$6,'月度資產配置'!$C$4:$C$231,"舊制",'月度資產配置'!$D$4:$D$231,$A15)/(1000000000*'儀表板(美元)'!$C$21)</x:f>
        <x:v>3.3819586515260602</x:v>
      </x:c>
      <x:c r="D15" s="74" t="n">
        <x:f>SUMIFS('月度資產配置'!$E$4:$E$231,'月度資產配置'!$A$4:$A$231,$A$6,'月度資產配置'!$C$4:$C$231,"勞工保險",'月度資產配置'!$D$4:$D$231,$A15)/(1000000000*'儀表板(美元)'!$C$21)</x:f>
        <x:v>2.9405281260291125</x:v>
      </x:c>
      <x:c r="E15" s="74" t="n">
        <x:f>SUMIFS('月度資產配置'!$E$4:$E$231,'月度資產配置'!$A$4:$A$231,$A$6,'月度資產配置'!$C$4:$C$231,"國民年金",'月度資產配置'!$D$4:$D$231,$A15)/(1000000000*'儀表板(美元)'!$C$21)</x:f>
        <x:v>1.337192744435749</x:v>
      </x:c>
      <x:c r="F15" s="75" t="n">
        <x:f>SUM(B15:E15)</x:f>
        <x:v>26.00160493532634</x:v>
      </x:c>
      <x:c r="V15" t="str">
        <x:f>A15</x:f>
        <x:v>委託經營-固定收益</x:v>
      </x:c>
      <x:c r="W15" s="50" t="n">
        <x:f>B15/SUM($B$12:$B$17)</x:f>
        <x:v>0.16755789634616067</x:v>
      </x:c>
      <x:c r="X15" t="str">
        <x:f>A15</x:f>
        <x:v>委託經營-固定收益</x:v>
      </x:c>
      <x:c r="Y15" s="50" t="n">
        <x:f>C15/SUM($C$12:$C$17)</x:f>
        <x:v>0.20629024135352156</x:v>
      </x:c>
      <x:c r="Z15" t="str">
        <x:f>A15</x:f>
        <x:v>委託經營-固定收益</x:v>
      </x:c>
      <x:c r="AA15" s="50" t="n">
        <x:f>D15/SUM($D$12:$D$17)</x:f>
        <x:v>0.125474713448047</x:v>
      </x:c>
      <x:c r="AB15" t="str">
        <x:f>A15</x:f>
        <x:v>委託經營-固定收益</x:v>
      </x:c>
      <x:c r="AC15" s="50" t="n">
        <x:f>E15/SUM($E$12:$E$17)</x:f>
        <x:v>0.09952810817415085</x:v>
      </x:c>
      <x:c r="AD15" t="str">
        <x:f>A15</x:f>
        <x:v>委託經營-固定收益</x:v>
      </x:c>
      <x:c r="AE15" s="50" t="n">
        <x:f>F15/SUM($F$12:$F$17)</x:f>
        <x:v>0.15978281334780248</x:v>
      </x:c>
    </x:row>
    <x:row r="16">
      <x:c r="A16" s="30" t="str">
        <x:v>委託經營-權益證券</x:v>
      </x:c>
      <x:c r="B16" s="74" t="n">
        <x:f>SUMIFS('月度資產配置'!$E$4:$E$231,'月度資產配置'!$A$4:$A$231,$A$6,'月度資產配置'!$C$4:$C$231,"新制",'月度資產配置'!$D$4:$D$231,$A16)/(1000000000*'儀表板(美元)'!$C$21)</x:f>
        <x:v>47.52203853880106</x:v>
      </x:c>
      <x:c r="C16" s="74" t="n">
        <x:f>SUMIFS('月度資產配置'!$E$4:$E$231,'月度資產配置'!$A$4:$A$231,$A$6,'月度資產配置'!$C$4:$C$231,"舊制",'月度資產配置'!$D$4:$D$231,$A16)/(1000000000*'儀表板(美元)'!$C$21)</x:f>
        <x:v>7.553850261386758</x:v>
      </x:c>
      <x:c r="D16" s="74" t="n">
        <x:f>SUMIFS('月度資產配置'!$E$4:$E$231,'月度資產配置'!$A$4:$A$231,$A$6,'月度資產配置'!$C$4:$C$231,"勞工保險",'月度資產配置'!$D$4:$D$231,$A16)/(1000000000*'儀表板(美元)'!$C$21)</x:f>
        <x:v>6.925088564438879</x:v>
      </x:c>
      <x:c r="E16" s="74" t="n">
        <x:f>SUMIFS('月度資產配置'!$E$4:$E$231,'月度資產配置'!$A$4:$A$231,$A$6,'月度資產配置'!$C$4:$C$231,"國民年金",'月度資產配置'!$D$4:$D$231,$A16)/(1000000000*'儀表板(美元)'!$C$21)</x:f>
        <x:v>5.278013159680701</x:v>
      </x:c>
      <x:c r="F16" s="75" t="n">
        <x:f>SUM(B16:E16)</x:f>
        <x:v>67.2789905243074</x:v>
      </x:c>
      <x:c r="V16" t="str">
        <x:f>A16</x:f>
        <x:v>委託經營-權益證券</x:v>
      </x:c>
      <x:c r="W16" s="50" t="n">
        <x:f>B16/SUM($B$12:$B$17)</x:f>
        <x:v>0.43412524193634755</x:v>
      </x:c>
      <x:c r="X16" t="str">
        <x:f>A16</x:f>
        <x:v>委託經營-權益證券</x:v>
      </x:c>
      <x:c r="Y16" s="50" t="n">
        <x:f>C16/SUM($C$12:$C$17)</x:f>
        <x:v>0.4607642357977033</x:v>
      </x:c>
      <x:c r="Z16" t="str">
        <x:f>A16</x:f>
        <x:v>委託經營-權益證券</x:v>
      </x:c>
      <x:c r="AA16" s="50" t="n">
        <x:f>D16/SUM($D$12:$D$17)</x:f>
        <x:v>0.2954991300827003</x:v>
      </x:c>
      <x:c r="AB16" t="str">
        <x:f>A16</x:f>
        <x:v>委託經營-權益證券</x:v>
      </x:c>
      <x:c r="AC16" s="50" t="n">
        <x:f>E16/SUM($E$12:$E$17)</x:f>
        <x:v>0.39284588320358876</x:v>
      </x:c>
      <x:c r="AD16" t="str">
        <x:f>A16</x:f>
        <x:v>委託經營-權益證券</x:v>
      </x:c>
      <x:c r="AE16" s="50" t="n">
        <x:f>F16/SUM($F$12:$F$17)</x:f>
        <x:v>0.4134370325182798</x:v>
      </x:c>
    </x:row>
    <x:row r="17">
      <x:c r="A17" s="33" t="str">
        <x:v>委託經營-另類投資</x:v>
      </x:c>
      <x:c r="B17" s="76" t="n">
        <x:f>SUMIFS('月度資產配置'!$E$4:$E$231,'月度資產配置'!$A$4:$A$231,$A$6,'月度資產配置'!$C$4:$C$231,"新制",'月度資產配置'!$D$4:$D$231,$A17)/(1000000000*'儀表板(美元)'!$C$21)</x:f>
        <x:v>17.437150281702927</x:v>
      </x:c>
      <x:c r="C17" s="76" t="n">
        <x:f>SUMIFS('月度資產配置'!$E$4:$E$231,'月度資產配置'!$A$4:$A$231,$A$6,'月度資產配置'!$C$4:$C$231,"舊制",'月度資產配置'!$D$4:$D$231,$A17)/(1000000000*'儀表板(美元)'!$C$21)</x:f>
        <x:v>3.7604408470496167</x:v>
      </x:c>
      <x:c r="D17" s="76" t="n">
        <x:f>SUMIFS('月度資產配置'!$E$4:$E$231,'月度資產配置'!$A$4:$A$231,$A$6,'月度資產配置'!$C$4:$C$231,"勞工保險",'月度資產配置'!$D$4:$D$231,$A17)/(1000000000*'儀表板(美元)'!$C$21)</x:f>
        <x:v>4.332056639536703</x:v>
      </x:c>
      <x:c r="E17" s="76" t="n">
        <x:f>SUMIFS('月度資產配置'!$E$4:$E$231,'月度資產配置'!$A$4:$A$231,$A$6,'月度資產配置'!$C$4:$C$231,"國民年金",'月度資產配置'!$D$4:$D$231,$A17)/(1000000000*'儀表板(美元)'!$C$21)</x:f>
        <x:v>0.9265837397714822</x:v>
      </x:c>
      <x:c r="F17" s="77" t="n">
        <x:f>SUM(B17:E17)</x:f>
        <x:v>26.456231508060725</x:v>
      </x:c>
      <x:c r="V17" t="str">
        <x:f>A17</x:f>
        <x:v>委託經營-另類投資</x:v>
      </x:c>
      <x:c r="W17" s="50" t="n">
        <x:f>B17/SUM($B$12:$B$17)</x:f>
        <x:v>0.15929255809478823</x:v>
      </x:c>
      <x:c r="X17" t="str">
        <x:f>A17</x:f>
        <x:v>委託經營-另類投資</x:v>
      </x:c>
      <x:c r="Y17" s="50" t="n">
        <x:f>C17/SUM($C$12:$C$17)</x:f>
        <x:v>0.22937662161643044</x:v>
      </x:c>
      <x:c r="Z17" t="str">
        <x:f>A17</x:f>
        <x:v>委託經營-另類投資</x:v>
      </x:c>
      <x:c r="AA17" s="50" t="n">
        <x:f>D17/SUM($D$12:$D$17)</x:f>
        <x:v>0.18485236059299498</x:v>
      </x:c>
      <x:c r="AB17" t="str">
        <x:f>A17</x:f>
        <x:v>委託經營-另類投資</x:v>
      </x:c>
      <x:c r="AC17" s="50" t="n">
        <x:f>E17/SUM($E$12:$E$17)</x:f>
        <x:v>0.06896621827192129</x:v>
      </x:c>
      <x:c r="AD17" t="str">
        <x:f>A17</x:f>
        <x:v>委託經營-另類投資</x:v>
      </x:c>
      <x:c r="AE17" s="50" t="n">
        <x:f>F17/SUM($F$12:$F$17)</x:f>
        <x:v>0.16257654523453985</x:v>
      </x:c>
    </x:row>
    <x:row r="20">
      <x:c r="A20" s="5" t="str">
        <x:v>美元換算匯率｜公開報價</x:v>
      </x:c>
      <x:c r="B20" s="5"/>
      <x:c r="C20" s="5"/>
      <x:c r="D20" s="5"/>
      <x:c r="E20" s="5"/>
      <x:c r="F20" s="5"/>
    </x:row>
    <x:row r="21">
      <x:c r="A21" s="57" t="str">
        <x:v>幣別</x:v>
      </x:c>
      <x:c r="B21" s="58" t="str">
        <x:v>匯率類型</x:v>
      </x:c>
      <x:c r="C21" s="81" t="n">
        <x:v>31.945</x:v>
      </x:c>
      <x:c r="D21" s="58" t="str">
        <x:v>報價時間</x:v>
      </x:c>
      <x:c r="E21" s="82" t="str">
        <x:v>2026-08-26 04:40</x:v>
      </x:c>
      <x:c r="F21" s="59" t="str">
        <x:v>TWD／USD</x:v>
      </x:c>
    </x:row>
    <x:row r="22">
      <x:c r="A22" s="79" t="str">
        <x:v>來源：https://rate.bot.com.tw/xrt?Lang=en-US（臺灣銀行公開即時匯率；可直接覆蓋 C21 更新換算）</x:v>
      </x:c>
      <x:c r="B22" s="79"/>
      <x:c r="C22" s="79"/>
      <x:c r="D22" s="79"/>
      <x:c r="E22" s="79"/>
      <x:c r="F22" s="79"/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b0271ae0687c4e3d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國內委託經營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國內委託經營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國內委託經營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國內委託經營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國內委託經營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國內委託經營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國內委託經營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國內委託經營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國內委託經營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國內委託經營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國內委託經營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國內委託經營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46174</x:v>
      </x:c>
      <x:c r="B196" s="31" t="str">
        <x:v>115年6月</x:v>
      </x:c>
      <x:c r="C196" s="31" t="str">
        <x:v>勞工保險</x:v>
      </x:c>
      <x:c r="D196" s="31" t="str">
        <x:v>自行運用</x:v>
      </x:c>
      <x:c r="E196" s="40" t="n">
        <x:v>1150279925641</x:v>
      </x:c>
      <x:c r="F196" s="43" t="n">
        <x:v>0.6839</x:v>
      </x:c>
      <x:c r="G196" s="31" t="str">
        <x:v>勞工保險基金-115年6月.pdf</x:v>
      </x:c>
      <x:c r="H196" s="32" t="str">
        <x:v>資產配置（勞工保險基金）</x:v>
      </x:c>
    </x:row>
    <x:row r="197">
      <x:c r="A197" s="37" t="n">
        <x:v>46174</x:v>
      </x:c>
      <x:c r="B197" s="31" t="str">
        <x:v>115年6月</x:v>
      </x:c>
      <x:c r="C197" s="31" t="str">
        <x:v>勞工保險</x:v>
      </x:c>
      <x:c r="D197" s="31" t="str">
        <x:v>轉存金融機構</x:v>
      </x:c>
      <x:c r="E197" s="40" t="n">
        <x:v>171077941843</x:v>
      </x:c>
      <x:c r="F197" s="43" t="n">
        <x:v>0.1017</x:v>
      </x:c>
      <x:c r="G197" s="31" t="str">
        <x:v>勞工保險基金-115年6月.pdf</x:v>
      </x:c>
      <x:c r="H197" s="32" t="str">
        <x:v>資產配置（勞工保險基金）</x:v>
      </x:c>
    </x:row>
    <x:row r="198">
      <x:c r="A198" s="37" t="n">
        <x:v>46174</x:v>
      </x:c>
      <x:c r="B198" s="31" t="str">
        <x:v>115年6月</x:v>
      </x:c>
      <x:c r="C198" s="31" t="str">
        <x:v>勞工保險</x:v>
      </x:c>
      <x:c r="D198" s="31" t="str">
        <x:v>短期票券</x:v>
      </x:c>
      <x:c r="E198" s="40" t="n">
        <x:v>41231589691</x:v>
      </x:c>
      <x:c r="F198" s="43" t="n">
        <x:v>0.0245</x:v>
      </x:c>
      <x:c r="G198" s="31" t="str">
        <x:v>勞工保險基金-115年6月.pdf</x:v>
      </x:c>
      <x:c r="H198" s="32" t="str">
        <x:v>資產配置（勞工保險基金）</x:v>
      </x:c>
    </x:row>
    <x:row r="199">
      <x:c r="A199" s="37" t="n">
        <x:v>46174</x:v>
      </x:c>
      <x:c r="B199" s="31" t="str">
        <x:v>115年6月</x:v>
      </x:c>
      <x:c r="C199" s="31" t="str">
        <x:v>勞工保險</x:v>
      </x:c>
      <x:c r="D199" s="31" t="str">
        <x:v>公債、公司債、金融債券及特別股</x:v>
      </x:c>
      <x:c r="E199" s="40" t="n">
        <x:v>71222141881</x:v>
      </x:c>
      <x:c r="F199" s="43" t="n">
        <x:v>0.0424</x:v>
      </x:c>
      <x:c r="G199" s="31" t="str">
        <x:v>勞工保險基金-115年6月.pdf</x:v>
      </x:c>
      <x:c r="H199" s="32" t="str">
        <x:v>資產配置（勞工保險基金）</x:v>
      </x:c>
    </x:row>
    <x:row r="200">
      <x:c r="A200" s="37" t="n">
        <x:v>46174</x:v>
      </x:c>
      <x:c r="B200" s="31" t="str">
        <x:v>115年6月</x:v>
      </x:c>
      <x:c r="C200" s="31" t="str">
        <x:v>勞工保險</x:v>
      </x:c>
      <x:c r="D200" s="31" t="str">
        <x:v>房屋及土地</x:v>
      </x:c>
      <x:c r="E200" s="40" t="n">
        <x:v>1571085838</x:v>
      </x:c>
      <x:c r="F200" s="43" t="n">
        <x:v>0.0009</x:v>
      </x:c>
      <x:c r="G200" s="31" t="str">
        <x:v>勞工保險基金-115年6月.pdf</x:v>
      </x:c>
      <x:c r="H200" s="32" t="str">
        <x:v>資產配置（勞工保險基金）</x:v>
      </x:c>
    </x:row>
    <x:row r="201">
      <x:c r="A201" s="37" t="n">
        <x:v>46174</x:v>
      </x:c>
      <x:c r="B201" s="31" t="str">
        <x:v>115年6月</x:v>
      </x:c>
      <x:c r="C201" s="31" t="str">
        <x:v>勞工保險</x:v>
      </x:c>
      <x:c r="D201" s="31" t="str">
        <x:v>政府或公營事業貸款</x:v>
      </x:c>
      <x:c r="E201" s="40" t="n">
        <x:v>1470000000</x:v>
      </x:c>
      <x:c r="F201" s="43" t="n">
        <x:v>0.0009</x:v>
      </x:c>
      <x:c r="G201" s="31" t="str">
        <x:v>勞工保險基金-115年6月.pdf</x:v>
      </x:c>
      <x:c r="H201" s="32" t="str">
        <x:v>資產配置（勞工保險基金）</x:v>
      </x:c>
    </x:row>
    <x:row r="202">
      <x:c r="A202" s="37" t="n">
        <x:v>46174</x:v>
      </x:c>
      <x:c r="B202" s="31" t="str">
        <x:v>115年6月</x:v>
      </x:c>
      <x:c r="C202" s="31" t="str">
        <x:v>勞工保險</x:v>
      </x:c>
      <x:c r="D202" s="31" t="str">
        <x:v>被保險人貸款</x:v>
      </x:c>
      <x:c r="E202" s="40" t="n">
        <x:v>34901907729</x:v>
      </x:c>
      <x:c r="F202" s="43" t="n">
        <x:v>0.0207</x:v>
      </x:c>
      <x:c r="G202" s="31" t="str">
        <x:v>勞工保險基金-115年6月.pdf</x:v>
      </x:c>
      <x:c r="H202" s="32" t="str">
        <x:v>資產配置（勞工保險基金）</x:v>
      </x:c>
    </x:row>
    <x:row r="203">
      <x:c r="A203" s="37" t="n">
        <x:v>46174</x:v>
      </x:c>
      <x:c r="B203" s="31" t="str">
        <x:v>115年6月</x:v>
      </x:c>
      <x:c r="C203" s="31" t="str">
        <x:v>勞工保險</x:v>
      </x:c>
      <x:c r="D203" s="31" t="str">
        <x:v>股票及受益憑證投資（含期貨）</x:v>
      </x:c>
      <x:c r="E203" s="40" t="n">
        <x:v>533711674491</x:v>
      </x:c>
      <x:c r="F203" s="43" t="n">
        <x:v>0.3173</x:v>
      </x:c>
      <x:c r="G203" s="31" t="str">
        <x:v>勞工保險基金-115年6月.pdf</x:v>
      </x:c>
      <x:c r="H203" s="32" t="str">
        <x:v>資產配置（勞工保險基金）</x:v>
      </x:c>
    </x:row>
    <x:row r="204">
      <x:c r="A204" s="37" t="n">
        <x:v>46174</x:v>
      </x:c>
      <x:c r="B204" s="31" t="str">
        <x:v>115年6月</x:v>
      </x:c>
      <x:c r="C204" s="31" t="str">
        <x:v>勞工保險</x:v>
      </x:c>
      <x:c r="D204" s="31" t="str">
        <x:v>國外投資</x:v>
      </x:c>
      <x:c r="E204" s="40" t="n">
        <x:v>295093584168</x:v>
      </x:c>
      <x:c r="F204" s="43" t="n">
        <x:v>0.17550000000000002</x:v>
      </x:c>
      <x:c r="G204" s="31" t="str">
        <x:v>勞工保險基金-115年6月.pdf</x:v>
      </x:c>
      <x:c r="H204" s="32" t="str">
        <x:v>資產配置（勞工保險基金）</x:v>
      </x:c>
    </x:row>
    <x:row r="205">
      <x:c r="A205" s="37" t="n">
        <x:v>46174</x:v>
      </x:c>
      <x:c r="B205" s="31" t="str">
        <x:v>115年6月</x:v>
      </x:c>
      <x:c r="C205" s="31" t="str">
        <x:v>勞工保險</x:v>
      </x:c>
      <x:c r="D205" s="31" t="str">
        <x:v>自行運用-固定收益</x:v>
      </x:c>
      <x:c r="E205" s="40" t="n">
        <x:v>190548255833</x:v>
      </x:c>
      <x:c r="F205" s="43" t="n">
        <x:v>0.1133</x:v>
      </x:c>
      <x:c r="G205" s="31" t="str">
        <x:v>勞工保險基金-115年6月.pdf</x:v>
      </x:c>
      <x:c r="H205" s="32" t="str">
        <x:v>資產配置（勞工保險基金）</x:v>
      </x:c>
    </x:row>
    <x:row r="206">
      <x:c r="A206" s="37" t="n">
        <x:v>46174</x:v>
      </x:c>
      <x:c r="B206" s="31" t="str">
        <x:v>115年6月</x:v>
      </x:c>
      <x:c r="C206" s="31" t="str">
        <x:v>勞工保險</x:v>
      </x:c>
      <x:c r="D206" s="31" t="str">
        <x:v>自行運用-權益證券</x:v>
      </x:c>
      <x:c r="E206" s="40" t="n">
        <x:v>93683868839</x:v>
      </x:c>
      <x:c r="F206" s="43" t="n">
        <x:v>0.0557</x:v>
      </x:c>
      <x:c r="G206" s="31" t="str">
        <x:v>勞工保險基金-115年6月.pdf</x:v>
      </x:c>
      <x:c r="H206" s="32" t="str">
        <x:v>資產配置（勞工保險基金）</x:v>
      </x:c>
    </x:row>
    <x:row r="207">
      <x:c r="A207" s="37" t="n">
        <x:v>46174</x:v>
      </x:c>
      <x:c r="B207" s="31" t="str">
        <x:v>115年6月</x:v>
      </x:c>
      <x:c r="C207" s="31" t="str">
        <x:v>勞工保險</x:v>
      </x:c>
      <x:c r="D207" s="31" t="str">
        <x:v>自行運用-另類投資</x:v>
      </x:c>
      <x:c r="E207" s="40" t="n">
        <x:v>10861459496</x:v>
      </x:c>
      <x:c r="F207" s="43" t="n">
        <x:v>0.006500000000000001</x:v>
      </x:c>
      <x:c r="G207" s="31" t="str">
        <x:v>勞工保險基金-115年6月.pdf</x:v>
      </x:c>
      <x:c r="H207" s="32" t="str">
        <x:v>資產配置（勞工保險基金）</x:v>
      </x:c>
    </x:row>
    <x:row r="208">
      <x:c r="A208" s="37" t="n">
        <x:v>46174</x:v>
      </x:c>
      <x:c r="B208" s="31" t="str">
        <x:v>115年6月</x:v>
      </x:c>
      <x:c r="C208" s="31" t="str">
        <x:v>勞工保險</x:v>
      </x:c>
      <x:c r="D208" s="31" t="str">
        <x:v>委託經營</x:v>
      </x:c>
      <x:c r="E208" s="40" t="n">
        <x:v>531791178634</x:v>
      </x:c>
      <x:c r="F208" s="43" t="n">
        <x:v>0.3161</x:v>
      </x:c>
      <x:c r="G208" s="31" t="str">
        <x:v>勞工保險基金-115年6月.pdf</x:v>
      </x:c>
      <x:c r="H208" s="32" t="str">
        <x:v>資產配置（勞工保險基金）</x:v>
      </x:c>
    </x:row>
    <x:row r="209">
      <x:c r="A209" s="37" t="n">
        <x:v>46174</x:v>
      </x:c>
      <x:c r="B209" s="31" t="str">
        <x:v>115年6月</x:v>
      </x:c>
      <x:c r="C209" s="31" t="str">
        <x:v>勞工保險</x:v>
      </x:c>
      <x:c r="D209" s="31" t="str">
        <x:v>國內委託經營</x:v>
      </x:c>
      <x:c r="E209" s="40" t="n">
        <x:v>78246504107</x:v>
      </x:c>
      <x:c r="F209" s="43" t="n">
        <x:v>0.04650000000000001</x:v>
      </x:c>
      <x:c r="G209" s="31" t="str">
        <x:v>勞工保險基金-115年6月.pdf</x:v>
      </x:c>
      <x:c r="H209" s="32" t="str">
        <x:v>資產配置（勞工保險基金）</x:v>
      </x:c>
    </x:row>
    <x:row r="210">
      <x:c r="A210" s="37" t="n">
        <x:v>46174</x:v>
      </x:c>
      <x:c r="B210" s="31" t="str">
        <x:v>115年6月</x:v>
      </x:c>
      <x:c r="C210" s="31" t="str">
        <x:v>勞工保險</x:v>
      </x:c>
      <x:c r="D210" s="31" t="str">
        <x:v>國外委託經營</x:v>
      </x:c>
      <x:c r="E210" s="40" t="n">
        <x:v>453544674527</x:v>
      </x:c>
      <x:c r="F210" s="43" t="n">
        <x:v>0.2696</x:v>
      </x:c>
      <x:c r="G210" s="31" t="str">
        <x:v>勞工保險基金-115年6月.pdf</x:v>
      </x:c>
      <x:c r="H210" s="32" t="str">
        <x:v>資產配置（勞工保險基金）</x:v>
      </x:c>
    </x:row>
    <x:row r="211">
      <x:c r="A211" s="37" t="n">
        <x:v>46174</x:v>
      </x:c>
      <x:c r="B211" s="31" t="str">
        <x:v>115年6月</x:v>
      </x:c>
      <x:c r="C211" s="31" t="str">
        <x:v>勞工保險</x:v>
      </x:c>
      <x:c r="D211" s="31" t="str">
        <x:v>委託經營-固定收益</x:v>
      </x:c>
      <x:c r="E211" s="40" t="n">
        <x:v>93935170986</x:v>
      </x:c>
      <x:c r="F211" s="43" t="n">
        <x:v>0.0558</x:v>
      </x:c>
      <x:c r="G211" s="31" t="str">
        <x:v>勞工保險基金-115年6月.pdf</x:v>
      </x:c>
      <x:c r="H211" s="32" t="str">
        <x:v>資產配置（勞工保險基金）</x:v>
      </x:c>
    </x:row>
    <x:row r="212">
      <x:c r="A212" s="37" t="n">
        <x:v>46174</x:v>
      </x:c>
      <x:c r="B212" s="31" t="str">
        <x:v>115年6月</x:v>
      </x:c>
      <x:c r="C212" s="31" t="str">
        <x:v>勞工保險</x:v>
      </x:c>
      <x:c r="D212" s="31" t="str">
        <x:v>委託經營-權益證券</x:v>
      </x:c>
      <x:c r="E212" s="40" t="n">
        <x:v>221221954191</x:v>
      </x:c>
      <x:c r="F212" s="43" t="n">
        <x:v>0.1315</x:v>
      </x:c>
      <x:c r="G212" s="31" t="str">
        <x:v>勞工保險基金-115年6月.pdf</x:v>
      </x:c>
      <x:c r="H212" s="32" t="str">
        <x:v>資產配置（勞工保險基金）</x:v>
      </x:c>
    </x:row>
    <x:row r="213">
      <x:c r="A213" s="37" t="n">
        <x:v>46174</x:v>
      </x:c>
      <x:c r="B213" s="31" t="str">
        <x:v>115年6月</x:v>
      </x:c>
      <x:c r="C213" s="31" t="str">
        <x:v>勞工保險</x:v>
      </x:c>
      <x:c r="D213" s="31" t="str">
        <x:v>委託經營-另類投資</x:v>
      </x:c>
      <x:c r="E213" s="40" t="n">
        <x:v>138387549350</x:v>
      </x:c>
      <x:c r="F213" s="43" t="n">
        <x:v>0.0823</x:v>
      </x:c>
      <x:c r="G213" s="31" t="str">
        <x:v>勞工保險基金-115年6月.pdf</x:v>
      </x:c>
      <x:c r="H213" s="32" t="str">
        <x:v>資產配置（勞工保險基金）</x:v>
      </x:c>
    </x:row>
    <x:row r="214">
      <x:c r="A214" s="37" t="n">
        <x:v>46174</x:v>
      </x:c>
      <x:c r="B214" s="31" t="str">
        <x:v>115年6月</x:v>
      </x:c>
      <x:c r="C214" s="31" t="str">
        <x:v>勞工保險</x:v>
      </x:c>
      <x:c r="D214" s="31" t="str">
        <x:v>合計</x:v>
      </x:c>
      <x:c r="E214" s="40" t="n">
        <x:v>1682071104275</x:v>
      </x:c>
      <x:c r="F214" s="43" t="n">
        <x:v>1</x:v>
      </x:c>
      <x:c r="G214" s="31" t="str">
        <x:v>勞工保險基金-115年6月.pdf</x:v>
      </x:c>
      <x:c r="H214" s="32" t="str">
        <x:v>資產配置（勞工保險基金）</x:v>
      </x:c>
    </x:row>
    <x:row r="215">
      <x:c r="A215" s="37" t="n">
        <x:v>46174</x:v>
      </x:c>
      <x:c r="B215" s="31" t="str">
        <x:v>115年6月</x:v>
      </x:c>
      <x:c r="C215" s="31" t="str">
        <x:v>國民年金</x:v>
      </x:c>
      <x:c r="D215" s="31" t="str">
        <x:v>自行運用</x:v>
      </x:c>
      <x:c r="E215" s="40" t="n">
        <x:v>557783030776</x:v>
      </x:c>
      <x:c r="F215" s="43" t="n">
        <x:v>0.6168</x:v>
      </x:c>
      <x:c r="G215" s="31" t="str">
        <x:v>國民年金保險基金-115年6月.pdf</x:v>
      </x:c>
      <x:c r="H215" s="32" t="str">
        <x:v>資產配置（國民年金保險基金）</x:v>
      </x:c>
    </x:row>
    <x:row r="216">
      <x:c r="A216" s="37" t="n">
        <x:v>46174</x:v>
      </x:c>
      <x:c r="B216" s="31" t="str">
        <x:v>115年6月</x:v>
      </x:c>
      <x:c r="C216" s="31" t="str">
        <x:v>國民年金</x:v>
      </x:c>
      <x:c r="D216" s="31" t="str">
        <x:v>轉存金融機構</x:v>
      </x:c>
      <x:c r="E216" s="40" t="n">
        <x:v>52236032009</x:v>
      </x:c>
      <x:c r="F216" s="43" t="n">
        <x:v>0.057800000000000004</x:v>
      </x:c>
      <x:c r="G216" s="31" t="str">
        <x:v>國民年金保險基金-115年6月.pdf</x:v>
      </x:c>
      <x:c r="H216" s="32" t="str">
        <x:v>資產配置（國民年金保險基金）</x:v>
      </x:c>
    </x:row>
    <x:row r="217">
      <x:c r="A217" s="37" t="n">
        <x:v>46174</x:v>
      </x:c>
      <x:c r="B217" s="31" t="str">
        <x:v>115年6月</x:v>
      </x:c>
      <x:c r="C217" s="31" t="str">
        <x:v>國民年金</x:v>
      </x:c>
      <x:c r="D217" s="31" t="str">
        <x:v>政策性貸款</x:v>
      </x:c>
      <x:c r="E217" s="40" t="n">
        <x:v>0</x:v>
      </x:c>
      <x:c r="F217" s="43" t="n">
        <x:v>0</x:v>
      </x:c>
      <x:c r="G217" s="31" t="str">
        <x:v>國民年金保險基金-115年6月.pdf</x:v>
      </x:c>
      <x:c r="H217" s="32" t="str">
        <x:v>資產配置（國民年金保險基金）</x:v>
      </x:c>
    </x:row>
    <x:row r="218">
      <x:c r="A218" s="37" t="n">
        <x:v>46174</x:v>
      </x:c>
      <x:c r="B218" s="31" t="str">
        <x:v>115年6月</x:v>
      </x:c>
      <x:c r="C218" s="31" t="str">
        <x:v>國民年金</x:v>
      </x:c>
      <x:c r="D218" s="31" t="str">
        <x:v>短期票券</x:v>
      </x:c>
      <x:c r="E218" s="40" t="n">
        <x:v>14888322458</x:v>
      </x:c>
      <x:c r="F218" s="43" t="n">
        <x:v>0.0165</x:v>
      </x:c>
      <x:c r="G218" s="31" t="str">
        <x:v>國民年金保險基金-115年6月.pdf</x:v>
      </x:c>
      <x:c r="H218" s="32" t="str">
        <x:v>資產配置（國民年金保險基金）</x:v>
      </x:c>
    </x:row>
    <x:row r="219">
      <x:c r="A219" s="37" t="n">
        <x:v>46174</x:v>
      </x:c>
      <x:c r="B219" s="31" t="str">
        <x:v>115年6月</x:v>
      </x:c>
      <x:c r="C219" s="31" t="str">
        <x:v>國民年金</x:v>
      </x:c>
      <x:c r="D219" s="31" t="str">
        <x:v>公債、公司債、金融債券及特別股</x:v>
      </x:c>
      <x:c r="E219" s="40" t="n">
        <x:v>59952028202</x:v>
      </x:c>
      <x:c r="F219" s="43" t="n">
        <x:v>0.0662</x:v>
      </x:c>
      <x:c r="G219" s="31" t="str">
        <x:v>國民年金保險基金-115年6月.pdf</x:v>
      </x:c>
      <x:c r="H219" s="32" t="str">
        <x:v>資產配置（國民年金保險基金）</x:v>
      </x:c>
    </x:row>
    <x:row r="220">
      <x:c r="A220" s="37" t="n">
        <x:v>46174</x:v>
      </x:c>
      <x:c r="B220" s="31" t="str">
        <x:v>115年6月</x:v>
      </x:c>
      <x:c r="C220" s="31" t="str">
        <x:v>國民年金</x:v>
      </x:c>
      <x:c r="D220" s="31" t="str">
        <x:v>股票及受益憑證投資（含期貨）</x:v>
      </x:c>
      <x:c r="E220" s="40" t="n">
        <x:v>242437576267</x:v>
      </x:c>
      <x:c r="F220" s="43" t="n">
        <x:v>0.2681</x:v>
      </x:c>
      <x:c r="G220" s="31" t="str">
        <x:v>國民年金保險基金-115年6月.pdf</x:v>
      </x:c>
      <x:c r="H220" s="32" t="str">
        <x:v>資產配置（國民年金保險基金）</x:v>
      </x:c>
    </x:row>
    <x:row r="221">
      <x:c r="A221" s="37" t="n">
        <x:v>46174</x:v>
      </x:c>
      <x:c r="B221" s="31" t="str">
        <x:v>115年6月</x:v>
      </x:c>
      <x:c r="C221" s="31" t="str">
        <x:v>國民年金</x:v>
      </x:c>
      <x:c r="D221" s="31" t="str">
        <x:v>國外投資</x:v>
      </x:c>
      <x:c r="E221" s="40" t="n">
        <x:v>188269071840</x:v>
      </x:c>
      <x:c r="F221" s="43" t="n">
        <x:v>0.2082</x:v>
      </x:c>
      <x:c r="G221" s="31" t="str">
        <x:v>國民年金保險基金-115年6月.pdf</x:v>
      </x:c>
      <x:c r="H221" s="32" t="str">
        <x:v>資產配置（國民年金保險基金）</x:v>
      </x:c>
    </x:row>
    <x:row r="222">
      <x:c r="A222" s="37" t="n">
        <x:v>46174</x:v>
      </x:c>
      <x:c r="B222" s="31" t="str">
        <x:v>115年6月</x:v>
      </x:c>
      <x:c r="C222" s="31" t="str">
        <x:v>國民年金</x:v>
      </x:c>
      <x:c r="D222" s="31" t="str">
        <x:v>自行運用-固定收益</x:v>
      </x:c>
      <x:c r="E222" s="40" t="n">
        <x:v>108189687089</x:v>
      </x:c>
      <x:c r="F222" s="43" t="n">
        <x:v>0.11960000000000001</x:v>
      </x:c>
      <x:c r="G222" s="31" t="str">
        <x:v>國民年金保險基金-115年6月.pdf</x:v>
      </x:c>
      <x:c r="H222" s="32" t="str">
        <x:v>資產配置（國民年金保險基金）</x:v>
      </x:c>
    </x:row>
    <x:row r="223">
      <x:c r="A223" s="37" t="n">
        <x:v>46174</x:v>
      </x:c>
      <x:c r="B223" s="31" t="str">
        <x:v>115年6月</x:v>
      </x:c>
      <x:c r="C223" s="31" t="str">
        <x:v>國民年金</x:v>
      </x:c>
      <x:c r="D223" s="31" t="str">
        <x:v>自行運用-權益證券</x:v>
      </x:c>
      <x:c r="E223" s="40" t="n">
        <x:v>57427295679</x:v>
      </x:c>
      <x:c r="F223" s="43" t="n">
        <x:v>0.0635</x:v>
      </x:c>
      <x:c r="G223" s="31" t="str">
        <x:v>國民年金保險基金-115年6月.pdf</x:v>
      </x:c>
      <x:c r="H223" s="32" t="str">
        <x:v>資產配置（國民年金保險基金）</x:v>
      </x:c>
    </x:row>
    <x:row r="224">
      <x:c r="A224" s="37" t="n">
        <x:v>46174</x:v>
      </x:c>
      <x:c r="B224" s="31" t="str">
        <x:v>115年6月</x:v>
      </x:c>
      <x:c r="C224" s="31" t="str">
        <x:v>國民年金</x:v>
      </x:c>
      <x:c r="D224" s="31" t="str">
        <x:v>自行運用-另類投資</x:v>
      </x:c>
      <x:c r="E224" s="40" t="n">
        <x:v>22652089072</x:v>
      </x:c>
      <x:c r="F224" s="43" t="n">
        <x:v>0.025099999999999997</x:v>
      </x:c>
      <x:c r="G224" s="31" t="str">
        <x:v>國民年金保險基金-115年6月.pdf</x:v>
      </x:c>
      <x:c r="H224" s="32" t="str">
        <x:v>資產配置（國民年金保險基金）</x:v>
      </x:c>
    </x:row>
    <x:row r="225">
      <x:c r="A225" s="37" t="n">
        <x:v>46174</x:v>
      </x:c>
      <x:c r="B225" s="31" t="str">
        <x:v>115年6月</x:v>
      </x:c>
      <x:c r="C225" s="31" t="str">
        <x:v>國民年金</x:v>
      </x:c>
      <x:c r="D225" s="31" t="str">
        <x:v>委託經營</x:v>
      </x:c>
      <x:c r="E225" s="40" t="n">
        <x:v>346548226742</x:v>
      </x:c>
      <x:c r="F225" s="43" t="n">
        <x:v>0.3832</x:v>
      </x:c>
      <x:c r="G225" s="31" t="str">
        <x:v>國民年金保險基金-115年6月.pdf</x:v>
      </x:c>
      <x:c r="H225" s="32" t="str">
        <x:v>資產配置（國民年金保險基金）</x:v>
      </x:c>
    </x:row>
    <x:row r="226">
      <x:c r="A226" s="37" t="n">
        <x:v>46174</x:v>
      </x:c>
      <x:c r="B226" s="31" t="str">
        <x:v>115年6月</x:v>
      </x:c>
      <x:c r="C226" s="31" t="str">
        <x:v>國民年金</x:v>
      </x:c>
      <x:c r="D226" s="31" t="str">
        <x:v>國內委託經營</x:v>
      </x:c>
      <x:c r="E226" s="40" t="n">
        <x:v>105625756568</x:v>
      </x:c>
      <x:c r="F226" s="43" t="n">
        <x:v>0.1168</x:v>
      </x:c>
      <x:c r="G226" s="31" t="str">
        <x:v>國民年金保險基金-115年6月.pdf</x:v>
      </x:c>
      <x:c r="H226" s="32" t="str">
        <x:v>資產配置（國民年金保險基金）</x:v>
      </x:c>
    </x:row>
    <x:row r="227">
      <x:c r="A227" s="37" t="n">
        <x:v>46174</x:v>
      </x:c>
      <x:c r="B227" s="31" t="str">
        <x:v>115年6月</x:v>
      </x:c>
      <x:c r="C227" s="31" t="str">
        <x:v>國民年金</x:v>
      </x:c>
      <x:c r="D227" s="31" t="str">
        <x:v>國外委託經營</x:v>
      </x:c>
      <x:c r="E227" s="40" t="n">
        <x:v>240922470174</x:v>
      </x:c>
      <x:c r="F227" s="43" t="n">
        <x:v>0.2664</x:v>
      </x:c>
      <x:c r="G227" s="31" t="str">
        <x:v>國民年金保險基金-115年6月.pdf</x:v>
      </x:c>
      <x:c r="H227" s="32" t="str">
        <x:v>資產配置（國民年金保險基金）</x:v>
      </x:c>
    </x:row>
    <x:row r="228">
      <x:c r="A228" s="37" t="n">
        <x:v>46174</x:v>
      </x:c>
      <x:c r="B228" s="31" t="str">
        <x:v>115年6月</x:v>
      </x:c>
      <x:c r="C228" s="31" t="str">
        <x:v>國民年金</x:v>
      </x:c>
      <x:c r="D228" s="31" t="str">
        <x:v>委託經營-固定收益</x:v>
      </x:c>
      <x:c r="E228" s="40" t="n">
        <x:v>42716622221</x:v>
      </x:c>
      <x:c r="F228" s="43" t="n">
        <x:v>0.0473</x:v>
      </x:c>
      <x:c r="G228" s="31" t="str">
        <x:v>國民年金保險基金-115年6月.pdf</x:v>
      </x:c>
      <x:c r="H228" s="32" t="str">
        <x:v>資產配置（國民年金保險基金）</x:v>
      </x:c>
    </x:row>
    <x:row r="229">
      <x:c r="A229" s="37" t="n">
        <x:v>46174</x:v>
      </x:c>
      <x:c r="B229" s="31" t="str">
        <x:v>115年6月</x:v>
      </x:c>
      <x:c r="C229" s="31" t="str">
        <x:v>國民年金</x:v>
      </x:c>
      <x:c r="D229" s="31" t="str">
        <x:v>委託經營-權益證券</x:v>
      </x:c>
      <x:c r="E229" s="40" t="n">
        <x:v>168606130386</x:v>
      </x:c>
      <x:c r="F229" s="43" t="n">
        <x:v>0.1864</x:v>
      </x:c>
      <x:c r="G229" s="31" t="str">
        <x:v>國民年金保險基金-115年6月.pdf</x:v>
      </x:c>
      <x:c r="H229" s="32" t="str">
        <x:v>資產配置（國民年金保險基金）</x:v>
      </x:c>
    </x:row>
    <x:row r="230">
      <x:c r="A230" s="37" t="n">
        <x:v>46174</x:v>
      </x:c>
      <x:c r="B230" s="31" t="str">
        <x:v>115年6月</x:v>
      </x:c>
      <x:c r="C230" s="31" t="str">
        <x:v>國民年金</x:v>
      </x:c>
      <x:c r="D230" s="31" t="str">
        <x:v>委託經營-另類投資</x:v>
      </x:c>
      <x:c r="E230" s="40" t="n">
        <x:v>29599717567</x:v>
      </x:c>
      <x:c r="F230" s="43" t="n">
        <x:v>0.0327</x:v>
      </x:c>
      <x:c r="G230" s="31" t="str">
        <x:v>國民年金保險基金-115年6月.pdf</x:v>
      </x:c>
      <x:c r="H230" s="32" t="str">
        <x:v>資產配置（國民年金保險基金）</x:v>
      </x:c>
    </x:row>
    <x:row r="231">
      <x:c r="A231" s="38" t="n">
        <x:v>46174</x:v>
      </x:c>
      <x:c r="B231" s="34" t="str">
        <x:v>115年6月</x:v>
      </x:c>
      <x:c r="C231" s="34" t="str">
        <x:v>國民年金</x:v>
      </x:c>
      <x:c r="D231" s="34" t="str">
        <x:v>合計</x:v>
      </x:c>
      <x:c r="E231" s="41" t="n">
        <x:v>904331257518</x:v>
      </x:c>
      <x:c r="F231" s="44" t="n">
        <x:v>1</x:v>
      </x:c>
      <x:c r="G231" s="34" t="str">
        <x:v>國民年金保險基金-115年6月.pdf</x:v>
      </x:c>
      <x:c r="H231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1874c35804c0459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7.329999923706055" hidden="0" customWidth="1"/>
    <x:col min="10" max="10" width="22.219999313354492" hidden="0" customWidth="1"/>
    <x:col min="11" max="11" width="7" hidden="0" customWidth="1"/>
    <x:col min="12" max="12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委任至今投資報酬率</x:v>
      </x:c>
      <x:c r="J3" s="16" t="str">
        <x:v>委任至今目標／指標報酬率</x:v>
      </x:c>
      <x:c r="K3" s="16" t="str">
        <x:v>單位</x:v>
      </x:c>
      <x:c r="L3" s="17" t="str">
        <x:v>來源檔案</x:v>
      </x:c>
    </x:row>
    <x:row r="4">
      <x:c r="A4" s="36" t="n">
        <x:v>46174</x:v>
      </x:c>
      <x:c r="B4" s="28" t="str">
        <x:v>115年6月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117216440397</x:v>
      </x:c>
      <x:c r="I4" s="42" t="n">
        <x:v>1.2101</x:v>
      </x:c>
      <x:c r="J4" s="42" t="n">
        <x:v>0.0475</x:v>
      </x:c>
      <x:c r="K4" s="28" t="str">
        <x:v>新臺幣元</x:v>
      </x:c>
      <x:c r="L4" s="29" t="str">
        <x:v>勞工退休基金-115年6月.pdf</x:v>
      </x:c>
    </x:row>
    <x:row r="5">
      <x:c r="A5" s="37" t="n">
        <x:v>46174</x:v>
      </x:c>
      <x:c r="B5" s="31" t="str">
        <x:v>115年6月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26944336638</x:v>
      </x:c>
      <x:c r="I5" s="43" t="n">
        <x:v>2.9455</x:v>
      </x:c>
      <x:c r="J5" s="43" t="n">
        <x:v>0.2065</x:v>
      </x:c>
      <x:c r="K5" s="31" t="str">
        <x:v>新臺幣元</x:v>
      </x:c>
      <x:c r="L5" s="32" t="str">
        <x:v>勞工退休基金-115年6月.pdf</x:v>
      </x:c>
    </x:row>
    <x:row r="6">
      <x:c r="A6" s="37" t="n">
        <x:v>46174</x:v>
      </x:c>
      <x:c r="B6" s="31" t="str">
        <x:v>115年6月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66490441397</x:v>
      </x:c>
      <x:c r="I6" s="43" t="n">
        <x:v>1.6119999999999999</x:v>
      </x:c>
      <x:c r="J6" s="43" t="n">
        <x:v>0.1149</x:v>
      </x:c>
      <x:c r="K6" s="31" t="str">
        <x:v>新臺幣元</x:v>
      </x:c>
      <x:c r="L6" s="32" t="str">
        <x:v>勞工退休基金-115年6月.pdf</x:v>
      </x:c>
    </x:row>
    <x:row r="7">
      <x:c r="A7" s="37" t="n">
        <x:v>46174</x:v>
      </x:c>
      <x:c r="B7" s="31" t="str">
        <x:v>115年6月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15401269847</x:v>
      </x:c>
      <x:c r="I7" s="43" t="n">
        <x:v>1.0728</x:v>
      </x:c>
      <x:c r="J7" s="43" t="n">
        <x:v>0.1149</x:v>
      </x:c>
      <x:c r="K7" s="31" t="str">
        <x:v>新臺幣元</x:v>
      </x:c>
      <x:c r="L7" s="32" t="str">
        <x:v>勞工退休基金-115年6月.pdf</x:v>
      </x:c>
    </x:row>
    <x:row r="8">
      <x:c r="A8" s="37" t="n">
        <x:v>46174</x:v>
      </x:c>
      <x:c r="B8" s="31" t="str">
        <x:v>115年6月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29252741164</x:v>
      </x:c>
      <x:c r="I8" s="43" t="n">
        <x:v>1.8006</x:v>
      </x:c>
      <x:c r="J8" s="43" t="n">
        <x:v>0.2161</x:v>
      </x:c>
      <x:c r="K8" s="31" t="str">
        <x:v>新臺幣元</x:v>
      </x:c>
      <x:c r="L8" s="32" t="str">
        <x:v>勞工退休基金-115年6月.pdf</x:v>
      </x:c>
    </x:row>
    <x:row r="9">
      <x:c r="A9" s="37" t="n">
        <x:v>46174</x:v>
      </x:c>
      <x:c r="B9" s="31" t="str">
        <x:v>115年6月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89558163782</x:v>
      </x:c>
      <x:c r="I9" s="43" t="n">
        <x:v>2.0774</x:v>
      </x:c>
      <x:c r="J9" s="43" t="n">
        <x:v>1.9264</x:v>
      </x:c>
      <x:c r="K9" s="31" t="str">
        <x:v>新臺幣元</x:v>
      </x:c>
      <x:c r="L9" s="32" t="str">
        <x:v>勞工退休基金-115年6月.pdf</x:v>
      </x:c>
    </x:row>
    <x:row r="10">
      <x:c r="A10" s="37" t="n">
        <x:v>46174</x:v>
      </x:c>
      <x:c r="B10" s="31" t="str">
        <x:v>115年6月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46662272660</x:v>
      </x:c>
      <x:c r="I10" s="43" t="n">
        <x:v>2.0702000000000003</x:v>
      </x:c>
      <x:c r="J10" s="43" t="n">
        <x:v>0.1142</x:v>
      </x:c>
      <x:c r="K10" s="31" t="str">
        <x:v>新臺幣元</x:v>
      </x:c>
      <x:c r="L10" s="32" t="str">
        <x:v>勞工退休基金-115年6月.pdf</x:v>
      </x:c>
    </x:row>
    <x:row r="11">
      <x:c r="A11" s="37" t="n">
        <x:v>46174</x:v>
      </x:c>
      <x:c r="B11" s="31" t="str">
        <x:v>115年6月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46007771615</x:v>
      </x:c>
      <x:c r="I11" s="43" t="n">
        <x:v>1.1999</x:v>
      </x:c>
      <x:c r="J11" s="43" t="n">
        <x:v>0.1142</x:v>
      </x:c>
      <x:c r="K11" s="31" t="str">
        <x:v>新臺幣元</x:v>
      </x:c>
      <x:c r="L11" s="32" t="str">
        <x:v>勞工退休基金-115年6月.pdf</x:v>
      </x:c>
    </x:row>
    <x:row r="12">
      <x:c r="A12" s="37" t="n">
        <x:v>46174</x:v>
      </x:c>
      <x:c r="B12" s="31" t="str">
        <x:v>115年6月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60767826884</x:v>
      </x:c>
      <x:c r="I12" s="43" t="n">
        <x:v>0.6197</x:v>
      </x:c>
      <x:c r="J12" s="43" t="n">
        <x:v>0.45189999999999997</x:v>
      </x:c>
      <x:c r="K12" s="31" t="str">
        <x:v>新臺幣元</x:v>
      </x:c>
      <x:c r="L12" s="32" t="str">
        <x:v>勞工退休基金-115年6月.pdf</x:v>
      </x:c>
    </x:row>
    <x:row r="13">
      <x:c r="A13" s="37" t="n">
        <x:v>46174</x:v>
      </x:c>
      <x:c r="B13" s="31" t="str">
        <x:v>115年6月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60714886085</x:v>
      </x:c>
      <x:c r="I13" s="43" t="n">
        <x:v>0.5547</x:v>
      </x:c>
      <x:c r="J13" s="43" t="n">
        <x:v>0.45189999999999997</x:v>
      </x:c>
      <x:c r="K13" s="31" t="str">
        <x:v>新臺幣元</x:v>
      </x:c>
      <x:c r="L13" s="32" t="str">
        <x:v>勞工退休基金-115年6月.pdf</x:v>
      </x:c>
    </x:row>
    <x:row r="14">
      <x:c r="A14" s="37" t="n">
        <x:v>46174</x:v>
      </x:c>
      <x:c r="B14" s="31" t="str">
        <x:v>115年6月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45210757604</x:v>
      </x:c>
      <x:c r="I14" s="43" t="n">
        <x:v>1.854</x:v>
      </x:c>
      <x:c r="J14" s="43" t="n">
        <x:v>0.2253</x:v>
      </x:c>
      <x:c r="K14" s="31" t="str">
        <x:v>新臺幣元</x:v>
      </x:c>
      <x:c r="L14" s="32" t="str">
        <x:v>勞工退休基金-115年6月.pdf</x:v>
      </x:c>
    </x:row>
    <x:row r="15">
      <x:c r="A15" s="37" t="n">
        <x:v>46174</x:v>
      </x:c>
      <x:c r="B15" s="31" t="str">
        <x:v>115年6月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40548223163</x:v>
      </x:c>
      <x:c r="I15" s="43" t="n">
        <x:v>0.7139</x:v>
      </x:c>
      <x:c r="J15" s="43" t="n">
        <x:v>0.6662</x:v>
      </x:c>
      <x:c r="K15" s="31" t="str">
        <x:v>新臺幣元</x:v>
      </x:c>
      <x:c r="L15" s="32" t="str">
        <x:v>勞工退休基金-115年6月.pdf</x:v>
      </x:c>
    </x:row>
    <x:row r="16">
      <x:c r="A16" s="37" t="n">
        <x:v>46174</x:v>
      </x:c>
      <x:c r="B16" s="31" t="str">
        <x:v>115年6月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34180153225</x:v>
      </x:c>
      <x:c r="I16" s="43" t="n">
        <x:v>0.6912</x:v>
      </x:c>
      <x:c r="J16" s="43" t="n">
        <x:v>0.6662</x:v>
      </x:c>
      <x:c r="K16" s="31" t="str">
        <x:v>新臺幣元</x:v>
      </x:c>
      <x:c r="L16" s="32" t="str">
        <x:v>勞工退休基金-115年6月.pdf</x:v>
      </x:c>
    </x:row>
    <x:row r="17">
      <x:c r="A17" s="37" t="n">
        <x:v>46174</x:v>
      </x:c>
      <x:c r="B17" s="31" t="str">
        <x:v>115年6月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33489971132</x:v>
      </x:c>
      <x:c r="I17" s="43" t="n">
        <x:v>0.7126</x:v>
      </x:c>
      <x:c r="J17" s="43" t="n">
        <x:v>0.6662</x:v>
      </x:c>
      <x:c r="K17" s="31" t="str">
        <x:v>新臺幣元</x:v>
      </x:c>
      <x:c r="L17" s="32" t="str">
        <x:v>勞工退休基金-115年6月.pdf</x:v>
      </x:c>
    </x:row>
    <x:row r="18">
      <x:c r="A18" s="37" t="n">
        <x:v>46174</x:v>
      </x:c>
      <x:c r="B18" s="31" t="str">
        <x:v>115年6月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28490812845</x:v>
      </x:c>
      <x:c r="I18" s="43" t="n">
        <x:v>0.6945999999999999</x:v>
      </x:c>
      <x:c r="J18" s="43" t="n">
        <x:v>0.6662</x:v>
      </x:c>
      <x:c r="K18" s="31" t="str">
        <x:v>新臺幣元</x:v>
      </x:c>
      <x:c r="L18" s="32" t="str">
        <x:v>勞工退休基金-115年6月.pdf</x:v>
      </x:c>
    </x:row>
    <x:row r="19">
      <x:c r="A19" s="37" t="n">
        <x:v>46174</x:v>
      </x:c>
      <x:c r="B19" s="31" t="str">
        <x:v>115年6月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41442870125</x:v>
      </x:c>
      <x:c r="I19" s="43" t="n">
        <x:v>0.7198</x:v>
      </x:c>
      <x:c r="J19" s="43" t="n">
        <x:v>0.6662</x:v>
      </x:c>
      <x:c r="K19" s="31" t="str">
        <x:v>新臺幣元</x:v>
      </x:c>
      <x:c r="L19" s="32" t="str">
        <x:v>勞工退休基金-115年6月.pdf</x:v>
      </x:c>
    </x:row>
    <x:row r="20">
      <x:c r="A20" s="37" t="n">
        <x:v>46174</x:v>
      </x:c>
      <x:c r="B20" s="31" t="str">
        <x:v>115年6月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15643167621</x:v>
      </x:c>
      <x:c r="I20" s="43" t="n">
        <x:v>2.2596000000000003</x:v>
      </x:c>
      <x:c r="J20" s="43" t="n">
        <x:v>0.195</x:v>
      </x:c>
      <x:c r="K20" s="31" t="str">
        <x:v>新臺幣元</x:v>
      </x:c>
      <x:c r="L20" s="32" t="str">
        <x:v>勞工退休基金-115年6月.pdf</x:v>
      </x:c>
    </x:row>
    <x:row r="21">
      <x:c r="A21" s="37" t="n">
        <x:v>46174</x:v>
      </x:c>
      <x:c r="B21" s="31" t="str">
        <x:v>115年6月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8855866454</x:v>
      </x:c>
      <x:c r="I21" s="43" t="n">
        <x:v>1.4591</x:v>
      </x:c>
      <x:c r="J21" s="43" t="n">
        <x:v>0.195</x:v>
      </x:c>
      <x:c r="K21" s="31" t="str">
        <x:v>新臺幣元</x:v>
      </x:c>
      <x:c r="L21" s="32" t="str">
        <x:v>勞工退休基金-115年6月.pdf</x:v>
      </x:c>
    </x:row>
    <x:row r="22">
      <x:c r="A22" s="37" t="n">
        <x:v>46174</x:v>
      </x:c>
      <x:c r="B22" s="31" t="str">
        <x:v>115年6月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51353992119</x:v>
      </x:c>
      <x:c r="I22" s="43" t="n">
        <x:v>2.4707</x:v>
      </x:c>
      <x:c r="J22" s="43" t="n">
        <x:v>0.2051</x:v>
      </x:c>
      <x:c r="K22" s="31" t="str">
        <x:v>新臺幣元</x:v>
      </x:c>
      <x:c r="L22" s="32" t="str">
        <x:v>勞工退休基金-115年6月.pdf</x:v>
      </x:c>
    </x:row>
    <x:row r="23">
      <x:c r="A23" s="37" t="n">
        <x:v>46174</x:v>
      </x:c>
      <x:c r="B23" s="31" t="str">
        <x:v>115年6月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14706636821</x:v>
      </x:c>
      <x:c r="I23" s="43" t="n">
        <x:v>1.7043000000000001</x:v>
      </x:c>
      <x:c r="J23" s="43" t="n">
        <x:v>0.2051</x:v>
      </x:c>
      <x:c r="K23" s="31" t="str">
        <x:v>新臺幣元</x:v>
      </x:c>
      <x:c r="L23" s="32" t="str">
        <x:v>勞工退休基金-115年6月.pdf</x:v>
      </x:c>
    </x:row>
    <x:row r="24">
      <x:c r="A24" s="37" t="n">
        <x:v>46174</x:v>
      </x:c>
      <x:c r="B24" s="31" t="str">
        <x:v>115年6月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15881715753</x:v>
      </x:c>
      <x:c r="I24" s="43" t="n">
        <x:v>1.4883000000000002</x:v>
      </x:c>
      <x:c r="J24" s="43" t="n">
        <x:v>0.2051</x:v>
      </x:c>
      <x:c r="K24" s="31" t="str">
        <x:v>新臺幣元</x:v>
      </x:c>
      <x:c r="L24" s="32" t="str">
        <x:v>勞工退休基金-115年6月.pdf</x:v>
      </x:c>
    </x:row>
    <x:row r="25">
      <x:c r="A25" s="37" t="n">
        <x:v>46174</x:v>
      </x:c>
      <x:c r="B25" s="31" t="str">
        <x:v>115年6月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19290103216</x:v>
      </x:c>
      <x:c r="I25" s="43" t="n">
        <x:v>1.7182</x:v>
      </x:c>
      <x:c r="J25" s="43" t="n">
        <x:v>0.2051</x:v>
      </x:c>
      <x:c r="K25" s="31" t="str">
        <x:v>新臺幣元</x:v>
      </x:c>
      <x:c r="L25" s="32" t="str">
        <x:v>勞工退休基金-115年6月.pdf</x:v>
      </x:c>
    </x:row>
    <x:row r="26">
      <x:c r="A26" s="37" t="n">
        <x:v>46174</x:v>
      </x:c>
      <x:c r="B26" s="31" t="str">
        <x:v>115年6月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27561119140</x:v>
      </x:c>
      <x:c r="I26" s="43" t="n">
        <x:v>2.3388</x:v>
      </x:c>
      <x:c r="J26" s="43" t="n">
        <x:v>2.3322</x:v>
      </x:c>
      <x:c r="K26" s="31" t="str">
        <x:v>新臺幣元</x:v>
      </x:c>
      <x:c r="L26" s="32" t="str">
        <x:v>勞工退休基金-115年6月.pdf</x:v>
      </x:c>
    </x:row>
    <x:row r="27">
      <x:c r="A27" s="37" t="n">
        <x:v>46174</x:v>
      </x:c>
      <x:c r="B27" s="31" t="str">
        <x:v>115年6月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43969364295</x:v>
      </x:c>
      <x:c r="I27" s="43" t="n">
        <x:v>2.4417</x:v>
      </x:c>
      <x:c r="J27" s="43" t="n">
        <x:v>2.3322</x:v>
      </x:c>
      <x:c r="K27" s="31" t="str">
        <x:v>新臺幣元</x:v>
      </x:c>
      <x:c r="L27" s="32" t="str">
        <x:v>勞工退休基金-115年6月.pdf</x:v>
      </x:c>
    </x:row>
    <x:row r="28">
      <x:c r="A28" s="37" t="n">
        <x:v>46174</x:v>
      </x:c>
      <x:c r="B28" s="31" t="str">
        <x:v>115年6月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32458320697</x:v>
      </x:c>
      <x:c r="I28" s="43" t="n">
        <x:v>2.4516999999999998</x:v>
      </x:c>
      <x:c r="J28" s="43" t="n">
        <x:v>2.3322</x:v>
      </x:c>
      <x:c r="K28" s="31" t="str">
        <x:v>新臺幣元</x:v>
      </x:c>
      <x:c r="L28" s="32" t="str">
        <x:v>勞工退休基金-115年6月.pdf</x:v>
      </x:c>
    </x:row>
    <x:row r="29">
      <x:c r="A29" s="37" t="n">
        <x:v>46174</x:v>
      </x:c>
      <x:c r="B29" s="31" t="str">
        <x:v>115年6月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42692132366</x:v>
      </x:c>
      <x:c r="I29" s="43" t="n">
        <x:v>2.3787000000000003</x:v>
      </x:c>
      <x:c r="J29" s="43" t="n">
        <x:v>2.3322</x:v>
      </x:c>
      <x:c r="K29" s="31" t="str">
        <x:v>新臺幣元</x:v>
      </x:c>
      <x:c r="L29" s="32" t="str">
        <x:v>勞工退休基金-115年6月.pdf</x:v>
      </x:c>
    </x:row>
    <x:row r="30">
      <x:c r="A30" s="37" t="n">
        <x:v>46174</x:v>
      </x:c>
      <x:c r="B30" s="31" t="str">
        <x:v>115年6月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36519687730</x:v>
      </x:c>
      <x:c r="I30" s="43" t="n">
        <x:v>2.4961</x:v>
      </x:c>
      <x:c r="J30" s="43" t="n">
        <x:v>2.3322</x:v>
      </x:c>
      <x:c r="K30" s="31" t="str">
        <x:v>新臺幣元</x:v>
      </x:c>
      <x:c r="L30" s="32" t="str">
        <x:v>勞工退休基金-115年6月.pdf</x:v>
      </x:c>
    </x:row>
    <x:row r="31">
      <x:c r="A31" s="37" t="n">
        <x:v>46174</x:v>
      </x:c>
      <x:c r="B31" s="31" t="str">
        <x:v>115年6月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24603215571</x:v>
      </x:c>
      <x:c r="I31" s="43" t="n">
        <x:v>2.4002</x:v>
      </x:c>
      <x:c r="J31" s="43" t="n">
        <x:v>2.3322</x:v>
      </x:c>
      <x:c r="K31" s="31" t="str">
        <x:v>新臺幣元</x:v>
      </x:c>
      <x:c r="L31" s="32" t="str">
        <x:v>勞工退休基金-115年6月.pdf</x:v>
      </x:c>
    </x:row>
    <x:row r="32">
      <x:c r="A32" s="37" t="n">
        <x:v>46174</x:v>
      </x:c>
      <x:c r="B32" s="31" t="str">
        <x:v>115年6月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15667722077</x:v>
      </x:c>
      <x:c r="I32" s="43" t="n">
        <x:v>2.5293</x:v>
      </x:c>
      <x:c r="J32" s="43" t="n">
        <x:v>2.3322</x:v>
      </x:c>
      <x:c r="K32" s="31" t="str">
        <x:v>新臺幣元</x:v>
      </x:c>
      <x:c r="L32" s="32" t="str">
        <x:v>勞工退休基金-115年6月.pdf</x:v>
      </x:c>
    </x:row>
    <x:row r="33">
      <x:c r="A33" s="37" t="n">
        <x:v>46174</x:v>
      </x:c>
      <x:c r="B33" s="31" t="str">
        <x:v>115年6月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34959497939</x:v>
      </x:c>
      <x:c r="I33" s="43" t="n">
        <x:v>1.5796999999999999</x:v>
      </x:c>
      <x:c r="J33" s="43" t="n">
        <x:v>0.12380000000000001</x:v>
      </x:c>
      <x:c r="K33" s="31" t="str">
        <x:v>新臺幣元</x:v>
      </x:c>
      <x:c r="L33" s="32" t="str">
        <x:v>勞工退休基金-115年6月.pdf</x:v>
      </x:c>
    </x:row>
    <x:row r="34">
      <x:c r="A34" s="37" t="n">
        <x:v>46174</x:v>
      </x:c>
      <x:c r="B34" s="31" t="str">
        <x:v>115年6月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34832121681</x:v>
      </x:c>
      <x:c r="I34" s="43" t="n">
        <x:v>2.0554</x:v>
      </x:c>
      <x:c r="J34" s="43" t="n">
        <x:v>0.12380000000000001</x:v>
      </x:c>
      <x:c r="K34" s="31" t="str">
        <x:v>新臺幣元</x:v>
      </x:c>
      <x:c r="L34" s="32" t="str">
        <x:v>勞工退休基金-115年6月.pdf</x:v>
      </x:c>
    </x:row>
    <x:row r="35">
      <x:c r="A35" s="37" t="n">
        <x:v>46174</x:v>
      </x:c>
      <x:c r="B35" s="31" t="str">
        <x:v>115年6月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34541020017</x:v>
      </x:c>
      <x:c r="I35" s="43" t="n">
        <x:v>1.5405000000000002</x:v>
      </x:c>
      <x:c r="J35" s="43" t="n">
        <x:v>0.12380000000000001</x:v>
      </x:c>
      <x:c r="K35" s="31" t="str">
        <x:v>新臺幣元</x:v>
      </x:c>
      <x:c r="L35" s="32" t="str">
        <x:v>勞工退休基金-115年6月.pdf</x:v>
      </x:c>
    </x:row>
    <x:row r="36">
      <x:c r="A36" s="37" t="n">
        <x:v>46174</x:v>
      </x:c>
      <x:c r="B36" s="31" t="str">
        <x:v>115年6月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65584458258</x:v>
      </x:c>
      <x:c r="I36" s="43" t="n">
        <x:v>2.2008</x:v>
      </x:c>
      <x:c r="J36" s="43" t="n">
        <x:v>0.12380000000000001</x:v>
      </x:c>
      <x:c r="K36" s="31" t="str">
        <x:v>新臺幣元</x:v>
      </x:c>
      <x:c r="L36" s="32" t="str">
        <x:v>勞工退休基金-115年6月.pdf</x:v>
      </x:c>
    </x:row>
    <x:row r="37">
      <x:c r="A37" s="37" t="n">
        <x:v>46174</x:v>
      </x:c>
      <x:c r="B37" s="31" t="str">
        <x:v>115年6月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46512828487</x:v>
      </x:c>
      <x:c r="I37" s="43" t="n">
        <x:v>1.3905</x:v>
      </x:c>
      <x:c r="J37" s="43" t="n">
        <x:v>0.12380000000000001</x:v>
      </x:c>
      <x:c r="K37" s="31" t="str">
        <x:v>新臺幣元</x:v>
      </x:c>
      <x:c r="L37" s="32" t="str">
        <x:v>勞工退休基金-115年6月.pdf</x:v>
      </x:c>
    </x:row>
    <x:row r="38">
      <x:c r="A38" s="37" t="n">
        <x:v>46174</x:v>
      </x:c>
      <x:c r="B38" s="31" t="str">
        <x:v>115年6月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25543932311</x:v>
      </x:c>
      <x:c r="I38" s="43" t="n">
        <x:v>1.6266999999999998</x:v>
      </x:c>
      <x:c r="J38" s="43" t="n">
        <x:v>0.12380000000000001</x:v>
      </x:c>
      <x:c r="K38" s="31" t="str">
        <x:v>新臺幣元</x:v>
      </x:c>
      <x:c r="L38" s="32" t="str">
        <x:v>勞工退休基金-115年6月.pdf</x:v>
      </x:c>
    </x:row>
    <x:row r="39">
      <x:c r="A39" s="37" t="n">
        <x:v>46174</x:v>
      </x:c>
      <x:c r="B39" s="31" t="str">
        <x:v>115年6月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18275932892</x:v>
      </x:c>
      <x:c r="I39" s="43" t="n">
        <x:v>0.03</x:v>
      </x:c>
      <x:c r="J39" s="43" t="n">
        <x:v>0.0083</x:v>
      </x:c>
      <x:c r="K39" s="31" t="str">
        <x:v>新臺幣元</x:v>
      </x:c>
      <x:c r="L39" s="32" t="str">
        <x:v>勞工退休基金-115年6月.pdf</x:v>
      </x:c>
    </x:row>
    <x:row r="40">
      <x:c r="A40" s="37" t="n">
        <x:v>46174</x:v>
      </x:c>
      <x:c r="B40" s="31" t="str">
        <x:v>115年6月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26467785253</x:v>
      </x:c>
      <x:c r="I40" s="43" t="n">
        <x:v>0.0537</x:v>
      </x:c>
      <x:c r="J40" s="43" t="n">
        <x:v>0.0083</x:v>
      </x:c>
      <x:c r="K40" s="31" t="str">
        <x:v>新臺幣元</x:v>
      </x:c>
      <x:c r="L40" s="32" t="str">
        <x:v>勞工退休基金-115年6月.pdf</x:v>
      </x:c>
    </x:row>
    <x:row r="41">
      <x:c r="A41" s="37" t="n">
        <x:v>46174</x:v>
      </x:c>
      <x:c r="B41" s="31" t="str">
        <x:v>115年6月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19431931249</x:v>
      </x:c>
      <x:c r="I41" s="43" t="n">
        <x:v>0.0388</x:v>
      </x:c>
      <x:c r="J41" s="43" t="n">
        <x:v>0.0083</x:v>
      </x:c>
      <x:c r="K41" s="31" t="str">
        <x:v>新臺幣元</x:v>
      </x:c>
      <x:c r="L41" s="32" t="str">
        <x:v>勞工退休基金-115年6月.pdf</x:v>
      </x:c>
    </x:row>
    <x:row r="42">
      <x:c r="A42" s="37" t="n">
        <x:v>46174</x:v>
      </x:c>
      <x:c r="B42" s="31" t="str">
        <x:v>115年6月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24223983214</x:v>
      </x:c>
      <x:c r="I42" s="43" t="n">
        <x:v>0.046</x:v>
      </x:c>
      <x:c r="J42" s="43" t="n">
        <x:v>0.0083</x:v>
      </x:c>
      <x:c r="K42" s="31" t="str">
        <x:v>新臺幣元</x:v>
      </x:c>
      <x:c r="L42" s="32" t="str">
        <x:v>勞工退休基金-115年6月.pdf</x:v>
      </x:c>
    </x:row>
    <x:row r="43">
      <x:c r="A43" s="37" t="n">
        <x:v>46174</x:v>
      </x:c>
      <x:c r="B43" s="31" t="str">
        <x:v>115年6月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34909980939</x:v>
      </x:c>
      <x:c r="I43" s="43" t="n">
        <x:v>0.0031</x:v>
      </x:c>
      <x:c r="J43" s="43" t="n">
        <x:v>0.0083</x:v>
      </x:c>
      <x:c r="K43" s="31" t="str">
        <x:v>新臺幣元</x:v>
      </x:c>
      <x:c r="L43" s="32" t="str">
        <x:v>勞工退休基金-115年6月.pdf</x:v>
      </x:c>
    </x:row>
    <x:row r="44">
      <x:c r="A44" s="37" t="n">
        <x:v>46174</x:v>
      </x:c>
      <x:c r="B44" s="31" t="str">
        <x:v>115年6月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8119040401</x:v>
      </x:c>
      <x:c r="I44" s="43" t="n">
        <x:v>1.6106</x:v>
      </x:c>
      <x:c r="J44" s="43" t="n">
        <x:v>1.6469999999999998</x:v>
      </x:c>
      <x:c r="K44" s="31" t="str">
        <x:v>新臺幣元</x:v>
      </x:c>
      <x:c r="L44" s="32" t="str">
        <x:v>勞工退休基金-115年6月.pdf</x:v>
      </x:c>
    </x:row>
    <x:row r="45">
      <x:c r="A45" s="37" t="n">
        <x:v>46174</x:v>
      </x:c>
      <x:c r="B45" s="31" t="str">
        <x:v>115年6月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8006808777</x:v>
      </x:c>
      <x:c r="I45" s="43" t="n">
        <x:v>1.5949</x:v>
      </x:c>
      <x:c r="J45" s="43" t="n">
        <x:v>1.6469999999999998</x:v>
      </x:c>
      <x:c r="K45" s="31" t="str">
        <x:v>新臺幣元</x:v>
      </x:c>
      <x:c r="L45" s="32" t="str">
        <x:v>勞工退休基金-115年6月.pdf</x:v>
      </x:c>
    </x:row>
    <x:row r="46">
      <x:c r="A46" s="37" t="n">
        <x:v>46174</x:v>
      </x:c>
      <x:c r="B46" s="31" t="str">
        <x:v>115年6月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8142867535</x:v>
      </x:c>
      <x:c r="I46" s="43" t="n">
        <x:v>1.5811000000000002</x:v>
      </x:c>
      <x:c r="J46" s="43" t="n">
        <x:v>1.6469999999999998</x:v>
      </x:c>
      <x:c r="K46" s="31" t="str">
        <x:v>新臺幣元</x:v>
      </x:c>
      <x:c r="L46" s="32" t="str">
        <x:v>勞工退休基金-115年6月.pdf</x:v>
      </x:c>
    </x:row>
    <x:row r="47">
      <x:c r="A47" s="37" t="n">
        <x:v>46174</x:v>
      </x:c>
      <x:c r="B47" s="31" t="str">
        <x:v>115年6月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8347803573</x:v>
      </x:c>
      <x:c r="I47" s="43" t="n">
        <x:v>1.6718000000000002</x:v>
      </x:c>
      <x:c r="J47" s="43" t="n">
        <x:v>1.6469999999999998</x:v>
      </x:c>
      <x:c r="K47" s="31" t="str">
        <x:v>新臺幣元</x:v>
      </x:c>
      <x:c r="L47" s="32" t="str">
        <x:v>勞工退休基金-115年6月.pdf</x:v>
      </x:c>
    </x:row>
    <x:row r="48">
      <x:c r="A48" s="37" t="n">
        <x:v>46174</x:v>
      </x:c>
      <x:c r="B48" s="31" t="str">
        <x:v>115年6月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8107453650</x:v>
      </x:c>
      <x:c r="I48" s="43" t="n">
        <x:v>1.577</x:v>
      </x:c>
      <x:c r="J48" s="43" t="n">
        <x:v>1.6469999999999998</x:v>
      </x:c>
      <x:c r="K48" s="31" t="str">
        <x:v>新臺幣元</x:v>
      </x:c>
      <x:c r="L48" s="32" t="str">
        <x:v>勞工退休基金-115年6月.pdf</x:v>
      </x:c>
    </x:row>
    <x:row r="49">
      <x:c r="A49" s="37" t="n">
        <x:v>46174</x:v>
      </x:c>
      <x:c r="B49" s="31" t="str">
        <x:v>115年6月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24503226743</x:v>
      </x:c>
      <x:c r="I49" s="43" t="n">
        <x:v>2.1541</x:v>
      </x:c>
      <x:c r="J49" s="43" t="n">
        <x:v>0.276</x:v>
      </x:c>
      <x:c r="K49" s="31" t="str">
        <x:v>新臺幣元</x:v>
      </x:c>
      <x:c r="L49" s="32" t="str">
        <x:v>勞工退休基金-115年6月.pdf</x:v>
      </x:c>
    </x:row>
    <x:row r="50">
      <x:c r="A50" s="37" t="n">
        <x:v>46174</x:v>
      </x:c>
      <x:c r="B50" s="31" t="str">
        <x:v>115年6月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19847858127</x:v>
      </x:c>
      <x:c r="I50" s="43" t="n">
        <x:v>1.5297999999999998</x:v>
      </x:c>
      <x:c r="J50" s="43" t="n">
        <x:v>0.276</x:v>
      </x:c>
      <x:c r="K50" s="31" t="str">
        <x:v>新臺幣元</x:v>
      </x:c>
      <x:c r="L50" s="32" t="str">
        <x:v>勞工退休基金-115年6月.pdf</x:v>
      </x:c>
    </x:row>
    <x:row r="51">
      <x:c r="A51" s="37" t="n">
        <x:v>46174</x:v>
      </x:c>
      <x:c r="B51" s="31" t="str">
        <x:v>115年6月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22881002147</x:v>
      </x:c>
      <x:c r="I51" s="43" t="n">
        <x:v>2.0014</x:v>
      </x:c>
      <x:c r="J51" s="43" t="n">
        <x:v>0.276</x:v>
      </x:c>
      <x:c r="K51" s="31" t="str">
        <x:v>新臺幣元</x:v>
      </x:c>
      <x:c r="L51" s="32" t="str">
        <x:v>勞工退休基金-115年6月.pdf</x:v>
      </x:c>
    </x:row>
    <x:row r="52">
      <x:c r="A52" s="37" t="n">
        <x:v>46174</x:v>
      </x:c>
      <x:c r="B52" s="31" t="str">
        <x:v>115年6月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21083206379</x:v>
      </x:c>
      <x:c r="I52" s="43" t="n">
        <x:v>1.6300999999999999</x:v>
      </x:c>
      <x:c r="J52" s="43" t="n">
        <x:v>0.276</x:v>
      </x:c>
      <x:c r="K52" s="31" t="str">
        <x:v>新臺幣元</x:v>
      </x:c>
      <x:c r="L52" s="32" t="str">
        <x:v>勞工退休基金-115年6月.pdf</x:v>
      </x:c>
    </x:row>
    <x:row r="53">
      <x:c r="A53" s="37" t="n">
        <x:v>46174</x:v>
      </x:c>
      <x:c r="B53" s="31" t="str">
        <x:v>115年6月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28004991296</x:v>
      </x:c>
      <x:c r="I53" s="43" t="n">
        <x:v>2.5334</x:v>
      </x:c>
      <x:c r="J53" s="43" t="n">
        <x:v>0.276</x:v>
      </x:c>
      <x:c r="K53" s="31" t="str">
        <x:v>新臺幣元</x:v>
      </x:c>
      <x:c r="L53" s="32" t="str">
        <x:v>勞工退休基金-115年6月.pdf</x:v>
      </x:c>
    </x:row>
    <x:row r="54">
      <x:c r="A54" s="37" t="n">
        <x:v>46174</x:v>
      </x:c>
      <x:c r="B54" s="31" t="str">
        <x:v>115年6月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24946592925</x:v>
      </x:c>
      <x:c r="I54" s="43" t="n">
        <x:v>2.1791</x:v>
      </x:c>
      <x:c r="J54" s="43" t="n">
        <x:v>0.276</x:v>
      </x:c>
      <x:c r="K54" s="31" t="str">
        <x:v>新臺幣元</x:v>
      </x:c>
      <x:c r="L54" s="32" t="str">
        <x:v>勞工退休基金-115年6月.pdf</x:v>
      </x:c>
    </x:row>
    <x:row r="55">
      <x:c r="A55" s="37" t="n">
        <x:v>46174</x:v>
      </x:c>
      <x:c r="B55" s="31" t="str">
        <x:v>115年6月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14188624135</x:v>
      </x:c>
      <x:c r="I55" s="43" t="n">
        <x:v>1.3136</x:v>
      </x:c>
      <x:c r="J55" s="43" t="n">
        <x:v>0.1632</x:v>
      </x:c>
      <x:c r="K55" s="31" t="str">
        <x:v>新臺幣元</x:v>
      </x:c>
      <x:c r="L55" s="32" t="str">
        <x:v>勞工退休基金-115年6月.pdf</x:v>
      </x:c>
    </x:row>
    <x:row r="56">
      <x:c r="A56" s="37" t="n">
        <x:v>46174</x:v>
      </x:c>
      <x:c r="B56" s="31" t="str">
        <x:v>115年6月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21422349865</x:v>
      </x:c>
      <x:c r="I56" s="43" t="n">
        <x:v>2.5269</x:v>
      </x:c>
      <x:c r="J56" s="43" t="n">
        <x:v>0.1632</x:v>
      </x:c>
      <x:c r="K56" s="31" t="str">
        <x:v>新臺幣元</x:v>
      </x:c>
      <x:c r="L56" s="32" t="str">
        <x:v>勞工退休基金-115年6月.pdf</x:v>
      </x:c>
    </x:row>
    <x:row r="57">
      <x:c r="A57" s="37" t="n">
        <x:v>46174</x:v>
      </x:c>
      <x:c r="B57" s="31" t="str">
        <x:v>115年6月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18428471954</x:v>
      </x:c>
      <x:c r="I57" s="43" t="n">
        <x:v>2.1334999999999997</x:v>
      </x:c>
      <x:c r="J57" s="43" t="n">
        <x:v>0.1632</x:v>
      </x:c>
      <x:c r="K57" s="31" t="str">
        <x:v>新臺幣元</x:v>
      </x:c>
      <x:c r="L57" s="32" t="str">
        <x:v>勞工退休基金-115年6月.pdf</x:v>
      </x:c>
    </x:row>
    <x:row r="58">
      <x:c r="A58" s="37" t="n">
        <x:v>46174</x:v>
      </x:c>
      <x:c r="B58" s="31" t="str">
        <x:v>115年6月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18686912565</x:v>
      </x:c>
      <x:c r="I58" s="43" t="n">
        <x:v>1.6322999999999999</x:v>
      </x:c>
      <x:c r="J58" s="43" t="n">
        <x:v>0.1632</x:v>
      </x:c>
      <x:c r="K58" s="31" t="str">
        <x:v>新臺幣元</x:v>
      </x:c>
      <x:c r="L58" s="32" t="str">
        <x:v>勞工退休基金-115年6月.pdf</x:v>
      </x:c>
    </x:row>
    <x:row r="59">
      <x:c r="A59" s="37" t="n">
        <x:v>46174</x:v>
      </x:c>
      <x:c r="B59" s="31" t="str">
        <x:v>115年6月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22439815890</x:v>
      </x:c>
      <x:c r="I59" s="43" t="n">
        <x:v>2.6193</x:v>
      </x:c>
      <x:c r="J59" s="43" t="n">
        <x:v>0.1632</x:v>
      </x:c>
      <x:c r="K59" s="31" t="str">
        <x:v>新臺幣元</x:v>
      </x:c>
      <x:c r="L59" s="32" t="str">
        <x:v>勞工退休基金-115年6月.pdf</x:v>
      </x:c>
    </x:row>
    <x:row r="60">
      <x:c r="A60" s="37" t="n">
        <x:v>46174</x:v>
      </x:c>
      <x:c r="B60" s="31" t="str">
        <x:v>115年6月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12176003848</x:v>
      </x:c>
      <x:c r="I60" s="43" t="n">
        <x:v>0.8706</x:v>
      </x:c>
      <x:c r="J60" s="43" t="n">
        <x:v>0.1632</x:v>
      </x:c>
      <x:c r="K60" s="31" t="str">
        <x:v>新臺幣元</x:v>
      </x:c>
      <x:c r="L60" s="32" t="str">
        <x:v>勞工退休基金-115年6月.pdf</x:v>
      </x:c>
    </x:row>
    <x:row r="61">
      <x:c r="A61" s="37" t="n">
        <x:v>46174</x:v>
      </x:c>
      <x:c r="B61" s="31" t="str">
        <x:v>115年6月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16346491624</x:v>
      </x:c>
      <x:c r="I61" s="43" t="n">
        <x:v>1.5966999999999998</x:v>
      </x:c>
      <x:c r="J61" s="43" t="n">
        <x:v>0.1632</x:v>
      </x:c>
      <x:c r="K61" s="31" t="str">
        <x:v>新臺幣元</x:v>
      </x:c>
      <x:c r="L61" s="32" t="str">
        <x:v>勞工退休基金-115年6月.pdf</x:v>
      </x:c>
    </x:row>
    <x:row r="62">
      <x:c r="A62" s="37" t="n">
        <x:v>46174</x:v>
      </x:c>
      <x:c r="B62" s="31" t="str">
        <x:v>115年6月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5500000000</x:v>
      </x:c>
      <x:c r="H62" s="40" t="n">
        <x:v>10665887383</x:v>
      </x:c>
      <x:c r="I62" s="43" t="n">
        <x:v>1.6838</x:v>
      </x:c>
      <x:c r="J62" s="43" t="n">
        <x:v>1.3033000000000001</x:v>
      </x:c>
      <x:c r="K62" s="31" t="str">
        <x:v>新臺幣元</x:v>
      </x:c>
      <x:c r="L62" s="32" t="str">
        <x:v>勞工退休基金-115年6月.pdf</x:v>
      </x:c>
    </x:row>
    <x:row r="63">
      <x:c r="A63" s="37" t="n">
        <x:v>46174</x:v>
      </x:c>
      <x:c r="B63" s="31" t="str">
        <x:v>115年6月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5500000000</x:v>
      </x:c>
      <x:c r="H63" s="40" t="n">
        <x:v>9736490954</x:v>
      </x:c>
      <x:c r="I63" s="43" t="n">
        <x:v>1.3769</x:v>
      </x:c>
      <x:c r="J63" s="43" t="n">
        <x:v>1.3033000000000001</x:v>
      </x:c>
      <x:c r="K63" s="31" t="str">
        <x:v>新臺幣元</x:v>
      </x:c>
      <x:c r="L63" s="32" t="str">
        <x:v>勞工退休基金-115年6月.pdf</x:v>
      </x:c>
    </x:row>
    <x:row r="64">
      <x:c r="A64" s="37" t="n">
        <x:v>46174</x:v>
      </x:c>
      <x:c r="B64" s="31" t="str">
        <x:v>115年6月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5500000000</x:v>
      </x:c>
      <x:c r="H64" s="40" t="n">
        <x:v>10202284557</x:v>
      </x:c>
      <x:c r="I64" s="43" t="n">
        <x:v>1.4576</x:v>
      </x:c>
      <x:c r="J64" s="43" t="n">
        <x:v>1.3033000000000001</x:v>
      </x:c>
      <x:c r="K64" s="31" t="str">
        <x:v>新臺幣元</x:v>
      </x:c>
      <x:c r="L64" s="32" t="str">
        <x:v>勞工退休基金-115年6月.pdf</x:v>
      </x:c>
    </x:row>
    <x:row r="65">
      <x:c r="A65" s="37" t="n">
        <x:v>46174</x:v>
      </x:c>
      <x:c r="B65" s="31" t="str">
        <x:v>115年6月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5500000000</x:v>
      </x:c>
      <x:c r="H65" s="40" t="n">
        <x:v>9797690852</x:v>
      </x:c>
      <x:c r="I65" s="43" t="n">
        <x:v>1.3356000000000001</x:v>
      </x:c>
      <x:c r="J65" s="43" t="n">
        <x:v>1.3033000000000001</x:v>
      </x:c>
      <x:c r="K65" s="31" t="str">
        <x:v>新臺幣元</x:v>
      </x:c>
      <x:c r="L65" s="32" t="str">
        <x:v>勞工退休基金-115年6月.pdf</x:v>
      </x:c>
    </x:row>
    <x:row r="66">
      <x:c r="A66" s="37" t="n">
        <x:v>46174</x:v>
      </x:c>
      <x:c r="B66" s="31" t="str">
        <x:v>115年6月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5500000000</x:v>
      </x:c>
      <x:c r="H66" s="40" t="n">
        <x:v>9797987866</x:v>
      </x:c>
      <x:c r="I66" s="43" t="n">
        <x:v>1.3385</x:v>
      </x:c>
      <x:c r="J66" s="43" t="n">
        <x:v>1.3033000000000001</x:v>
      </x:c>
      <x:c r="K66" s="31" t="str">
        <x:v>新臺幣元</x:v>
      </x:c>
      <x:c r="L66" s="32" t="str">
        <x:v>勞工退休基金-115年6月.pdf</x:v>
      </x:c>
    </x:row>
    <x:row r="67">
      <x:c r="A67" s="37" t="n">
        <x:v>46174</x:v>
      </x:c>
      <x:c r="B67" s="31" t="str">
        <x:v>115年6月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5500000000</x:v>
      </x:c>
      <x:c r="H67" s="40" t="n">
        <x:v>10017346808</x:v>
      </x:c>
      <x:c r="I67" s="43" t="n">
        <x:v>1.4102000000000001</x:v>
      </x:c>
      <x:c r="J67" s="43" t="n">
        <x:v>1.3033000000000001</x:v>
      </x:c>
      <x:c r="K67" s="31" t="str">
        <x:v>新臺幣元</x:v>
      </x:c>
      <x:c r="L67" s="32" t="str">
        <x:v>勞工退休基金-115年6月.pdf</x:v>
      </x:c>
    </x:row>
    <x:row r="68">
      <x:c r="A68" s="37" t="n">
        <x:v>46174</x:v>
      </x:c>
      <x:c r="B68" s="31" t="str">
        <x:v>115年6月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14275597029</x:v>
      </x:c>
      <x:c r="I68" s="43" t="n">
        <x:v>0.7051000000000001</x:v>
      </x:c>
      <x:c r="J68" s="43" t="n">
        <x:v>0.0391</x:v>
      </x:c>
      <x:c r="K68" s="31" t="str">
        <x:v>新臺幣元</x:v>
      </x:c>
      <x:c r="L68" s="32" t="str">
        <x:v>勞工退休基金-115年6月.pdf</x:v>
      </x:c>
    </x:row>
    <x:row r="69">
      <x:c r="A69" s="37" t="n">
        <x:v>46174</x:v>
      </x:c>
      <x:c r="B69" s="31" t="str">
        <x:v>115年6月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14863361502</x:v>
      </x:c>
      <x:c r="I69" s="43" t="n">
        <x:v>0.7973</x:v>
      </x:c>
      <x:c r="J69" s="43" t="n">
        <x:v>0.0391</x:v>
      </x:c>
      <x:c r="K69" s="31" t="str">
        <x:v>新臺幣元</x:v>
      </x:c>
      <x:c r="L69" s="32" t="str">
        <x:v>勞工退休基金-115年6月.pdf</x:v>
      </x:c>
    </x:row>
    <x:row r="70">
      <x:c r="A70" s="37" t="n">
        <x:v>46174</x:v>
      </x:c>
      <x:c r="B70" s="31" t="str">
        <x:v>115年6月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15573219651</x:v>
      </x:c>
      <x:c r="I70" s="43" t="n">
        <x:v>0.8648</x:v>
      </x:c>
      <x:c r="J70" s="43" t="n">
        <x:v>0.0391</x:v>
      </x:c>
      <x:c r="K70" s="31" t="str">
        <x:v>新臺幣元</x:v>
      </x:c>
      <x:c r="L70" s="32" t="str">
        <x:v>勞工退休基金-115年6月.pdf</x:v>
      </x:c>
    </x:row>
    <x:row r="71">
      <x:c r="A71" s="37" t="n">
        <x:v>46174</x:v>
      </x:c>
      <x:c r="B71" s="31" t="str">
        <x:v>115年6月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14710501824</x:v>
      </x:c>
      <x:c r="I71" s="43" t="n">
        <x:v>0.7973</x:v>
      </x:c>
      <x:c r="J71" s="43" t="n">
        <x:v>0.0391</x:v>
      </x:c>
      <x:c r="K71" s="31" t="str">
        <x:v>新臺幣元</x:v>
      </x:c>
      <x:c r="L71" s="32" t="str">
        <x:v>勞工退休基金-115年6月.pdf</x:v>
      </x:c>
    </x:row>
    <x:row r="72">
      <x:c r="A72" s="37" t="n">
        <x:v>46174</x:v>
      </x:c>
      <x:c r="B72" s="31" t="str">
        <x:v>115年6月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14746594539</x:v>
      </x:c>
      <x:c r="I72" s="43" t="n">
        <x:v>0.7748999999999999</x:v>
      </x:c>
      <x:c r="J72" s="43" t="n">
        <x:v>0.0391</x:v>
      </x:c>
      <x:c r="K72" s="31" t="str">
        <x:v>新臺幣元</x:v>
      </x:c>
      <x:c r="L72" s="32" t="str">
        <x:v>勞工退休基金-115年6月.pdf</x:v>
      </x:c>
    </x:row>
    <x:row r="73">
      <x:c r="A73" s="37" t="n">
        <x:v>46174</x:v>
      </x:c>
      <x:c r="B73" s="31" t="str">
        <x:v>115年6月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1500000000</x:v>
      </x:c>
      <x:c r="H73" s="40" t="n">
        <x:v>1544532768</x:v>
      </x:c>
      <x:c r="I73" s="43" t="n">
        <x:v>0.0297</x:v>
      </x:c>
      <x:c r="J73" s="43" t="n">
        <x:v>0.0037</x:v>
      </x:c>
      <x:c r="K73" s="31" t="str">
        <x:v>新臺幣元</x:v>
      </x:c>
      <x:c r="L73" s="32" t="str">
        <x:v>勞工退休基金-115年6月.pdf</x:v>
      </x:c>
    </x:row>
    <x:row r="74">
      <x:c r="A74" s="37" t="n">
        <x:v>46174</x:v>
      </x:c>
      <x:c r="B74" s="31" t="str">
        <x:v>115年6月</x:v>
      </x:c>
      <x:c r="C74" s="31" t="str">
        <x:v>新制</x:v>
      </x:c>
      <x:c r="D74" s="31" t="str">
        <x:v>國內</x:v>
      </x:c>
      <x:c r="E74" s="31" t="str">
        <x:v>114年第一次委託經營</x:v>
      </x:c>
      <x:c r="F74" s="31" t="str">
        <x:v>安聯</x:v>
      </x:c>
      <x:c r="G74" s="40" t="n">
        <x:v>1500000000</x:v>
      </x:c>
      <x:c r="H74" s="40" t="n">
        <x:v>1528889549</x:v>
      </x:c>
      <x:c r="I74" s="43" t="n">
        <x:v>0.019299999999999998</x:v>
      </x:c>
      <x:c r="J74" s="43" t="n">
        <x:v>0.0037</x:v>
      </x:c>
      <x:c r="K74" s="31" t="str">
        <x:v>新臺幣元</x:v>
      </x:c>
      <x:c r="L74" s="32" t="str">
        <x:v>勞工退休基金-115年6月.pdf</x:v>
      </x:c>
    </x:row>
    <x:row r="75">
      <x:c r="A75" s="37" t="n">
        <x:v>46174</x:v>
      </x:c>
      <x:c r="B75" s="31" t="str">
        <x:v>115年6月</x:v>
      </x:c>
      <x:c r="C75" s="31" t="str">
        <x:v>新制</x:v>
      </x:c>
      <x:c r="D75" s="31" t="str">
        <x:v>國內</x:v>
      </x:c>
      <x:c r="E75" s="31" t="str">
        <x:v>114年第一次委託經營</x:v>
      </x:c>
      <x:c r="F75" s="31" t="str">
        <x:v>施羅德</x:v>
      </x:c>
      <x:c r="G75" s="40" t="n">
        <x:v>1500000000</x:v>
      </x:c>
      <x:c r="H75" s="40" t="n">
        <x:v>1474347055</x:v>
      </x:c>
      <x:c r="I75" s="43" t="n">
        <x:v>-0.0171</x:v>
      </x:c>
      <x:c r="J75" s="43" t="n">
        <x:v>0.0037</x:v>
      </x:c>
      <x:c r="K75" s="31" t="str">
        <x:v>新臺幣元</x:v>
      </x:c>
      <x:c r="L75" s="32" t="str">
        <x:v>勞工退休基金-115年6月.pdf</x:v>
      </x:c>
    </x:row>
    <x:row r="76">
      <x:c r="A76" s="37" t="n">
        <x:v>46174</x:v>
      </x:c>
      <x:c r="B76" s="31" t="str">
        <x:v>115年6月</x:v>
      </x:c>
      <x:c r="C76" s="31" t="str">
        <x:v>新制</x:v>
      </x:c>
      <x:c r="D76" s="31" t="str">
        <x:v>國內</x:v>
      </x:c>
      <x:c r="E76" s="31" t="str">
        <x:v>114年第一次委託經營</x:v>
      </x:c>
      <x:c r="F76" s="31" t="str">
        <x:v>野村</x:v>
      </x:c>
      <x:c r="G76" s="40" t="n">
        <x:v>1500000000</x:v>
      </x:c>
      <x:c r="H76" s="40" t="n">
        <x:v>1489331693</x:v>
      </x:c>
      <x:c r="I76" s="43" t="n">
        <x:v>-0.0070999999999999995</x:v>
      </x:c>
      <x:c r="J76" s="43" t="n">
        <x:v>0.0037</x:v>
      </x:c>
      <x:c r="K76" s="31" t="str">
        <x:v>新臺幣元</x:v>
      </x:c>
      <x:c r="L76" s="32" t="str">
        <x:v>勞工退休基金-115年6月.pdf</x:v>
      </x:c>
    </x:row>
    <x:row r="77">
      <x:c r="A77" s="37" t="n">
        <x:v>46174</x:v>
      </x:c>
      <x:c r="B77" s="31" t="str">
        <x:v>115年6月</x:v>
      </x:c>
      <x:c r="C77" s="31" t="str">
        <x:v>新制</x:v>
      </x:c>
      <x:c r="D77" s="31" t="str">
        <x:v>國內</x:v>
      </x:c>
      <x:c r="E77" s="31" t="str">
        <x:v>114年第一次委託經營</x:v>
      </x:c>
      <x:c r="F77" s="31" t="str">
        <x:v>JPMorgan（國內）</x:v>
      </x:c>
      <x:c r="G77" s="40" t="n">
        <x:v>1500000000</x:v>
      </x:c>
      <x:c r="H77" s="40" t="n">
        <x:v>1492945981</x:v>
      </x:c>
      <x:c r="I77" s="43" t="n">
        <x:v>-0.004699999999999999</x:v>
      </x:c>
      <x:c r="J77" s="43" t="n">
        <x:v>0.0037</x:v>
      </x:c>
      <x:c r="K77" s="31" t="str">
        <x:v>新臺幣元</x:v>
      </x:c>
      <x:c r="L77" s="32" t="str">
        <x:v>勞工退休基金-115年6月.pdf</x:v>
      </x:c>
    </x:row>
    <x:row r="78">
      <x:c r="A78" s="37" t="n">
        <x:v>46174</x:v>
      </x:c>
      <x:c r="B78" s="31" t="str">
        <x:v>115年6月</x:v>
      </x:c>
      <x:c r="C78" s="31" t="str">
        <x:v>舊制</x:v>
      </x:c>
      <x:c r="D78" s="31" t="str">
        <x:v>國內</x:v>
      </x:c>
      <x:c r="E78" s="31" t="str">
        <x:v>國內98年第二次委託經營(續約5)</x:v>
      </x:c>
      <x:c r="F78" s="31" t="str">
        <x:v>富邦</x:v>
      </x:c>
      <x:c r="G78" s="40" t="n">
        <x:v>15603507854</x:v>
      </x:c>
      <x:c r="H78" s="40" t="n">
        <x:v>38359381288</x:v>
      </x:c>
      <x:c r="I78" s="43" t="n">
        <x:v>1.4584000000000001</x:v>
      </x:c>
      <x:c r="J78" s="43" t="n">
        <x:v>0.0894</x:v>
      </x:c>
      <x:c r="K78" s="31" t="str">
        <x:v>新臺幣元</x:v>
      </x:c>
      <x:c r="L78" s="32" t="str">
        <x:v>勞工退休基金-115年6月.pdf</x:v>
      </x:c>
    </x:row>
    <x:row r="79">
      <x:c r="A79" s="37" t="n">
        <x:v>46174</x:v>
      </x:c>
      <x:c r="B79" s="31" t="str">
        <x:v>115年6月</x:v>
      </x:c>
      <x:c r="C79" s="31" t="str">
        <x:v>舊制</x:v>
      </x:c>
      <x:c r="D79" s="31" t="str">
        <x:v>國內</x:v>
      </x:c>
      <x:c r="E79" s="31" t="str">
        <x:v>國內98年第二次委託經營(續約5)</x:v>
      </x:c>
      <x:c r="F79" s="31" t="str">
        <x:v>統一</x:v>
      </x:c>
      <x:c r="G79" s="40" t="n">
        <x:v>13492877440</x:v>
      </x:c>
      <x:c r="H79" s="40" t="n">
        <x:v>32352469472</x:v>
      </x:c>
      <x:c r="I79" s="43" t="n">
        <x:v>1.3977000000000002</x:v>
      </x:c>
      <x:c r="J79" s="43" t="n">
        <x:v>0.0894</x:v>
      </x:c>
      <x:c r="K79" s="31" t="str">
        <x:v>新臺幣元</x:v>
      </x:c>
      <x:c r="L79" s="32" t="str">
        <x:v>勞工退休基金-115年6月.pdf</x:v>
      </x:c>
    </x:row>
    <x:row r="80">
      <x:c r="A80" s="37" t="n">
        <x:v>46174</x:v>
      </x:c>
      <x:c r="B80" s="31" t="str">
        <x:v>115年6月</x:v>
      </x:c>
      <x:c r="C80" s="31" t="str">
        <x:v>舊制</x:v>
      </x:c>
      <x:c r="D80" s="31" t="str">
        <x:v>國內</x:v>
      </x:c>
      <x:c r="E80" s="31" t="str">
        <x:v>國內101年第一次委託經營(相對報酬)(續約3)</x:v>
      </x:c>
      <x:c r="F80" s="31" t="str">
        <x:v>滙豐</x:v>
      </x:c>
      <x:c r="G80" s="40" t="n">
        <x:v>6530798735</x:v>
      </x:c>
      <x:c r="H80" s="40" t="n">
        <x:v>14343878377</x:v>
      </x:c>
      <x:c r="I80" s="43" t="n">
        <x:v>1.1963</x:v>
      </x:c>
      <x:c r="J80" s="43" t="n">
        <x:v>1.1018999999999999</x:v>
      </x:c>
      <x:c r="K80" s="31" t="str">
        <x:v>新臺幣元</x:v>
      </x:c>
      <x:c r="L80" s="32" t="str">
        <x:v>勞工退休基金-115年6月.pdf</x:v>
      </x:c>
    </x:row>
    <x:row r="81">
      <x:c r="A81" s="37" t="n">
        <x:v>46174</x:v>
      </x:c>
      <x:c r="B81" s="31" t="str">
        <x:v>115年6月</x:v>
      </x:c>
      <x:c r="C81" s="31" t="str">
        <x:v>舊制</x:v>
      </x:c>
      <x:c r="D81" s="31" t="str">
        <x:v>國內</x:v>
      </x:c>
      <x:c r="E81" s="31" t="str">
        <x:v>國內101年第二次委託經營(續約3)</x:v>
      </x:c>
      <x:c r="F81" s="31" t="str">
        <x:v>野村</x:v>
      </x:c>
      <x:c r="G81" s="40" t="n">
        <x:v>27357530009</x:v>
      </x:c>
      <x:c r="H81" s="40" t="n">
        <x:v>90231466119</x:v>
      </x:c>
      <x:c r="I81" s="43" t="n">
        <x:v>2.2982</x:v>
      </x:c>
      <x:c r="J81" s="43" t="n">
        <x:v>0.12710000000000002</x:v>
      </x:c>
      <x:c r="K81" s="31" t="str">
        <x:v>新臺幣元</x:v>
      </x:c>
      <x:c r="L81" s="32" t="str">
        <x:v>勞工退休基金-115年6月.pdf</x:v>
      </x:c>
    </x:row>
    <x:row r="82">
      <x:c r="A82" s="37" t="n">
        <x:v>46174</x:v>
      </x:c>
      <x:c r="B82" s="31" t="str">
        <x:v>115年6月</x:v>
      </x:c>
      <x:c r="C82" s="31" t="str">
        <x:v>舊制</x:v>
      </x:c>
      <x:c r="D82" s="31" t="str">
        <x:v>國內</x:v>
      </x:c>
      <x:c r="E82" s="31" t="str">
        <x:v>國內104年第一次委託經營(續約2)</x:v>
      </x:c>
      <x:c r="F82" s="31" t="str">
        <x:v>復華</x:v>
      </x:c>
      <x:c r="G82" s="40" t="n">
        <x:v>4800107976</x:v>
      </x:c>
      <x:c r="H82" s="40" t="n">
        <x:v>15645123639</x:v>
      </x:c>
      <x:c r="I82" s="43" t="n">
        <x:v>2.2593</x:v>
      </x:c>
      <x:c r="J82" s="43" t="n">
        <x:v>0.195</x:v>
      </x:c>
      <x:c r="K82" s="31" t="str">
        <x:v>新臺幣元</x:v>
      </x:c>
      <x:c r="L82" s="32" t="str">
        <x:v>勞工退休基金-115年6月.pdf</x:v>
      </x:c>
    </x:row>
    <x:row r="83">
      <x:c r="A83" s="37" t="n">
        <x:v>46174</x:v>
      </x:c>
      <x:c r="B83" s="31" t="str">
        <x:v>115年6月</x:v>
      </x:c>
      <x:c r="C83" s="31" t="str">
        <x:v>舊制</x:v>
      </x:c>
      <x:c r="D83" s="31" t="str">
        <x:v>國內</x:v>
      </x:c>
      <x:c r="E83" s="31" t="str">
        <x:v>國內104年第一次委託經營(續約2)</x:v>
      </x:c>
      <x:c r="F83" s="31" t="str">
        <x:v>安聯</x:v>
      </x:c>
      <x:c r="G83" s="40" t="n">
        <x:v>2601947821</x:v>
      </x:c>
      <x:c r="H83" s="40" t="n">
        <x:v>7826480914</x:v>
      </x:c>
      <x:c r="I83" s="43" t="n">
        <x:v>1.4505000000000001</x:v>
      </x:c>
      <x:c r="J83" s="43" t="n">
        <x:v>0.195</x:v>
      </x:c>
      <x:c r="K83" s="31" t="str">
        <x:v>新臺幣元</x:v>
      </x:c>
      <x:c r="L83" s="32" t="str">
        <x:v>勞工退休基金-115年6月.pdf</x:v>
      </x:c>
    </x:row>
    <x:row r="84">
      <x:c r="A84" s="37" t="n">
        <x:v>46174</x:v>
      </x:c>
      <x:c r="B84" s="31" t="str">
        <x:v>115年6月</x:v>
      </x:c>
      <x:c r="C84" s="31" t="str">
        <x:v>舊制</x:v>
      </x:c>
      <x:c r="D84" s="31" t="str">
        <x:v>國內</x:v>
      </x:c>
      <x:c r="E84" s="31" t="str">
        <x:v>國內106年第一次委託經營(續約)</x:v>
      </x:c>
      <x:c r="F84" s="31" t="str">
        <x:v>安聯</x:v>
      </x:c>
      <x:c r="G84" s="40" t="n">
        <x:v>15089937312</x:v>
      </x:c>
      <x:c r="H84" s="40" t="n">
        <x:v>51358244668</x:v>
      </x:c>
      <x:c r="I84" s="43" t="n">
        <x:v>2.4707</x:v>
      </x:c>
      <x:c r="J84" s="43" t="n">
        <x:v>0.2051</x:v>
      </x:c>
      <x:c r="K84" s="31" t="str">
        <x:v>新臺幣元</x:v>
      </x:c>
      <x:c r="L84" s="32" t="str">
        <x:v>勞工退休基金-115年6月.pdf</x:v>
      </x:c>
    </x:row>
    <x:row r="85">
      <x:c r="A85" s="37" t="n">
        <x:v>46174</x:v>
      </x:c>
      <x:c r="B85" s="31" t="str">
        <x:v>115年6月</x:v>
      </x:c>
      <x:c r="C85" s="31" t="str">
        <x:v>舊制</x:v>
      </x:c>
      <x:c r="D85" s="31" t="str">
        <x:v>國內</x:v>
      </x:c>
      <x:c r="E85" s="31" t="str">
        <x:v>國內106年第一次委託經營(續約)</x:v>
      </x:c>
      <x:c r="F85" s="31" t="str">
        <x:v>國泰</x:v>
      </x:c>
      <x:c r="G85" s="40" t="n">
        <x:v>3019107110</x:v>
      </x:c>
      <x:c r="H85" s="40" t="n">
        <x:v>12455309447</x:v>
      </x:c>
      <x:c r="I85" s="43" t="n">
        <x:v>1.683</x:v>
      </x:c>
      <x:c r="J85" s="43" t="n">
        <x:v>0.2051</x:v>
      </x:c>
      <x:c r="K85" s="31" t="str">
        <x:v>新臺幣元</x:v>
      </x:c>
      <x:c r="L85" s="32" t="str">
        <x:v>勞工退休基金-115年6月.pdf</x:v>
      </x:c>
    </x:row>
    <x:row r="86">
      <x:c r="A86" s="37" t="n">
        <x:v>46174</x:v>
      </x:c>
      <x:c r="B86" s="31" t="str">
        <x:v>115年6月</x:v>
      </x:c>
      <x:c r="C86" s="31" t="str">
        <x:v>舊制</x:v>
      </x:c>
      <x:c r="D86" s="31" t="str">
        <x:v>國內</x:v>
      </x:c>
      <x:c r="E86" s="31" t="str">
        <x:v>國內106年第一次委託經營(續約)</x:v>
      </x:c>
      <x:c r="F86" s="31" t="str">
        <x:v>群益</x:v>
      </x:c>
      <x:c r="G86" s="40" t="n">
        <x:v>4384957618</x:v>
      </x:c>
      <x:c r="H86" s="40" t="n">
        <x:v>13791567566</x:v>
      </x:c>
      <x:c r="I86" s="43" t="n">
        <x:v>1.4882</x:v>
      </x:c>
      <x:c r="J86" s="43" t="n">
        <x:v>0.2051</x:v>
      </x:c>
      <x:c r="K86" s="31" t="str">
        <x:v>新臺幣元</x:v>
      </x:c>
      <x:c r="L86" s="32" t="str">
        <x:v>勞工退休基金-115年6月.pdf</x:v>
      </x:c>
    </x:row>
    <x:row r="87">
      <x:c r="A87" s="37" t="n">
        <x:v>46174</x:v>
      </x:c>
      <x:c r="B87" s="31" t="str">
        <x:v>115年6月</x:v>
      </x:c>
      <x:c r="C87" s="31" t="str">
        <x:v>舊制</x:v>
      </x:c>
      <x:c r="D87" s="31" t="str">
        <x:v>國內</x:v>
      </x:c>
      <x:c r="E87" s="31" t="str">
        <x:v>國內106年第一次委託經營(續約)</x:v>
      </x:c>
      <x:c r="F87" s="31" t="str">
        <x:v>滙豐</x:v>
      </x:c>
      <x:c r="G87" s="40" t="n">
        <x:v>5597524598</x:v>
      </x:c>
      <x:c r="H87" s="40" t="n">
        <x:v>17686130717</x:v>
      </x:c>
      <x:c r="I87" s="43" t="n">
        <x:v>1.7116</x:v>
      </x:c>
      <x:c r="J87" s="43" t="n">
        <x:v>0.2051</x:v>
      </x:c>
      <x:c r="K87" s="31" t="str">
        <x:v>新臺幣元</x:v>
      </x:c>
      <x:c r="L87" s="32" t="str">
        <x:v>勞工退休基金-115年6月.pdf</x:v>
      </x:c>
    </x:row>
    <x:row r="88">
      <x:c r="A88" s="37" t="n">
        <x:v>46174</x:v>
      </x:c>
      <x:c r="B88" s="31" t="str">
        <x:v>115年6月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安聯</x:v>
      </x:c>
      <x:c r="G88" s="40" t="n">
        <x:v>1000000000</x:v>
      </x:c>
      <x:c r="H88" s="40" t="n">
        <x:v>2706686839</x:v>
      </x:c>
      <x:c r="I88" s="43" t="n">
        <x:v>1.6116</x:v>
      </x:c>
      <x:c r="J88" s="43" t="n">
        <x:v>1.6469999999999998</x:v>
      </x:c>
      <x:c r="K88" s="31" t="str">
        <x:v>新臺幣元</x:v>
      </x:c>
      <x:c r="L88" s="32" t="str">
        <x:v>勞工退休基金-115年6月.pdf</x:v>
      </x:c>
    </x:row>
    <x:row r="89">
      <x:c r="A89" s="37" t="n">
        <x:v>46174</x:v>
      </x:c>
      <x:c r="B89" s="31" t="str">
        <x:v>115年6月</x:v>
      </x:c>
      <x:c r="C89" s="31" t="str">
        <x:v>舊制</x:v>
      </x:c>
      <x:c r="D89" s="31" t="str">
        <x:v>國內</x:v>
      </x:c>
      <x:c r="E89" s="31" t="str">
        <x:v>國內109年第二次委託經營</x:v>
      </x:c>
      <x:c r="F89" s="31" t="str">
        <x:v>玉山</x:v>
      </x:c>
      <x:c r="G89" s="40" t="n">
        <x:v>1000000000</x:v>
      </x:c>
      <x:c r="H89" s="40" t="n">
        <x:v>2669200613</x:v>
      </x:c>
      <x:c r="I89" s="43" t="n">
        <x:v>1.595</x:v>
      </x:c>
      <x:c r="J89" s="43" t="n">
        <x:v>1.6469999999999998</x:v>
      </x:c>
      <x:c r="K89" s="31" t="str">
        <x:v>新臺幣元</x:v>
      </x:c>
      <x:c r="L89" s="32" t="str">
        <x:v>勞工退休基金-115年6月.pdf</x:v>
      </x:c>
    </x:row>
    <x:row r="90">
      <x:c r="A90" s="37" t="n">
        <x:v>46174</x:v>
      </x:c>
      <x:c r="B90" s="31" t="str">
        <x:v>115年6月</x:v>
      </x:c>
      <x:c r="C90" s="31" t="str">
        <x:v>舊制</x:v>
      </x:c>
      <x:c r="D90" s="31" t="str">
        <x:v>國內</x:v>
      </x:c>
      <x:c r="E90" s="31" t="str">
        <x:v>國內109年第二次委託經營</x:v>
      </x:c>
      <x:c r="F90" s="31" t="str">
        <x:v>野村</x:v>
      </x:c>
      <x:c r="G90" s="40" t="n">
        <x:v>1000000000</x:v>
      </x:c>
      <x:c r="H90" s="40" t="n">
        <x:v>2714567903</x:v>
      </x:c>
      <x:c r="I90" s="43" t="n">
        <x:v>1.5814</x:v>
      </x:c>
      <x:c r="J90" s="43" t="n">
        <x:v>1.6469999999999998</x:v>
      </x:c>
      <x:c r="K90" s="31" t="str">
        <x:v>新臺幣元</x:v>
      </x:c>
      <x:c r="L90" s="32" t="str">
        <x:v>勞工退休基金-115年6月.pdf</x:v>
      </x:c>
    </x:row>
    <x:row r="91">
      <x:c r="A91" s="37" t="n">
        <x:v>46174</x:v>
      </x:c>
      <x:c r="B91" s="31" t="str">
        <x:v>115年6月</x:v>
      </x:c>
      <x:c r="C91" s="31" t="str">
        <x:v>舊制</x:v>
      </x:c>
      <x:c r="D91" s="31" t="str">
        <x:v>國內</x:v>
      </x:c>
      <x:c r="E91" s="31" t="str">
        <x:v>國內109年第二次委託經營</x:v>
      </x:c>
      <x:c r="F91" s="31" t="str">
        <x:v>國泰</x:v>
      </x:c>
      <x:c r="G91" s="40" t="n">
        <x:v>1000000000</x:v>
      </x:c>
      <x:c r="H91" s="40" t="n">
        <x:v>2782915914</x:v>
      </x:c>
      <x:c r="I91" s="43" t="n">
        <x:v>1.6725999999999999</x:v>
      </x:c>
      <x:c r="J91" s="43" t="n">
        <x:v>1.6469999999999998</x:v>
      </x:c>
      <x:c r="K91" s="31" t="str">
        <x:v>新臺幣元</x:v>
      </x:c>
      <x:c r="L91" s="32" t="str">
        <x:v>勞工退休基金-115年6月.pdf</x:v>
      </x:c>
    </x:row>
    <x:row r="92">
      <x:c r="A92" s="37" t="n">
        <x:v>46174</x:v>
      </x:c>
      <x:c r="B92" s="31" t="str">
        <x:v>115年6月</x:v>
      </x:c>
      <x:c r="C92" s="31" t="str">
        <x:v>舊制</x:v>
      </x:c>
      <x:c r="D92" s="31" t="str">
        <x:v>國內</x:v>
      </x:c>
      <x:c r="E92" s="31" t="str">
        <x:v>國內109年第二次委託經營</x:v>
      </x:c>
      <x:c r="F92" s="31" t="str">
        <x:v>富邦</x:v>
      </x:c>
      <x:c r="G92" s="40" t="n">
        <x:v>1000000000</x:v>
      </x:c>
      <x:c r="H92" s="40" t="n">
        <x:v>2703351908</x:v>
      </x:c>
      <x:c r="I92" s="43" t="n">
        <x:v>1.5795</x:v>
      </x:c>
      <x:c r="J92" s="43" t="n">
        <x:v>1.6469999999999998</x:v>
      </x:c>
      <x:c r="K92" s="31" t="str">
        <x:v>新臺幣元</x:v>
      </x:c>
      <x:c r="L92" s="32" t="str">
        <x:v>勞工退休基金-115年6月.pdf</x:v>
      </x:c>
    </x:row>
    <x:row r="93">
      <x:c r="A93" s="37" t="n">
        <x:v>46174</x:v>
      </x:c>
      <x:c r="B93" s="31" t="str">
        <x:v>115年6月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安聯</x:v>
      </x:c>
      <x:c r="G93" s="40" t="n">
        <x:v>3000000000</x:v>
      </x:c>
      <x:c r="H93" s="40" t="n">
        <x:v>6050588599</x:v>
      </x:c>
      <x:c r="I93" s="43" t="n">
        <x:v>1.3493000000000002</x:v>
      </x:c>
      <x:c r="J93" s="43" t="n">
        <x:v>0.1632</x:v>
      </x:c>
      <x:c r="K93" s="31" t="str">
        <x:v>新臺幣元</x:v>
      </x:c>
      <x:c r="L93" s="32" t="str">
        <x:v>勞工退休基金-115年6月.pdf</x:v>
      </x:c>
    </x:row>
    <x:row r="94">
      <x:c r="A94" s="37" t="n">
        <x:v>46174</x:v>
      </x:c>
      <x:c r="B94" s="31" t="str">
        <x:v>115年6月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施羅德</x:v>
      </x:c>
      <x:c r="G94" s="40" t="n">
        <x:v>3000000000</x:v>
      </x:c>
      <x:c r="H94" s="40" t="n">
        <x:v>9020550899</x:v>
      </x:c>
      <x:c r="I94" s="43" t="n">
        <x:v>2.5452</x:v>
      </x:c>
      <x:c r="J94" s="43" t="n">
        <x:v>0.1632</x:v>
      </x:c>
      <x:c r="K94" s="31" t="str">
        <x:v>新臺幣元</x:v>
      </x:c>
      <x:c r="L94" s="32" t="str">
        <x:v>勞工退休基金-115年6月.pdf</x:v>
      </x:c>
    </x:row>
    <x:row r="95">
      <x:c r="A95" s="37" t="n">
        <x:v>46174</x:v>
      </x:c>
      <x:c r="B95" s="31" t="str">
        <x:v>115年6月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國泰</x:v>
      </x:c>
      <x:c r="G95" s="40" t="n">
        <x:v>3000000000</x:v>
      </x:c>
      <x:c r="H95" s="40" t="n">
        <x:v>7844558558</x:v>
      </x:c>
      <x:c r="I95" s="43" t="n">
        <x:v>2.1902</x:v>
      </x:c>
      <x:c r="J95" s="43" t="n">
        <x:v>0.1632</x:v>
      </x:c>
      <x:c r="K95" s="31" t="str">
        <x:v>新臺幣元</x:v>
      </x:c>
      <x:c r="L95" s="32" t="str">
        <x:v>勞工退休基金-115年6月.pdf</x:v>
      </x:c>
    </x:row>
    <x:row r="96">
      <x:c r="A96" s="37" t="n">
        <x:v>46174</x:v>
      </x:c>
      <x:c r="B96" s="31" t="str">
        <x:v>115年6月</x:v>
      </x:c>
      <x:c r="C96" s="31" t="str">
        <x:v>舊制</x:v>
      </x:c>
      <x:c r="D96" s="31" t="str">
        <x:v>國內</x:v>
      </x:c>
      <x:c r="E96" s="31" t="str">
        <x:v>國內111年第一次委託經營</x:v>
      </x:c>
      <x:c r="F96" s="31" t="str">
        <x:v>第一金</x:v>
      </x:c>
      <x:c r="G96" s="40" t="n">
        <x:v>3000000000</x:v>
      </x:c>
      <x:c r="H96" s="40" t="n">
        <x:v>8188549495</x:v>
      </x:c>
      <x:c r="I96" s="43" t="n">
        <x:v>1.6466</x:v>
      </x:c>
      <x:c r="J96" s="43" t="n">
        <x:v>0.1632</x:v>
      </x:c>
      <x:c r="K96" s="31" t="str">
        <x:v>新臺幣元</x:v>
      </x:c>
      <x:c r="L96" s="32" t="str">
        <x:v>勞工退休基金-115年6月.pdf</x:v>
      </x:c>
    </x:row>
    <x:row r="97">
      <x:c r="A97" s="37" t="n">
        <x:v>46174</x:v>
      </x:c>
      <x:c r="B97" s="31" t="str">
        <x:v>115年6月</x:v>
      </x:c>
      <x:c r="C97" s="31" t="str">
        <x:v>舊制</x:v>
      </x:c>
      <x:c r="D97" s="31" t="str">
        <x:v>國內</x:v>
      </x:c>
      <x:c r="E97" s="31" t="str">
        <x:v>國內111年第一次委託經營</x:v>
      </x:c>
      <x:c r="F97" s="31" t="str">
        <x:v>野村</x:v>
      </x:c>
      <x:c r="G97" s="40" t="n">
        <x:v>3000000000</x:v>
      </x:c>
      <x:c r="H97" s="40" t="n">
        <x:v>9442116713</x:v>
      </x:c>
      <x:c r="I97" s="43" t="n">
        <x:v>2.6062</x:v>
      </x:c>
      <x:c r="J97" s="43" t="n">
        <x:v>0.1632</x:v>
      </x:c>
      <x:c r="K97" s="31" t="str">
        <x:v>新臺幣元</x:v>
      </x:c>
      <x:c r="L97" s="32" t="str">
        <x:v>勞工退休基金-115年6月.pdf</x:v>
      </x:c>
    </x:row>
    <x:row r="98">
      <x:c r="A98" s="37" t="n">
        <x:v>46174</x:v>
      </x:c>
      <x:c r="B98" s="31" t="str">
        <x:v>115年6月</x:v>
      </x:c>
      <x:c r="C98" s="31" t="str">
        <x:v>舊制</x:v>
      </x:c>
      <x:c r="D98" s="31" t="str">
        <x:v>國內</x:v>
      </x:c>
      <x:c r="E98" s="31" t="str">
        <x:v>國內111年第一次委託經營</x:v>
      </x:c>
      <x:c r="F98" s="31" t="str">
        <x:v>華南永昌</x:v>
      </x:c>
      <x:c r="G98" s="40" t="n">
        <x:v>3000000000</x:v>
      </x:c>
      <x:c r="H98" s="40" t="n">
        <x:v>5294936141</x:v>
      </x:c>
      <x:c r="I98" s="43" t="n">
        <x:v>0.9163</x:v>
      </x:c>
      <x:c r="J98" s="43" t="n">
        <x:v>0.1632</x:v>
      </x:c>
      <x:c r="K98" s="31" t="str">
        <x:v>新臺幣元</x:v>
      </x:c>
      <x:c r="L98" s="32" t="str">
        <x:v>勞工退休基金-115年6月.pdf</x:v>
      </x:c>
    </x:row>
    <x:row r="99">
      <x:c r="A99" s="37" t="n">
        <x:v>46174</x:v>
      </x:c>
      <x:c r="B99" s="31" t="str">
        <x:v>115年6月</x:v>
      </x:c>
      <x:c r="C99" s="31" t="str">
        <x:v>舊制</x:v>
      </x:c>
      <x:c r="D99" s="31" t="str">
        <x:v>國內</x:v>
      </x:c>
      <x:c r="E99" s="31" t="str">
        <x:v>國內111年第一次委託經營</x:v>
      </x:c>
      <x:c r="F99" s="31" t="str">
        <x:v>滙豐</x:v>
      </x:c>
      <x:c r="G99" s="40" t="n">
        <x:v>3000000000</x:v>
      </x:c>
      <x:c r="H99" s="40" t="n">
        <x:v>6920131080</x:v>
      </x:c>
      <x:c r="I99" s="43" t="n">
        <x:v>1.6155000000000002</x:v>
      </x:c>
      <x:c r="J99" s="43" t="n">
        <x:v>0.1632</x:v>
      </x:c>
      <x:c r="K99" s="31" t="str">
        <x:v>新臺幣元</x:v>
      </x:c>
      <x:c r="L99" s="32" t="str">
        <x:v>勞工退休基金-115年6月.pdf</x:v>
      </x:c>
    </x:row>
    <x:row r="100">
      <x:c r="A100" s="37" t="n">
        <x:v>46174</x:v>
      </x:c>
      <x:c r="B100" s="31" t="str">
        <x:v>115年6月</x:v>
      </x:c>
      <x:c r="C100" s="31" t="str">
        <x:v>勞工保險</x:v>
      </x:c>
      <x:c r="D100" s="31" t="str">
        <x:v>國內</x:v>
      </x:c>
      <x:c r="E100" s="31" t="str">
        <x:v>103年委託經營(續約4)</x:v>
      </x:c>
      <x:c r="F100" s="31" t="str">
        <x:v>國泰</x:v>
      </x:c>
      <x:c r="G100" s="40" t="n">
        <x:v>6006437351</x:v>
      </x:c>
      <x:c r="H100" s="40" t="n">
        <x:v>17417419373</x:v>
      </x:c>
      <x:c r="I100" s="43" t="n">
        <x:v>1.8998</x:v>
      </x:c>
      <x:c r="J100" s="43" t="n">
        <x:v>0.1641</x:v>
      </x:c>
      <x:c r="K100" s="31" t="str">
        <x:v>新臺幣元</x:v>
      </x:c>
      <x:c r="L100" s="32" t="str">
        <x:v>勞工保險基金-115年6月.pdf</x:v>
      </x:c>
    </x:row>
    <x:row r="101">
      <x:c r="A101" s="37" t="n">
        <x:v>46174</x:v>
      </x:c>
      <x:c r="B101" s="31" t="str">
        <x:v>115年6月</x:v>
      </x:c>
      <x:c r="C101" s="31" t="str">
        <x:v>勞工保險</x:v>
      </x:c>
      <x:c r="D101" s="31" t="str">
        <x:v>國內</x:v>
      </x:c>
      <x:c r="E101" s="31" t="str">
        <x:v>104年委託經營(續約4)</x:v>
      </x:c>
      <x:c r="F101" s="31" t="str">
        <x:v>野村</x:v>
      </x:c>
      <x:c r="G101" s="40" t="n">
        <x:v>10115864773</x:v>
      </x:c>
      <x:c r="H101" s="40" t="n">
        <x:v>28677443414</x:v>
      </x:c>
      <x:c r="I101" s="43" t="n">
        <x:v>1.8349000000000002</x:v>
      </x:c>
      <x:c r="J101" s="43" t="n">
        <x:v>0.1173</x:v>
      </x:c>
      <x:c r="K101" s="31" t="str">
        <x:v>新臺幣元</x:v>
      </x:c>
      <x:c r="L101" s="32" t="str">
        <x:v>勞工保險基金-115年6月.pdf</x:v>
      </x:c>
    </x:row>
    <x:row r="102">
      <x:c r="A102" s="37" t="n">
        <x:v>46174</x:v>
      </x:c>
      <x:c r="B102" s="31" t="str">
        <x:v>115年6月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台新</x:v>
      </x:c>
      <x:c r="G102" s="40" t="n">
        <x:v>1511398000</x:v>
      </x:c>
      <x:c r="H102" s="40" t="n">
        <x:v>4627164442</x:v>
      </x:c>
      <x:c r="I102" s="43" t="n">
        <x:v>2.0615</x:v>
      </x:c>
      <x:c r="J102" s="43" t="n">
        <x:v>0.16269999999999998</x:v>
      </x:c>
      <x:c r="K102" s="31" t="str">
        <x:v>新臺幣元</x:v>
      </x:c>
      <x:c r="L102" s="32" t="str">
        <x:v>勞工保險基金-115年6月.pdf</x:v>
      </x:c>
    </x:row>
    <x:row r="103">
      <x:c r="A103" s="37" t="n">
        <x:v>46174</x:v>
      </x:c>
      <x:c r="B103" s="31" t="str">
        <x:v>115年6月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安聯</x:v>
      </x:c>
      <x:c r="G103" s="40" t="n">
        <x:v>2849479862</x:v>
      </x:c>
      <x:c r="H103" s="40" t="n">
        <x:v>8047220641</x:v>
      </x:c>
      <x:c r="I103" s="43" t="n">
        <x:v>2.0311000000000003</x:v>
      </x:c>
      <x:c r="J103" s="43" t="n">
        <x:v>0.16269999999999998</x:v>
      </x:c>
      <x:c r="K103" s="31" t="str">
        <x:v>新臺幣元</x:v>
      </x:c>
      <x:c r="L103" s="32" t="str">
        <x:v>勞工保險基金-115年6月.pdf</x:v>
      </x:c>
    </x:row>
    <x:row r="104">
      <x:c r="A104" s="37" t="n">
        <x:v>46174</x:v>
      </x:c>
      <x:c r="B104" s="31" t="str">
        <x:v>115年6月</x:v>
      </x:c>
      <x:c r="C104" s="31" t="str">
        <x:v>勞工保險</x:v>
      </x:c>
      <x:c r="D104" s="31" t="str">
        <x:v>國內</x:v>
      </x:c>
      <x:c r="E104" s="31" t="str">
        <x:v>106年第一次委託經營(續約)</x:v>
      </x:c>
      <x:c r="F104" s="31" t="str">
        <x:v>玉山</x:v>
      </x:c>
      <x:c r="G104" s="40" t="n">
        <x:v>1370065623</x:v>
      </x:c>
      <x:c r="H104" s="40" t="n">
        <x:v>4036054782</x:v>
      </x:c>
      <x:c r="I104" s="43" t="n">
        <x:v>1.9459</x:v>
      </x:c>
      <x:c r="J104" s="43" t="n">
        <x:v>0.16269999999999998</x:v>
      </x:c>
      <x:c r="K104" s="31" t="str">
        <x:v>新臺幣元</x:v>
      </x:c>
      <x:c r="L104" s="32" t="str">
        <x:v>勞工保險基金-115年6月.pdf</x:v>
      </x:c>
    </x:row>
    <x:row r="105">
      <x:c r="A105" s="37" t="n">
        <x:v>46174</x:v>
      </x:c>
      <x:c r="B105" s="31" t="str">
        <x:v>115年6月</x:v>
      </x:c>
      <x:c r="C105" s="31" t="str">
        <x:v>勞工保險</x:v>
      </x:c>
      <x:c r="D105" s="31" t="str">
        <x:v>國內</x:v>
      </x:c>
      <x:c r="E105" s="31" t="str">
        <x:v>106年第一次委託經營(續約)</x:v>
      </x:c>
      <x:c r="F105" s="31" t="str">
        <x:v>國泰</x:v>
      </x:c>
      <x:c r="G105" s="40" t="n">
        <x:v>1045683565</x:v>
      </x:c>
      <x:c r="H105" s="40" t="n">
        <x:v>2901665565</x:v>
      </x:c>
      <x:c r="I105" s="43" t="n">
        <x:v>1.5644</x:v>
      </x:c>
      <x:c r="J105" s="43" t="n">
        <x:v>0.16269999999999998</x:v>
      </x:c>
      <x:c r="K105" s="31" t="str">
        <x:v>新臺幣元</x:v>
      </x:c>
      <x:c r="L105" s="32" t="str">
        <x:v>勞工保險基金-115年6月.pdf</x:v>
      </x:c>
    </x:row>
    <x:row r="106">
      <x:c r="A106" s="37" t="n">
        <x:v>46174</x:v>
      </x:c>
      <x:c r="B106" s="31" t="str">
        <x:v>115年6月</x:v>
      </x:c>
      <x:c r="C106" s="31" t="str">
        <x:v>勞工保險</x:v>
      </x:c>
      <x:c r="D106" s="31" t="str">
        <x:v>國內</x:v>
      </x:c>
      <x:c r="E106" s="31" t="str">
        <x:v>106年第一次委託經營(續約)</x:v>
      </x:c>
      <x:c r="F106" s="31" t="str">
        <x:v>群益</x:v>
      </x:c>
      <x:c r="G106" s="40" t="n">
        <x:v>1478582277</x:v>
      </x:c>
      <x:c r="H106" s="40" t="n">
        <x:v>3260399353</x:v>
      </x:c>
      <x:c r="I106" s="43" t="n">
        <x:v>1.2051</x:v>
      </x:c>
      <x:c r="J106" s="43" t="n">
        <x:v>0.16269999999999998</x:v>
      </x:c>
      <x:c r="K106" s="31" t="str">
        <x:v>新臺幣元</x:v>
      </x:c>
      <x:c r="L106" s="32" t="str">
        <x:v>勞工保險基金-115年6月.pdf</x:v>
      </x:c>
    </x:row>
    <x:row r="107">
      <x:c r="A107" s="37" t="n">
        <x:v>46174</x:v>
      </x:c>
      <x:c r="B107" s="31" t="str">
        <x:v>115年6月</x:v>
      </x:c>
      <x:c r="C107" s="31" t="str">
        <x:v>勞工保險</x:v>
      </x:c>
      <x:c r="D107" s="31" t="str">
        <x:v>國內</x:v>
      </x:c>
      <x:c r="E107" s="31" t="str">
        <x:v>106年第一次委託經營(續約)</x:v>
      </x:c>
      <x:c r="F107" s="31" t="str">
        <x:v>滙豐</x:v>
      </x:c>
      <x:c r="G107" s="40" t="n">
        <x:v>1492252844</x:v>
      </x:c>
      <x:c r="H107" s="40" t="n">
        <x:v>3842006225</x:v>
      </x:c>
      <x:c r="I107" s="43" t="n">
        <x:v>1.5746</x:v>
      </x:c>
      <x:c r="J107" s="43" t="n">
        <x:v>0.16269999999999998</x:v>
      </x:c>
      <x:c r="K107" s="31" t="str">
        <x:v>新臺幣元</x:v>
      </x:c>
      <x:c r="L107" s="32" t="str">
        <x:v>勞工保險基金-115年6月.pdf</x:v>
      </x:c>
    </x:row>
    <x:row r="108">
      <x:c r="A108" s="37" t="n">
        <x:v>46174</x:v>
      </x:c>
      <x:c r="B108" s="31" t="str">
        <x:v>115年6月</x:v>
      </x:c>
      <x:c r="C108" s="31" t="str">
        <x:v>勞工保險</x:v>
      </x:c>
      <x:c r="D108" s="31" t="str">
        <x:v>國內</x:v>
      </x:c>
      <x:c r="E108" s="31" t="str">
        <x:v>109年第二次委託經營(相對報酬)</x:v>
      </x:c>
      <x:c r="F108" s="31" t="str">
        <x:v>安聯</x:v>
      </x:c>
      <x:c r="G108" s="40" t="n">
        <x:v>500000000</x:v>
      </x:c>
      <x:c r="H108" s="40" t="n">
        <x:v>1353674960</x:v>
      </x:c>
      <x:c r="I108" s="43" t="n">
        <x:v>1.6156</x:v>
      </x:c>
      <x:c r="J108" s="43" t="n">
        <x:v>1.6469999999999998</x:v>
      </x:c>
      <x:c r="K108" s="31" t="str">
        <x:v>新臺幣元</x:v>
      </x:c>
      <x:c r="L108" s="32" t="str">
        <x:v>勞工保險基金-115年6月.pdf</x:v>
      </x:c>
    </x:row>
    <x:row r="109">
      <x:c r="A109" s="37" t="n">
        <x:v>46174</x:v>
      </x:c>
      <x:c r="B109" s="31" t="str">
        <x:v>115年6月</x:v>
      </x:c>
      <x:c r="C109" s="31" t="str">
        <x:v>勞工保險</x:v>
      </x:c>
      <x:c r="D109" s="31" t="str">
        <x:v>國內</x:v>
      </x:c>
      <x:c r="E109" s="31" t="str">
        <x:v>109年第二次委託經營(相對報酬)</x:v>
      </x:c>
      <x:c r="F109" s="31" t="str">
        <x:v>玉山</x:v>
      </x:c>
      <x:c r="G109" s="40" t="n">
        <x:v>500000000</x:v>
      </x:c>
      <x:c r="H109" s="40" t="n">
        <x:v>1334664633</x:v>
      </x:c>
      <x:c r="I109" s="43" t="n">
        <x:v>1.5949</x:v>
      </x:c>
      <x:c r="J109" s="43" t="n">
        <x:v>1.6469999999999998</x:v>
      </x:c>
      <x:c r="K109" s="31" t="str">
        <x:v>新臺幣元</x:v>
      </x:c>
      <x:c r="L109" s="32" t="str">
        <x:v>勞工保險基金-115年6月.pdf</x:v>
      </x:c>
    </x:row>
    <x:row r="110">
      <x:c r="A110" s="37" t="n">
        <x:v>46174</x:v>
      </x:c>
      <x:c r="B110" s="31" t="str">
        <x:v>115年6月</x:v>
      </x:c>
      <x:c r="C110" s="31" t="str">
        <x:v>勞工保險</x:v>
      </x:c>
      <x:c r="D110" s="31" t="str">
        <x:v>國內</x:v>
      </x:c>
      <x:c r="E110" s="31" t="str">
        <x:v>109年第二次委託經營(相對報酬)</x:v>
      </x:c>
      <x:c r="F110" s="31" t="str">
        <x:v>野村</x:v>
      </x:c>
      <x:c r="G110" s="40" t="n">
        <x:v>500000000</x:v>
      </x:c>
      <x:c r="H110" s="40" t="n">
        <x:v>1357369868</x:v>
      </x:c>
      <x:c r="I110" s="43" t="n">
        <x:v>1.5816</x:v>
      </x:c>
      <x:c r="J110" s="43" t="n">
        <x:v>1.6469999999999998</x:v>
      </x:c>
      <x:c r="K110" s="31" t="str">
        <x:v>新臺幣元</x:v>
      </x:c>
      <x:c r="L110" s="32" t="str">
        <x:v>勞工保險基金-115年6月.pdf</x:v>
      </x:c>
    </x:row>
    <x:row r="111">
      <x:c r="A111" s="37" t="n">
        <x:v>46174</x:v>
      </x:c>
      <x:c r="B111" s="31" t="str">
        <x:v>115年6月</x:v>
      </x:c>
      <x:c r="C111" s="31" t="str">
        <x:v>勞工保險</x:v>
      </x:c>
      <x:c r="D111" s="31" t="str">
        <x:v>國內</x:v>
      </x:c>
      <x:c r="E111" s="31" t="str">
        <x:v>109年第二次委託經營(相對報酬)</x:v>
      </x:c>
      <x:c r="F111" s="31" t="str">
        <x:v>國泰</x:v>
      </x:c>
      <x:c r="G111" s="40" t="n">
        <x:v>500000000</x:v>
      </x:c>
      <x:c r="H111" s="40" t="n">
        <x:v>1391420851</x:v>
      </x:c>
      <x:c r="I111" s="43" t="n">
        <x:v>1.6719</x:v>
      </x:c>
      <x:c r="J111" s="43" t="n">
        <x:v>1.6469999999999998</x:v>
      </x:c>
      <x:c r="K111" s="31" t="str">
        <x:v>新臺幣元</x:v>
      </x:c>
      <x:c r="L111" s="32" t="str">
        <x:v>勞工保險基金-115年6月.pdf</x:v>
      </x:c>
    </x:row>
    <x:row r="112">
      <x:c r="A112" s="37" t="n">
        <x:v>46174</x:v>
      </x:c>
      <x:c r="B112" s="31" t="str">
        <x:v>115年6月</x:v>
      </x:c>
      <x:c r="C112" s="31" t="str">
        <x:v>國民年金</x:v>
      </x:c>
      <x:c r="D112" s="31" t="str">
        <x:v>國內</x:v>
      </x:c>
      <x:c r="E112" s="31" t="str">
        <x:v>112年第一次委託經營(相對報酬)</x:v>
      </x:c>
      <x:c r="F112" s="31" t="str">
        <x:v>施羅德</x:v>
      </x:c>
      <x:c r="G112" s="40" t="n">
        <x:v>1500000000</x:v>
      </x:c>
      <x:c r="H112" s="40" t="n">
        <x:v>2578748972</x:v>
      </x:c>
      <x:c r="I112" s="43" t="n">
        <x:v>1.3329</x:v>
      </x:c>
      <x:c r="J112" s="43" t="n">
        <x:v>1.3033000000000001</x:v>
      </x:c>
      <x:c r="K112" s="31" t="str">
        <x:v>新臺幣元</x:v>
      </x:c>
      <x:c r="L112" s="32" t="str">
        <x:v>國民年金保險基金-115年6月.pdf</x:v>
      </x:c>
    </x:row>
    <x:row r="113">
      <x:c r="A113" s="37" t="n">
        <x:v>46174</x:v>
      </x:c>
      <x:c r="B113" s="31" t="str">
        <x:v>115年6月</x:v>
      </x:c>
      <x:c r="C113" s="31" t="str">
        <x:v>國民年金</x:v>
      </x:c>
      <x:c r="D113" s="31" t="str">
        <x:v>國內</x:v>
      </x:c>
      <x:c r="E113" s="31" t="str">
        <x:v>112年第一次委託經營(相對報酬)</x:v>
      </x:c>
      <x:c r="F113" s="31" t="str">
        <x:v>野村</x:v>
      </x:c>
      <x:c r="G113" s="40" t="n">
        <x:v>1500000000</x:v>
      </x:c>
      <x:c r="H113" s="40" t="n">
        <x:v>2578036800</x:v>
      </x:c>
      <x:c r="I113" s="43" t="n">
        <x:v>1.3355000000000001</x:v>
      </x:c>
      <x:c r="J113" s="43" t="n">
        <x:v>1.3033000000000001</x:v>
      </x:c>
      <x:c r="K113" s="31" t="str">
        <x:v>新臺幣元</x:v>
      </x:c>
      <x:c r="L113" s="32" t="str">
        <x:v>國民年金保險基金-115年6月.pdf</x:v>
      </x:c>
    </x:row>
    <x:row r="114">
      <x:c r="A114" s="37" t="n">
        <x:v>46174</x:v>
      </x:c>
      <x:c r="B114" s="31" t="str">
        <x:v>115年6月</x:v>
      </x:c>
      <x:c r="C114" s="31" t="str">
        <x:v>國民年金</x:v>
      </x:c>
      <x:c r="D114" s="31" t="str">
        <x:v>國內</x:v>
      </x:c>
      <x:c r="E114" s="31" t="str">
        <x:v>114年第一次委託經營</x:v>
      </x:c>
      <x:c r="F114" s="31" t="str">
        <x:v>元大</x:v>
      </x:c>
      <x:c r="G114" s="40" t="n">
        <x:v>400000000</x:v>
      </x:c>
      <x:c r="H114" s="40" t="n">
        <x:v>411779281</x:v>
      </x:c>
      <x:c r="I114" s="43" t="n">
        <x:v>0.0294</x:v>
      </x:c>
      <x:c r="J114" s="43" t="n">
        <x:v>0.0037</x:v>
      </x:c>
      <x:c r="K114" s="31" t="str">
        <x:v>新臺幣元</x:v>
      </x:c>
      <x:c r="L114" s="32" t="str">
        <x:v>國民年金保險基金-115年6月.pdf</x:v>
      </x:c>
    </x:row>
    <x:row r="115">
      <x:c r="A115" s="37" t="n">
        <x:v>46174</x:v>
      </x:c>
      <x:c r="B115" s="31" t="str">
        <x:v>115年6月</x:v>
      </x:c>
      <x:c r="C115" s="31" t="str">
        <x:v>國民年金</x:v>
      </x:c>
      <x:c r="D115" s="31" t="str">
        <x:v>國內</x:v>
      </x:c>
      <x:c r="E115" s="31" t="str">
        <x:v>114年第一次委託經營</x:v>
      </x:c>
      <x:c r="F115" s="31" t="str">
        <x:v>施羅德</x:v>
      </x:c>
      <x:c r="G115" s="40" t="n">
        <x:v>400000000</x:v>
      </x:c>
      <x:c r="H115" s="40" t="n">
        <x:v>393141106</x:v>
      </x:c>
      <x:c r="I115" s="43" t="n">
        <x:v>-0.0171</x:v>
      </x:c>
      <x:c r="J115" s="43" t="n">
        <x:v>0.0037</x:v>
      </x:c>
      <x:c r="K115" s="31" t="str">
        <x:v>新臺幣元</x:v>
      </x:c>
      <x:c r="L115" s="32" t="str">
        <x:v>國民年金保險基金-115年6月.pdf</x:v>
      </x:c>
    </x:row>
    <x:row r="116">
      <x:c r="A116" s="38" t="n">
        <x:v>46174</x:v>
      </x:c>
      <x:c r="B116" s="34" t="str">
        <x:v>115年6月</x:v>
      </x:c>
      <x:c r="C116" s="34" t="str">
        <x:v>國民年金</x:v>
      </x:c>
      <x:c r="D116" s="34" t="str">
        <x:v>國內</x:v>
      </x:c>
      <x:c r="E116" s="34" t="str">
        <x:v>114年第一次委託經營</x:v>
      </x:c>
      <x:c r="F116" s="34" t="str">
        <x:v>野村</x:v>
      </x:c>
      <x:c r="G116" s="41" t="n">
        <x:v>400000000</x:v>
      </x:c>
      <x:c r="H116" s="41" t="n">
        <x:v>396870715</x:v>
      </x:c>
      <x:c r="I116" s="44" t="n">
        <x:v>-0.0078000000000000005</x:v>
      </x:c>
      <x:c r="J116" s="44" t="n">
        <x:v>0.0037</x:v>
      </x:c>
      <x:c r="K116" s="34" t="str">
        <x:v>新臺幣元</x:v>
      </x:c>
      <x:c r="L116" s="35" t="str">
        <x:v>國民年金保險基金-115年6月.pdf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fdc830a4a3de461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7.329999923706055" hidden="0" customWidth="1"/>
    <x:col min="10" max="10" width="22.219999313354492" hidden="0" customWidth="1"/>
    <x:col min="11" max="11" width="6" hidden="0" customWidth="1"/>
    <x:col min="12" max="12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委任至今投資報酬率</x:v>
      </x:c>
      <x:c r="J3" s="16" t="str">
        <x:v>委任至今目標／指標報酬率</x:v>
      </x:c>
      <x:c r="K3" s="16" t="str">
        <x:v>單位</x:v>
      </x:c>
      <x:c r="L3" s="17" t="str">
        <x:v>來源檔案</x:v>
      </x:c>
    </x:row>
    <x:row r="4">
      <x:c r="A4" s="36" t="n">
        <x:v>46174</x:v>
      </x:c>
      <x:c r="B4" s="28" t="str">
        <x:v>115年6月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904273863</x:v>
      </x:c>
      <x:c r="I4" s="42" t="n">
        <x:v>0.0042</x:v>
      </x:c>
      <x:c r="J4" s="42" t="n">
        <x:v>0.0022</x:v>
      </x:c>
      <x:c r="K4" s="28" t="str">
        <x:v>美元</x:v>
      </x:c>
      <x:c r="L4" s="29" t="str">
        <x:v>勞工退休基金-115年6月.pdf</x:v>
      </x:c>
    </x:row>
    <x:row r="5">
      <x:c r="A5" s="37" t="n">
        <x:v>46174</x:v>
      </x:c>
      <x:c r="B5" s="31" t="str">
        <x:v>115年6月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1341820410</x:v>
      </x:c>
      <x:c r="I5" s="43" t="n">
        <x:v>0.0024</x:v>
      </x:c>
      <x:c r="J5" s="43" t="n">
        <x:v>0.0022</x:v>
      </x:c>
      <x:c r="K5" s="31" t="str">
        <x:v>美元</x:v>
      </x:c>
      <x:c r="L5" s="32" t="str">
        <x:v>勞工退休基金-115年6月.pdf</x:v>
      </x:c>
    </x:row>
    <x:row r="6">
      <x:c r="A6" s="37" t="n">
        <x:v>46174</x:v>
      </x:c>
      <x:c r="B6" s="31" t="str">
        <x:v>115年6月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2387519613</x:v>
      </x:c>
      <x:c r="I6" s="43" t="n">
        <x:v>-0.0404</x:v>
      </x:c>
      <x:c r="J6" s="43" t="n">
        <x:v>-0.0684</x:v>
      </x:c>
      <x:c r="K6" s="31" t="str">
        <x:v>美元</x:v>
      </x:c>
      <x:c r="L6" s="32" t="str">
        <x:v>勞工退休基金-115年6月.pdf</x:v>
      </x:c>
    </x:row>
    <x:row r="7">
      <x:c r="A7" s="37" t="n">
        <x:v>46174</x:v>
      </x:c>
      <x:c r="B7" s="31" t="str">
        <x:v>115年6月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1834805538</x:v>
      </x:c>
      <x:c r="H7" s="40" t="n">
        <x:v>3376689378</x:v>
      </x:c>
      <x:c r="I7" s="43" t="n">
        <x:v>0.8623999999999999</x:v>
      </x:c>
      <x:c r="J7" s="43" t="n">
        <x:v>0.6742</x:v>
      </x:c>
      <x:c r="K7" s="31" t="str">
        <x:v>美元</x:v>
      </x:c>
      <x:c r="L7" s="32" t="str">
        <x:v>勞工退休基金-115年6月.pdf</x:v>
      </x:c>
    </x:row>
    <x:row r="8">
      <x:c r="A8" s="37" t="n">
        <x:v>46174</x:v>
      </x:c>
      <x:c r="B8" s="31" t="str">
        <x:v>115年6月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2650009158</x:v>
      </x:c>
      <x:c r="I8" s="43" t="n">
        <x:v>0.6928</x:v>
      </x:c>
      <x:c r="J8" s="43" t="n">
        <x:v>0.6742</x:v>
      </x:c>
      <x:c r="K8" s="31" t="str">
        <x:v>美元</x:v>
      </x:c>
      <x:c r="L8" s="32" t="str">
        <x:v>勞工退休基金-115年6月.pdf</x:v>
      </x:c>
    </x:row>
    <x:row r="9">
      <x:c r="A9" s="37" t="n">
        <x:v>46174</x:v>
      </x:c>
      <x:c r="B9" s="31" t="str">
        <x:v>115年6月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1293736356</x:v>
      </x:c>
      <x:c r="I9" s="43" t="n">
        <x:v>0.9706</x:v>
      </x:c>
      <x:c r="J9" s="43" t="n">
        <x:v>0.927</x:v>
      </x:c>
      <x:c r="K9" s="31" t="str">
        <x:v>美元</x:v>
      </x:c>
      <x:c r="L9" s="32" t="str">
        <x:v>勞工退休基金-115年6月.pdf</x:v>
      </x:c>
    </x:row>
    <x:row r="10">
      <x:c r="A10" s="37" t="n">
        <x:v>46174</x:v>
      </x:c>
      <x:c r="B10" s="31" t="str">
        <x:v>115年6月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2354366982</x:v>
      </x:c>
      <x:c r="I10" s="43" t="n">
        <x:v>0.8870999999999999</x:v>
      </x:c>
      <x:c r="J10" s="43" t="n">
        <x:v>0.8691</x:v>
      </x:c>
      <x:c r="K10" s="31" t="str">
        <x:v>美元</x:v>
      </x:c>
      <x:c r="L10" s="32" t="str">
        <x:v>勞工退休基金-115年6月.pdf</x:v>
      </x:c>
    </x:row>
    <x:row r="11">
      <x:c r="A11" s="37" t="n">
        <x:v>46174</x:v>
      </x:c>
      <x:c r="B11" s="31" t="str">
        <x:v>115年6月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3169367035</x:v>
      </x:c>
      <x:c r="I11" s="43" t="n">
        <x:v>0.8933</x:v>
      </x:c>
      <x:c r="J11" s="43" t="n">
        <x:v>0.8691</x:v>
      </x:c>
      <x:c r="K11" s="31" t="str">
        <x:v>美元</x:v>
      </x:c>
      <x:c r="L11" s="32" t="str">
        <x:v>勞工退休基金-115年6月.pdf</x:v>
      </x:c>
    </x:row>
    <x:row r="12">
      <x:c r="A12" s="37" t="n">
        <x:v>46174</x:v>
      </x:c>
      <x:c r="B12" s="31" t="str">
        <x:v>115年6月</x:v>
      </x:c>
      <x:c r="C12" s="31" t="str">
        <x:v>新制</x:v>
      </x:c>
      <x:c r="D12" s="31" t="str">
        <x:v>國外</x:v>
      </x:c>
      <x:c r="E12" s="31" t="str">
        <x:v>100-1全球基本面指數被動股票型（續約2）</x:v>
      </x:c>
      <x:c r="F12" s="31" t="str">
        <x:v>道富</x:v>
      </x:c>
      <x:c r="G12" s="40" t="n">
        <x:v>934565605</x:v>
      </x:c>
      <x:c r="H12" s="40" t="n">
        <x:v>1683240295</x:v>
      </x:c>
      <x:c r="I12" s="43" t="n">
        <x:v>0.8011</x:v>
      </x:c>
      <x:c r="J12" s="43" t="n">
        <x:v>0.7609</x:v>
      </x:c>
      <x:c r="K12" s="31" t="str">
        <x:v>美元</x:v>
      </x:c>
      <x:c r="L12" s="32" t="str">
        <x:v>勞工退休基金-115年6月.pdf</x:v>
      </x:c>
    </x:row>
    <x:row r="13">
      <x:c r="A13" s="37" t="n">
        <x:v>46174</x:v>
      </x:c>
      <x:c r="B13" s="31" t="str">
        <x:v>115年6月</x:v>
      </x:c>
      <x:c r="C13" s="31" t="str">
        <x:v>新制</x:v>
      </x:c>
      <x:c r="D13" s="31" t="str">
        <x:v>國外</x:v>
      </x:c>
      <x:c r="E13" s="31" t="str">
        <x:v>100-1全球基本面指數被動股票型（續約2）</x:v>
      </x:c>
      <x:c r="F13" s="31" t="str">
        <x:v>貝萊德</x:v>
      </x:c>
      <x:c r="G13" s="40" t="n">
        <x:v>939726931</x:v>
      </x:c>
      <x:c r="H13" s="40" t="n">
        <x:v>1687228552</x:v>
      </x:c>
      <x:c r="I13" s="43" t="n">
        <x:v>0.7954000000000001</x:v>
      </x:c>
      <x:c r="J13" s="43" t="n">
        <x:v>0.7609</x:v>
      </x:c>
      <x:c r="K13" s="31" t="str">
        <x:v>美元</x:v>
      </x:c>
      <x:c r="L13" s="32" t="str">
        <x:v>勞工退休基金-115年6月.pdf</x:v>
      </x:c>
    </x:row>
    <x:row r="14">
      <x:c r="A14" s="37" t="n">
        <x:v>46174</x:v>
      </x:c>
      <x:c r="B14" s="31" t="str">
        <x:v>115年6月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2862400816</x:v>
      </x:c>
      <x:c r="I14" s="43" t="n">
        <x:v>0.1001</x:v>
      </x:c>
      <x:c r="J14" s="43"/>
      <x:c r="K14" s="31" t="str">
        <x:v>美元</x:v>
      </x:c>
      <x:c r="L14" s="32" t="str">
        <x:v>勞工退休基金-115年6月.pdf</x:v>
      </x:c>
    </x:row>
    <x:row r="15">
      <x:c r="A15" s="37" t="n">
        <x:v>46174</x:v>
      </x:c>
      <x:c r="B15" s="31" t="str">
        <x:v>115年6月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1509443756</x:v>
      </x:c>
      <x:c r="I15" s="43" t="n">
        <x:v>0.0507</x:v>
      </x:c>
      <x:c r="J15" s="43"/>
      <x:c r="K15" s="31" t="str">
        <x:v>美元</x:v>
      </x:c>
      <x:c r="L15" s="32" t="str">
        <x:v>勞工退休基金-115年6月.pdf</x:v>
      </x:c>
    </x:row>
    <x:row r="16">
      <x:c r="A16" s="37" t="n">
        <x:v>46174</x:v>
      </x:c>
      <x:c r="B16" s="31" t="str">
        <x:v>115年6月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777512698</x:v>
      </x:c>
      <x:c r="I16" s="43" t="n">
        <x:v>0.2622</x:v>
      </x:c>
      <x:c r="J16" s="43" t="n">
        <x:v>0.2836</x:v>
      </x:c>
      <x:c r="K16" s="31" t="str">
        <x:v>美元</x:v>
      </x:c>
      <x:c r="L16" s="32" t="str">
        <x:v>勞工退休基金-115年6月.pdf</x:v>
      </x:c>
    </x:row>
    <x:row r="17">
      <x:c r="A17" s="37" t="n">
        <x:v>46174</x:v>
      </x:c>
      <x:c r="B17" s="31" t="str">
        <x:v>115年6月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1620549706</x:v>
      </x:c>
      <x:c r="I17" s="43" t="n">
        <x:v>0.3079</x:v>
      </x:c>
      <x:c r="J17" s="43" t="n">
        <x:v>0.2961</x:v>
      </x:c>
      <x:c r="K17" s="31" t="str">
        <x:v>美元</x:v>
      </x:c>
      <x:c r="L17" s="32" t="str">
        <x:v>勞工退休基金-115年6月.pdf</x:v>
      </x:c>
    </x:row>
    <x:row r="18">
      <x:c r="A18" s="37" t="n">
        <x:v>46174</x:v>
      </x:c>
      <x:c r="B18" s="31" t="str">
        <x:v>115年6月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1731937050</x:v>
      </x:c>
      <x:c r="I18" s="43" t="n">
        <x:v>0.3097</x:v>
      </x:c>
      <x:c r="J18" s="43" t="n">
        <x:v>0.2961</x:v>
      </x:c>
      <x:c r="K18" s="31" t="str">
        <x:v>美元</x:v>
      </x:c>
      <x:c r="L18" s="32" t="str">
        <x:v>勞工退休基金-115年6月.pdf</x:v>
      </x:c>
    </x:row>
    <x:row r="19">
      <x:c r="A19" s="37" t="n">
        <x:v>46174</x:v>
      </x:c>
      <x:c r="B19" s="31" t="str">
        <x:v>115年6月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2103142921</x:v>
      </x:c>
      <x:c r="I19" s="43" t="n">
        <x:v>0.1772</x:v>
      </x:c>
      <x:c r="J19" s="43" t="n">
        <x:v>0.444</x:v>
      </x:c>
      <x:c r="K19" s="31" t="str">
        <x:v>美元</x:v>
      </x:c>
      <x:c r="L19" s="32" t="str">
        <x:v>勞工退休基金-115年6月.pdf</x:v>
      </x:c>
    </x:row>
    <x:row r="20">
      <x:c r="A20" s="37" t="n">
        <x:v>46174</x:v>
      </x:c>
      <x:c r="B20" s="31" t="str">
        <x:v>115年6月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1718286608</x:v>
      </x:c>
      <x:c r="I20" s="43" t="n">
        <x:v>0.4824</x:v>
      </x:c>
      <x:c r="J20" s="43" t="n">
        <x:v>0.444</x:v>
      </x:c>
      <x:c r="K20" s="31" t="str">
        <x:v>美元</x:v>
      </x:c>
      <x:c r="L20" s="32" t="str">
        <x:v>勞工退休基金-115年6月.pdf</x:v>
      </x:c>
    </x:row>
    <x:row r="21">
      <x:c r="A21" s="37" t="n">
        <x:v>46174</x:v>
      </x:c>
      <x:c r="B21" s="31" t="str">
        <x:v>115年6月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2214513943</x:v>
      </x:c>
      <x:c r="I21" s="43" t="n">
        <x:v>0.4769</x:v>
      </x:c>
      <x:c r="J21" s="43" t="n">
        <x:v>0.444</x:v>
      </x:c>
      <x:c r="K21" s="31" t="str">
        <x:v>美元</x:v>
      </x:c>
      <x:c r="L21" s="32" t="str">
        <x:v>勞工退休基金-115年6月.pdf</x:v>
      </x:c>
    </x:row>
    <x:row r="22">
      <x:c r="A22" s="37" t="n">
        <x:v>46174</x:v>
      </x:c>
      <x:c r="B22" s="31" t="str">
        <x:v>115年6月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1368088535</x:v>
      </x:c>
      <x:c r="I22" s="43" t="n">
        <x:v>0.1592</x:v>
      </x:c>
      <x:c r="J22" s="43" t="n">
        <x:v>0.1496</x:v>
      </x:c>
      <x:c r="K22" s="31" t="str">
        <x:v>美元</x:v>
      </x:c>
      <x:c r="L22" s="32" t="str">
        <x:v>勞工退休基金-115年6月.pdf</x:v>
      </x:c>
    </x:row>
    <x:row r="23">
      <x:c r="A23" s="37" t="n">
        <x:v>46174</x:v>
      </x:c>
      <x:c r="B23" s="31" t="str">
        <x:v>115年6月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768686725</x:v>
      </x:c>
      <x:c r="I23" s="43" t="n">
        <x:v>0.1466</x:v>
      </x:c>
      <x:c r="J23" s="43" t="n">
        <x:v>0.1496</x:v>
      </x:c>
      <x:c r="K23" s="31" t="str">
        <x:v>美元</x:v>
      </x:c>
      <x:c r="L23" s="32" t="str">
        <x:v>勞工退休基金-115年6月.pdf</x:v>
      </x:c>
    </x:row>
    <x:row r="24">
      <x:c r="A24" s="37" t="n">
        <x:v>46174</x:v>
      </x:c>
      <x:c r="B24" s="31" t="str">
        <x:v>115年6月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1077741805</x:v>
      </x:c>
      <x:c r="I24" s="43" t="n">
        <x:v>0.1481</x:v>
      </x:c>
      <x:c r="J24" s="43" t="n">
        <x:v>0.1496</x:v>
      </x:c>
      <x:c r="K24" s="31" t="str">
        <x:v>美元</x:v>
      </x:c>
      <x:c r="L24" s="32" t="str">
        <x:v>勞工退休基金-115年6月.pdf</x:v>
      </x:c>
    </x:row>
    <x:row r="25">
      <x:c r="A25" s="37" t="n">
        <x:v>46174</x:v>
      </x:c>
      <x:c r="B25" s="31" t="str">
        <x:v>115年6月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3975580764</x:v>
      </x:c>
      <x:c r="I25" s="43" t="n">
        <x:v>0.2343</x:v>
      </x:c>
      <x:c r="J25" s="43" t="n">
        <x:v>0.2305</x:v>
      </x:c>
      <x:c r="K25" s="31" t="str">
        <x:v>美元</x:v>
      </x:c>
      <x:c r="L25" s="32" t="str">
        <x:v>勞工退休基金-115年6月.pdf</x:v>
      </x:c>
    </x:row>
    <x:row r="26">
      <x:c r="A26" s="37" t="n">
        <x:v>46174</x:v>
      </x:c>
      <x:c r="B26" s="31" t="str">
        <x:v>115年6月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LGIM</x:v>
      </x:c>
      <x:c r="G26" s="40" t="n">
        <x:v>3208355339</x:v>
      </x:c>
      <x:c r="H26" s="40" t="n">
        <x:v>3924793719</x:v>
      </x:c>
      <x:c r="I26" s="43" t="n">
        <x:v>0.22390000000000002</x:v>
      </x:c>
      <x:c r="J26" s="43" t="n">
        <x:v>0.2305</x:v>
      </x:c>
      <x:c r="K26" s="31" t="str">
        <x:v>美元</x:v>
      </x:c>
      <x:c r="L26" s="32" t="str">
        <x:v>勞工退休基金-115年6月.pdf</x:v>
      </x:c>
    </x:row>
    <x:row r="27">
      <x:c r="A27" s="37" t="n">
        <x:v>46174</x:v>
      </x:c>
      <x:c r="B27" s="31" t="str">
        <x:v>115年6月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3922563590</x:v>
      </x:c>
      <x:c r="I27" s="43" t="n">
        <x:v>0.2306</x:v>
      </x:c>
      <x:c r="J27" s="43" t="n">
        <x:v>0.2305</x:v>
      </x:c>
      <x:c r="K27" s="31" t="str">
        <x:v>美元</x:v>
      </x:c>
      <x:c r="L27" s="32" t="str">
        <x:v>勞工退休基金-115年6月.pdf</x:v>
      </x:c>
    </x:row>
    <x:row r="28">
      <x:c r="A28" s="37" t="n">
        <x:v>46174</x:v>
      </x:c>
      <x:c r="B28" s="31" t="str">
        <x:v>115年6月</x:v>
      </x:c>
      <x:c r="C28" s="31" t="str">
        <x:v>新制</x:v>
      </x:c>
      <x:c r="D28" s="31" t="str">
        <x:v>國外</x:v>
      </x:c>
      <x:c r="E28" s="31" t="str">
        <x:v>104-2全球基礎建設有價證券型（續約）</x:v>
      </x:c>
      <x:c r="F28" s="31" t="str">
        <x:v>Magellan</x:v>
      </x:c>
      <x:c r="G28" s="40" t="n">
        <x:v>1159305130</x:v>
      </x:c>
      <x:c r="H28" s="40" t="n">
        <x:v>1314198402</x:v>
      </x:c>
      <x:c r="I28" s="43" t="n">
        <x:v>0.1336</x:v>
      </x:c>
      <x:c r="J28" s="43" t="n">
        <x:v>0.1182</x:v>
      </x:c>
      <x:c r="K28" s="31" t="str">
        <x:v>美元</x:v>
      </x:c>
      <x:c r="L28" s="32" t="str">
        <x:v>勞工退休基金-115年6月.pdf</x:v>
      </x:c>
    </x:row>
    <x:row r="29">
      <x:c r="A29" s="37" t="n">
        <x:v>46174</x:v>
      </x:c>
      <x:c r="B29" s="31" t="str">
        <x:v>115年6月</x:v>
      </x:c>
      <x:c r="C29" s="31" t="str">
        <x:v>新制</x:v>
      </x:c>
      <x:c r="D29" s="31" t="str">
        <x:v>國外</x:v>
      </x:c>
      <x:c r="E29" s="31" t="str">
        <x:v>104-2全球基礎建設有價證券型（續約）</x:v>
      </x:c>
      <x:c r="F29" s="31" t="str">
        <x:v>RREEF</x:v>
      </x:c>
      <x:c r="G29" s="40" t="n">
        <x:v>1668471152</x:v>
      </x:c>
      <x:c r="H29" s="40" t="n">
        <x:v>1837050463</x:v>
      </x:c>
      <x:c r="I29" s="43" t="n">
        <x:v>0.10099999999999999</x:v>
      </x:c>
      <x:c r="J29" s="43" t="n">
        <x:v>0.1182</x:v>
      </x:c>
      <x:c r="K29" s="31" t="str">
        <x:v>美元</x:v>
      </x:c>
      <x:c r="L29" s="32" t="str">
        <x:v>勞工退休基金-115年6月.pdf</x:v>
      </x:c>
    </x:row>
    <x:row r="30">
      <x:c r="A30" s="37" t="n">
        <x:v>46174</x:v>
      </x:c>
      <x:c r="B30" s="31" t="str">
        <x:v>115年6月</x:v>
      </x:c>
      <x:c r="C30" s="31" t="str">
        <x:v>新制</x:v>
      </x:c>
      <x:c r="D30" s="31" t="str">
        <x:v>國外</x:v>
      </x:c>
      <x:c r="E30" s="31" t="str">
        <x:v>105-1全球多元資產型(續約)</x:v>
      </x:c>
      <x:c r="F30" s="31" t="str">
        <x:v>Allianz</x:v>
      </x:c>
      <x:c r="G30" s="40" t="n">
        <x:v>878698278</x:v>
      </x:c>
      <x:c r="H30" s="40" t="n">
        <x:v>1216881012</x:v>
      </x:c>
      <x:c r="I30" s="43" t="n">
        <x:v>0.4789</x:v>
      </x:c>
      <x:c r="J30" s="43"/>
      <x:c r="K30" s="31" t="str">
        <x:v>美元</x:v>
      </x:c>
      <x:c r="L30" s="32" t="str">
        <x:v>勞工退休基金-115年6月.pdf</x:v>
      </x:c>
    </x:row>
    <x:row r="31">
      <x:c r="A31" s="37" t="n">
        <x:v>46174</x:v>
      </x:c>
      <x:c r="B31" s="31" t="str">
        <x:v>115年6月</x:v>
      </x:c>
      <x:c r="C31" s="31" t="str">
        <x:v>新制</x:v>
      </x:c>
      <x:c r="D31" s="31" t="str">
        <x:v>國外</x:v>
      </x:c>
      <x:c r="E31" s="31" t="str">
        <x:v>105-1全球多元資產型(續約)</x:v>
      </x:c>
      <x:c r="F31" s="31" t="str">
        <x:v>JPMorgan（國外）</x:v>
      </x:c>
      <x:c r="G31" s="40" t="n">
        <x:v>1645715430</x:v>
      </x:c>
      <x:c r="H31" s="40" t="n">
        <x:v>2051054273</x:v>
      </x:c>
      <x:c r="I31" s="43" t="n">
        <x:v>0.2463</x:v>
      </x:c>
      <x:c r="J31" s="43"/>
      <x:c r="K31" s="31" t="str">
        <x:v>美元</x:v>
      </x:c>
      <x:c r="L31" s="32" t="str">
        <x:v>勞工退休基金-115年6月.pdf</x:v>
      </x:c>
    </x:row>
    <x:row r="32">
      <x:c r="A32" s="37" t="n">
        <x:v>46174</x:v>
      </x:c>
      <x:c r="B32" s="31" t="str">
        <x:v>115年6月</x:v>
      </x:c>
      <x:c r="C32" s="31" t="str">
        <x:v>新制</x:v>
      </x:c>
      <x:c r="D32" s="31" t="str">
        <x:v>國外</x:v>
      </x:c>
      <x:c r="E32" s="31" t="str">
        <x:v>105-1全球多元資產型(續約)</x:v>
      </x:c>
      <x:c r="F32" s="31" t="str">
        <x:v>DWS</x:v>
      </x:c>
      <x:c r="G32" s="40" t="n">
        <x:v>1175711371</x:v>
      </x:c>
      <x:c r="H32" s="40" t="n">
        <x:v>1508632702</x:v>
      </x:c>
      <x:c r="I32" s="43" t="n">
        <x:v>0.31920000000000004</x:v>
      </x:c>
      <x:c r="J32" s="43"/>
      <x:c r="K32" s="31" t="str">
        <x:v>美元</x:v>
      </x:c>
      <x:c r="L32" s="32" t="str">
        <x:v>勞工退休基金-115年6月.pdf</x:v>
      </x:c>
    </x:row>
    <x:row r="33">
      <x:c r="A33" s="37" t="n">
        <x:v>46174</x:v>
      </x:c>
      <x:c r="B33" s="31" t="str">
        <x:v>115年6月</x:v>
      </x:c>
      <x:c r="C33" s="31" t="str">
        <x:v>新制</x:v>
      </x:c>
      <x:c r="D33" s="31" t="str">
        <x:v>國外</x:v>
      </x:c>
      <x:c r="E33" s="31" t="str">
        <x:v>105-1全球多元資產型(續約)</x:v>
      </x:c>
      <x:c r="F33" s="31" t="str">
        <x:v>柏瑞</x:v>
      </x:c>
      <x:c r="G33" s="40" t="n">
        <x:v>315326657</x:v>
      </x:c>
      <x:c r="H33" s="40" t="n">
        <x:v>422609458</x:v>
      </x:c>
      <x:c r="I33" s="43" t="n">
        <x:v>0.1881</x:v>
      </x:c>
      <x:c r="J33" s="43"/>
      <x:c r="K33" s="31" t="str">
        <x:v>美元</x:v>
      </x:c>
      <x:c r="L33" s="32" t="str">
        <x:v>勞工退休基金-115年6月.pdf</x:v>
      </x:c>
    </x:row>
    <x:row r="34">
      <x:c r="A34" s="37" t="n">
        <x:v>46174</x:v>
      </x:c>
      <x:c r="B34" s="31" t="str">
        <x:v>115年6月</x:v>
      </x:c>
      <x:c r="C34" s="31" t="str">
        <x:v>新制</x:v>
      </x:c>
      <x:c r="D34" s="31" t="str">
        <x:v>國外</x:v>
      </x:c>
      <x:c r="E34" s="31" t="str">
        <x:v>105-1亞太混合指數增值股票型(續約)</x:v>
      </x:c>
      <x:c r="F34" s="31" t="str">
        <x:v>貝萊德</x:v>
      </x:c>
      <x:c r="G34" s="40" t="n">
        <x:v>949175052</x:v>
      </x:c>
      <x:c r="H34" s="40" t="n">
        <x:v>1718850535</x:v>
      </x:c>
      <x:c r="I34" s="43" t="n">
        <x:v>0.8109000000000001</x:v>
      </x:c>
      <x:c r="J34" s="43" t="n">
        <x:v>0.7368000000000001</x:v>
      </x:c>
      <x:c r="K34" s="31" t="str">
        <x:v>美元</x:v>
      </x:c>
      <x:c r="L34" s="32" t="str">
        <x:v>勞工退休基金-115年6月.pdf</x:v>
      </x:c>
    </x:row>
    <x:row r="35">
      <x:c r="A35" s="37" t="n">
        <x:v>46174</x:v>
      </x:c>
      <x:c r="B35" s="31" t="str">
        <x:v>115年6月</x:v>
      </x:c>
      <x:c r="C35" s="31" t="str">
        <x:v>新制</x:v>
      </x:c>
      <x:c r="D35" s="31" t="str">
        <x:v>國外</x:v>
      </x:c>
      <x:c r="E35" s="31" t="str">
        <x:v>106-1全球ESG混合指數被動股票型(續約)</x:v>
      </x:c>
      <x:c r="F35" s="31" t="str">
        <x:v>貝萊德</x:v>
      </x:c>
      <x:c r="G35" s="40" t="n">
        <x:v>641552002</x:v>
      </x:c>
      <x:c r="H35" s="40" t="n">
        <x:v>1185258602</x:v>
      </x:c>
      <x:c r="I35" s="43" t="n">
        <x:v>0.9266</x:v>
      </x:c>
      <x:c r="J35" s="43" t="n">
        <x:v>0.9181999999999999</x:v>
      </x:c>
      <x:c r="K35" s="31" t="str">
        <x:v>美元</x:v>
      </x:c>
      <x:c r="L35" s="32" t="str">
        <x:v>勞工退休基金-115年6月.pdf</x:v>
      </x:c>
    </x:row>
    <x:row r="36">
      <x:c r="A36" s="37" t="n">
        <x:v>46174</x:v>
      </x:c>
      <x:c r="B36" s="31" t="str">
        <x:v>115年6月</x:v>
      </x:c>
      <x:c r="C36" s="31" t="str">
        <x:v>新制</x:v>
      </x:c>
      <x:c r="D36" s="31" t="str">
        <x:v>國外</x:v>
      </x:c>
      <x:c r="E36" s="31" t="str">
        <x:v>106-1全球ESG混合指數被動股票型(續約)</x:v>
      </x:c>
      <x:c r="F36" s="31" t="str">
        <x:v>DWS</x:v>
      </x:c>
      <x:c r="G36" s="40" t="n">
        <x:v>848715051</x:v>
      </x:c>
      <x:c r="H36" s="40" t="n">
        <x:v>1521841215</x:v>
      </x:c>
      <x:c r="I36" s="43" t="n">
        <x:v>0.9627</x:v>
      </x:c>
      <x:c r="J36" s="43" t="n">
        <x:v>0.9181999999999999</x:v>
      </x:c>
      <x:c r="K36" s="31" t="str">
        <x:v>美元</x:v>
      </x:c>
      <x:c r="L36" s="32" t="str">
        <x:v>勞工退休基金-115年6月.pdf</x:v>
      </x:c>
    </x:row>
    <x:row r="37">
      <x:c r="A37" s="37" t="n">
        <x:v>46174</x:v>
      </x:c>
      <x:c r="B37" s="31" t="str">
        <x:v>115年6月</x:v>
      </x:c>
      <x:c r="C37" s="31" t="str">
        <x:v>新制</x:v>
      </x:c>
      <x:c r="D37" s="31" t="str">
        <x:v>國外</x:v>
      </x:c>
      <x:c r="E37" s="31" t="str">
        <x:v>106-1全球ESG混合指數被動股票型(續約)</x:v>
      </x:c>
      <x:c r="F37" s="31" t="str">
        <x:v>道富</x:v>
      </x:c>
      <x:c r="G37" s="40" t="n">
        <x:v>849045562</x:v>
      </x:c>
      <x:c r="H37" s="40" t="n">
        <x:v>1540819815</x:v>
      </x:c>
      <x:c r="I37" s="43" t="n">
        <x:v>0.9606</x:v>
      </x:c>
      <x:c r="J37" s="43" t="n">
        <x:v>0.9181999999999999</x:v>
      </x:c>
      <x:c r="K37" s="31" t="str">
        <x:v>美元</x:v>
      </x:c>
      <x:c r="L37" s="32" t="str">
        <x:v>勞工退休基金-115年6月.pdf</x:v>
      </x:c>
    </x:row>
    <x:row r="38">
      <x:c r="A38" s="37" t="n">
        <x:v>46174</x:v>
      </x:c>
      <x:c r="B38" s="31" t="str">
        <x:v>115年6月</x:v>
      </x:c>
      <x:c r="C38" s="31" t="str">
        <x:v>新制</x:v>
      </x:c>
      <x:c r="D38" s="31" t="str">
        <x:v>國外</x:v>
      </x:c>
      <x:c r="E38" s="31" t="str">
        <x:v>106-1全球ESG混合指數被動股票型(續約)</x:v>
      </x:c>
      <x:c r="F38" s="31" t="str">
        <x:v>北美信託</x:v>
      </x:c>
      <x:c r="G38" s="40" t="n">
        <x:v>762047560</x:v>
      </x:c>
      <x:c r="H38" s="40" t="n">
        <x:v>1412257857</x:v>
      </x:c>
      <x:c r="I38" s="43" t="n">
        <x:v>0.9428</x:v>
      </x:c>
      <x:c r="J38" s="43" t="n">
        <x:v>0.9181999999999999</x:v>
      </x:c>
      <x:c r="K38" s="31" t="str">
        <x:v>美元</x:v>
      </x:c>
      <x:c r="L38" s="32" t="str">
        <x:v>勞工退休基金-115年6月.pdf</x:v>
      </x:c>
    </x:row>
    <x:row r="39">
      <x:c r="A39" s="37" t="n">
        <x:v>46174</x:v>
      </x:c>
      <x:c r="B39" s="31" t="str">
        <x:v>115年6月</x:v>
      </x:c>
      <x:c r="C39" s="31" t="str">
        <x:v>新制</x:v>
      </x:c>
      <x:c r="D39" s="31" t="str">
        <x:v>國外</x:v>
      </x:c>
      <x:c r="E39" s="31" t="str">
        <x:v>106-1絕對報酬債券型(續約)</x:v>
      </x:c>
      <x:c r="F39" s="31" t="str">
        <x:v>American Century</x:v>
      </x:c>
      <x:c r="G39" s="40" t="n">
        <x:v>427360620</x:v>
      </x:c>
      <x:c r="H39" s="40" t="n">
        <x:v>522878367</x:v>
      </x:c>
      <x:c r="I39" s="43" t="n">
        <x:v>0.2235</x:v>
      </x:c>
      <x:c r="J39" s="43"/>
      <x:c r="K39" s="31" t="str">
        <x:v>美元</x:v>
      </x:c>
      <x:c r="L39" s="32" t="str">
        <x:v>勞工退休基金-115年6月.pdf</x:v>
      </x:c>
    </x:row>
    <x:row r="40">
      <x:c r="A40" s="37" t="n">
        <x:v>46174</x:v>
      </x:c>
      <x:c r="B40" s="31" t="str">
        <x:v>115年6月</x:v>
      </x:c>
      <x:c r="C40" s="31" t="str">
        <x:v>新制</x:v>
      </x:c>
      <x:c r="D40" s="31" t="str">
        <x:v>國外</x:v>
      </x:c>
      <x:c r="E40" s="31" t="str">
        <x:v>106-1絕對報酬債券型(續約)</x:v>
      </x:c>
      <x:c r="F40" s="31" t="str">
        <x:v>富達</x:v>
      </x:c>
      <x:c r="G40" s="40" t="n">
        <x:v>905211657</x:v>
      </x:c>
      <x:c r="H40" s="40" t="n">
        <x:v>1162781169</x:v>
      </x:c>
      <x:c r="I40" s="43" t="n">
        <x:v>0.2711</x:v>
      </x:c>
      <x:c r="J40" s="43"/>
      <x:c r="K40" s="31" t="str">
        <x:v>美元</x:v>
      </x:c>
      <x:c r="L40" s="32" t="str">
        <x:v>勞工退休基金-115年6月.pdf</x:v>
      </x:c>
    </x:row>
    <x:row r="41">
      <x:c r="A41" s="37" t="n">
        <x:v>46174</x:v>
      </x:c>
      <x:c r="B41" s="31" t="str">
        <x:v>115年6月</x:v>
      </x:c>
      <x:c r="C41" s="31" t="str">
        <x:v>新制</x:v>
      </x:c>
      <x:c r="D41" s="31" t="str">
        <x:v>國外</x:v>
      </x:c>
      <x:c r="E41" s="31" t="str">
        <x:v>106-1絕對報酬債券型(續約)</x:v>
      </x:c>
      <x:c r="F41" s="31" t="str">
        <x:v>TCW</x:v>
      </x:c>
      <x:c r="G41" s="40" t="n">
        <x:v>1039618153</x:v>
      </x:c>
      <x:c r="H41" s="40" t="n">
        <x:v>1288075614</x:v>
      </x:c>
      <x:c r="I41" s="43" t="n">
        <x:v>0.23879999999999998</x:v>
      </x:c>
      <x:c r="J41" s="43"/>
      <x:c r="K41" s="31" t="str">
        <x:v>美元</x:v>
      </x:c>
      <x:c r="L41" s="32" t="str">
        <x:v>勞工退休基金-115年6月.pdf</x:v>
      </x:c>
    </x:row>
    <x:row r="42">
      <x:c r="A42" s="37" t="n">
        <x:v>46174</x:v>
      </x:c>
      <x:c r="B42" s="31" t="str">
        <x:v>115年6月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景順</x:v>
      </x:c>
      <x:c r="G42" s="40" t="n">
        <x:v>1006698949</x:v>
      </x:c>
      <x:c r="H42" s="40" t="n">
        <x:v>1499061173</x:v>
      </x:c>
      <x:c r="I42" s="43" t="n">
        <x:v>0.5753</x:v>
      </x:c>
      <x:c r="J42" s="43" t="n">
        <x:v>0.373</x:v>
      </x:c>
      <x:c r="K42" s="31" t="str">
        <x:v>美元</x:v>
      </x:c>
      <x:c r="L42" s="32" t="str">
        <x:v>勞工退休基金-115年6月.pdf</x:v>
      </x:c>
    </x:row>
    <x:row r="43">
      <x:c r="A43" s="37" t="n">
        <x:v>46174</x:v>
      </x:c>
      <x:c r="B43" s="31" t="str">
        <x:v>115年6月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威靈頓</x:v>
      </x:c>
      <x:c r="G43" s="40" t="n">
        <x:v>867219463</x:v>
      </x:c>
      <x:c r="H43" s="40" t="n">
        <x:v>1138462866</x:v>
      </x:c>
      <x:c r="I43" s="43" t="n">
        <x:v>0.34369999999999995</x:v>
      </x:c>
      <x:c r="J43" s="43" t="n">
        <x:v>0.373</x:v>
      </x:c>
      <x:c r="K43" s="31" t="str">
        <x:v>美元</x:v>
      </x:c>
      <x:c r="L43" s="32" t="str">
        <x:v>勞工退休基金-115年6月.pdf</x:v>
      </x:c>
    </x:row>
    <x:row r="44">
      <x:c r="A44" s="37" t="n">
        <x:v>46174</x:v>
      </x:c>
      <x:c r="B44" s="31" t="str">
        <x:v>115年6月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CPR</x:v>
      </x:c>
      <x:c r="G44" s="40" t="n">
        <x:v>938885217</x:v>
      </x:c>
      <x:c r="H44" s="40" t="n">
        <x:v>1306411183</x:v>
      </x:c>
      <x:c r="I44" s="43" t="n">
        <x:v>0.4457</x:v>
      </x:c>
      <x:c r="J44" s="43" t="n">
        <x:v>0.373</x:v>
      </x:c>
      <x:c r="K44" s="31" t="str">
        <x:v>美元</x:v>
      </x:c>
      <x:c r="L44" s="32" t="str">
        <x:v>勞工退休基金-115年6月.pdf</x:v>
      </x:c>
    </x:row>
    <x:row r="45">
      <x:c r="A45" s="37" t="n">
        <x:v>46174</x:v>
      </x:c>
      <x:c r="B45" s="31" t="str">
        <x:v>115年6月</x:v>
      </x:c>
      <x:c r="C45" s="31" t="str">
        <x:v>新制</x:v>
      </x:c>
      <x:c r="D45" s="31" t="str">
        <x:v>國外</x:v>
      </x:c>
      <x:c r="E45" s="31" t="str">
        <x:v>107-1絕對報酬股票型（續約）</x:v>
      </x:c>
      <x:c r="F45" s="31" t="str">
        <x:v>道富</x:v>
      </x:c>
      <x:c r="G45" s="40" t="n">
        <x:v>806462703</x:v>
      </x:c>
      <x:c r="H45" s="40" t="n">
        <x:v>1089442729</x:v>
      </x:c>
      <x:c r="I45" s="43" t="n">
        <x:v>0.4025</x:v>
      </x:c>
      <x:c r="J45" s="43" t="n">
        <x:v>0.373</x:v>
      </x:c>
      <x:c r="K45" s="31" t="str">
        <x:v>美元</x:v>
      </x:c>
      <x:c r="L45" s="32" t="str">
        <x:v>勞工退休基金-115年6月.pdf</x:v>
      </x:c>
    </x:row>
    <x:row r="46">
      <x:c r="A46" s="37" t="n">
        <x:v>46174</x:v>
      </x:c>
      <x:c r="B46" s="31" t="str">
        <x:v>115年6月</x:v>
      </x:c>
      <x:c r="C46" s="31" t="str">
        <x:v>新制</x:v>
      </x:c>
      <x:c r="D46" s="31" t="str">
        <x:v>國外</x:v>
      </x:c>
      <x:c r="E46" s="31" t="str">
        <x:v>107-1絕對報酬股票型（續約）</x:v>
      </x:c>
      <x:c r="F46" s="31" t="str">
        <x:v>Nomura</x:v>
      </x:c>
      <x:c r="G46" s="40" t="n">
        <x:v>559865985</x:v>
      </x:c>
      <x:c r="H46" s="40" t="n">
        <x:v>755063861</x:v>
      </x:c>
      <x:c r="I46" s="43" t="n">
        <x:v>0.3553</x:v>
      </x:c>
      <x:c r="J46" s="43" t="n">
        <x:v>0.373</x:v>
      </x:c>
      <x:c r="K46" s="31" t="str">
        <x:v>美元</x:v>
      </x:c>
      <x:c r="L46" s="32" t="str">
        <x:v>勞工退休基金-115年6月.pdf</x:v>
      </x:c>
    </x:row>
    <x:row r="47">
      <x:c r="A47" s="37" t="n">
        <x:v>46174</x:v>
      </x:c>
      <x:c r="B47" s="31" t="str">
        <x:v>115年6月</x:v>
      </x:c>
      <x:c r="C47" s="31" t="str">
        <x:v>新制</x:v>
      </x:c>
      <x:c r="D47" s="31" t="str">
        <x:v>國外</x:v>
      </x:c>
      <x:c r="E47" s="31" t="str">
        <x:v>107-1絕對報酬股票型（續約）</x:v>
      </x:c>
      <x:c r="F47" s="31" t="str">
        <x:v>荷寶</x:v>
      </x:c>
      <x:c r="G47" s="40" t="n">
        <x:v>506416368</x:v>
      </x:c>
      <x:c r="H47" s="40" t="n">
        <x:v>666220874</x:v>
      </x:c>
      <x:c r="I47" s="43" t="n">
        <x:v>0.32630000000000003</x:v>
      </x:c>
      <x:c r="J47" s="43" t="n">
        <x:v>0.373</x:v>
      </x:c>
      <x:c r="K47" s="31" t="str">
        <x:v>美元</x:v>
      </x:c>
      <x:c r="L47" s="32" t="str">
        <x:v>勞工退休基金-115年6月.pdf</x:v>
      </x:c>
    </x:row>
    <x:row r="48">
      <x:c r="A48" s="37" t="n">
        <x:v>46174</x:v>
      </x:c>
      <x:c r="B48" s="31" t="str">
        <x:v>115年6月</x:v>
      </x:c>
      <x:c r="C48" s="31" t="str">
        <x:v>新制</x:v>
      </x:c>
      <x:c r="D48" s="31" t="str">
        <x:v>國外</x:v>
      </x:c>
      <x:c r="E48" s="31" t="str">
        <x:v>107-1絕對報酬股票型（續約）</x:v>
      </x:c>
      <x:c r="F48" s="31" t="str">
        <x:v>道富</x:v>
      </x:c>
      <x:c r="G48" s="40" t="n">
        <x:v>441937598</x:v>
      </x:c>
      <x:c r="H48" s="40" t="n">
        <x:v>589558972</x:v>
      </x:c>
      <x:c r="I48" s="43" t="n">
        <x:v>0.33399999999999996</x:v>
      </x:c>
      <x:c r="J48" s="43" t="n">
        <x:v>0.373</x:v>
      </x:c>
      <x:c r="K48" s="31" t="str">
        <x:v>美元</x:v>
      </x:c>
      <x:c r="L48" s="32" t="str">
        <x:v>勞工退休基金-115年6月.pdf</x:v>
      </x:c>
    </x:row>
    <x:row r="49">
      <x:c r="A49" s="37" t="n">
        <x:v>46174</x:v>
      </x:c>
      <x:c r="B49" s="31" t="str">
        <x:v>115年6月</x:v>
      </x:c>
      <x:c r="C49" s="31" t="str">
        <x:v>新制</x:v>
      </x:c>
      <x:c r="D49" s="31" t="str">
        <x:v>國外</x:v>
      </x:c>
      <x:c r="E49" s="31" t="str">
        <x:v>109-1全球美元公司增值債券型（續約）</x:v>
      </x:c>
      <x:c r="F49" s="31" t="str">
        <x:v>Insight</x:v>
      </x:c>
      <x:c r="G49" s="40" t="n">
        <x:v>1059063706</x:v>
      </x:c>
      <x:c r="H49" s="40" t="n">
        <x:v>1066146323</x:v>
      </x:c>
      <x:c r="I49" s="43" t="n">
        <x:v>0.0070999999999999995</x:v>
      </x:c>
      <x:c r="J49" s="43" t="n">
        <x:v>0.008100000000000001</x:v>
      </x:c>
      <x:c r="K49" s="31" t="str">
        <x:v>美元</x:v>
      </x:c>
      <x:c r="L49" s="32" t="str">
        <x:v>勞工退休基金-115年6月.pdf</x:v>
      </x:c>
    </x:row>
    <x:row r="50">
      <x:c r="A50" s="37" t="n">
        <x:v>46174</x:v>
      </x:c>
      <x:c r="B50" s="31" t="str">
        <x:v>115年6月</x:v>
      </x:c>
      <x:c r="C50" s="31" t="str">
        <x:v>新制</x:v>
      </x:c>
      <x:c r="D50" s="31" t="str">
        <x:v>國外</x:v>
      </x:c>
      <x:c r="E50" s="31" t="str">
        <x:v>109-1全球美元公司增值債券型（續約）</x:v>
      </x:c>
      <x:c r="F50" s="31" t="str">
        <x:v>JPMorgan（國外）</x:v>
      </x:c>
      <x:c r="G50" s="40" t="n">
        <x:v>558802476</x:v>
      </x:c>
      <x:c r="H50" s="40" t="n">
        <x:v>563258369</x:v>
      </x:c>
      <x:c r="I50" s="43" t="n">
        <x:v>0.0086</x:v>
      </x:c>
      <x:c r="J50" s="43" t="n">
        <x:v>0.008100000000000001</x:v>
      </x:c>
      <x:c r="K50" s="31" t="str">
        <x:v>美元</x:v>
      </x:c>
      <x:c r="L50" s="32" t="str">
        <x:v>勞工退休基金-115年6月.pdf</x:v>
      </x:c>
    </x:row>
    <x:row r="51">
      <x:c r="A51" s="37" t="n">
        <x:v>46174</x:v>
      </x:c>
      <x:c r="B51" s="31" t="str">
        <x:v>115年6月</x:v>
      </x:c>
      <x:c r="C51" s="31" t="str">
        <x:v>新制</x:v>
      </x:c>
      <x:c r="D51" s="31" t="str">
        <x:v>國外</x:v>
      </x:c>
      <x:c r="E51" s="31" t="str">
        <x:v>109-1全球美元公司增值債券型（續約）</x:v>
      </x:c>
      <x:c r="F51" s="31" t="str">
        <x:v>PIMCO</x:v>
      </x:c>
      <x:c r="G51" s="40" t="n">
        <x:v>674765647</x:v>
      </x:c>
      <x:c r="H51" s="40" t="n">
        <x:v>679241622</x:v>
      </x:c>
      <x:c r="I51" s="43" t="n">
        <x:v>0.006999999999999999</x:v>
      </x:c>
      <x:c r="J51" s="43" t="n">
        <x:v>0.008100000000000001</x:v>
      </x:c>
      <x:c r="K51" s="31" t="str">
        <x:v>美元</x:v>
      </x:c>
      <x:c r="L51" s="32" t="str">
        <x:v>勞工退休基金-115年6月.pdf</x:v>
      </x:c>
    </x:row>
    <x:row r="52">
      <x:c r="A52" s="37" t="n">
        <x:v>46174</x:v>
      </x:c>
      <x:c r="B52" s="31" t="str">
        <x:v>115年6月</x:v>
      </x:c>
      <x:c r="C52" s="31" t="str">
        <x:v>新制</x:v>
      </x:c>
      <x:c r="D52" s="31" t="str">
        <x:v>國外</x:v>
      </x:c>
      <x:c r="E52" s="31" t="str">
        <x:v>110-1全球基礎建設有價證券型</x:v>
      </x:c>
      <x:c r="F52" s="31" t="str">
        <x:v>CBRE</x:v>
      </x:c>
      <x:c r="G52" s="40" t="n">
        <x:v>430000000</x:v>
      </x:c>
      <x:c r="H52" s="40" t="n">
        <x:v>580461284</x:v>
      </x:c>
      <x:c r="I52" s="43" t="n">
        <x:v>0.3908</x:v>
      </x:c>
      <x:c r="J52" s="43" t="n">
        <x:v>0.39149999999999996</x:v>
      </x:c>
      <x:c r="K52" s="31" t="str">
        <x:v>美元</x:v>
      </x:c>
      <x:c r="L52" s="32" t="str">
        <x:v>勞工退休基金-115年6月.pdf</x:v>
      </x:c>
    </x:row>
    <x:row r="53">
      <x:c r="A53" s="37" t="n">
        <x:v>46174</x:v>
      </x:c>
      <x:c r="B53" s="31" t="str">
        <x:v>115年6月</x:v>
      </x:c>
      <x:c r="C53" s="31" t="str">
        <x:v>新制</x:v>
      </x:c>
      <x:c r="D53" s="31" t="str">
        <x:v>國外</x:v>
      </x:c>
      <x:c r="E53" s="31" t="str">
        <x:v>110-1全球基礎建設有價證券型</x:v>
      </x:c>
      <x:c r="F53" s="31" t="str">
        <x:v>Clearbridge</x:v>
      </x:c>
      <x:c r="G53" s="40" t="n">
        <x:v>700000000</x:v>
      </x:c>
      <x:c r="H53" s="40" t="n">
        <x:v>959489456</x:v>
      </x:c>
      <x:c r="I53" s="43" t="n">
        <x:v>0.5278</x:v>
      </x:c>
      <x:c r="J53" s="43" t="n">
        <x:v>0.39149999999999996</x:v>
      </x:c>
      <x:c r="K53" s="31" t="str">
        <x:v>美元</x:v>
      </x:c>
      <x:c r="L53" s="32" t="str">
        <x:v>勞工退休基金-115年6月.pdf</x:v>
      </x:c>
    </x:row>
    <x:row r="54">
      <x:c r="A54" s="37" t="n">
        <x:v>46174</x:v>
      </x:c>
      <x:c r="B54" s="31" t="str">
        <x:v>115年6月</x:v>
      </x:c>
      <x:c r="C54" s="31" t="str">
        <x:v>新制</x:v>
      </x:c>
      <x:c r="D54" s="31" t="str">
        <x:v>國外</x:v>
      </x:c>
      <x:c r="E54" s="31" t="str">
        <x:v>110-1全球基礎建設有價證券型</x:v>
      </x:c>
      <x:c r="F54" s="31" t="str">
        <x:v>Magellan</x:v>
      </x:c>
      <x:c r="G54" s="40" t="n">
        <x:v>350000000</x:v>
      </x:c>
      <x:c r="H54" s="40" t="n">
        <x:v>493495061</x:v>
      </x:c>
      <x:c r="I54" s="43" t="n">
        <x:v>0.3887</x:v>
      </x:c>
      <x:c r="J54" s="43" t="n">
        <x:v>0.39149999999999996</x:v>
      </x:c>
      <x:c r="K54" s="31" t="str">
        <x:v>美元</x:v>
      </x:c>
      <x:c r="L54" s="32" t="str">
        <x:v>勞工退休基金-115年6月.pdf</x:v>
      </x:c>
    </x:row>
    <x:row r="55">
      <x:c r="A55" s="37" t="n">
        <x:v>46174</x:v>
      </x:c>
      <x:c r="B55" s="31" t="str">
        <x:v>115年6月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31" t="str">
        <x:v>RREEF</x:v>
      </x:c>
      <x:c r="G55" s="40" t="n">
        <x:v>430000000</x:v>
      </x:c>
      <x:c r="H55" s="40" t="n">
        <x:v>577076771</x:v>
      </x:c>
      <x:c r="I55" s="43" t="n">
        <x:v>0.3788</x:v>
      </x:c>
      <x:c r="J55" s="43" t="n">
        <x:v>0.39149999999999996</x:v>
      </x:c>
      <x:c r="K55" s="31" t="str">
        <x:v>美元</x:v>
      </x:c>
      <x:c r="L55" s="32" t="str">
        <x:v>勞工退休基金-115年6月.pdf</x:v>
      </x:c>
    </x:row>
    <x:row r="56">
      <x:c r="A56" s="37" t="n">
        <x:v>46174</x:v>
      </x:c>
      <x:c r="B56" s="31" t="str">
        <x:v>115年6月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富達</x:v>
      </x:c>
      <x:c r="G56" s="40" t="n">
        <x:v>400000000</x:v>
      </x:c>
      <x:c r="H56" s="40" t="n">
        <x:v>530861963</x:v>
      </x:c>
      <x:c r="I56" s="43" t="n">
        <x:v>0.32170000000000004</x:v>
      </x:c>
      <x:c r="J56" s="43"/>
      <x:c r="K56" s="31" t="str">
        <x:v>美元</x:v>
      </x:c>
      <x:c r="L56" s="32" t="str">
        <x:v>勞工退休基金-115年6月.pdf</x:v>
      </x:c>
    </x:row>
    <x:row r="57">
      <x:c r="A57" s="37" t="n">
        <x:v>46174</x:v>
      </x:c>
      <x:c r="B57" s="31" t="str">
        <x:v>115年6月</x:v>
      </x:c>
      <x:c r="C57" s="31" t="str">
        <x:v>新制</x:v>
      </x:c>
      <x:c r="D57" s="31" t="str">
        <x:v>國外</x:v>
      </x:c>
      <x:c r="E57" s="31" t="str">
        <x:v>110-1全球多元資產型</x:v>
      </x:c>
      <x:c r="F57" s="31" t="str">
        <x:v>JPMorgan（國外）</x:v>
      </x:c>
      <x:c r="G57" s="40" t="n">
        <x:v>400000000</x:v>
      </x:c>
      <x:c r="H57" s="40" t="n">
        <x:v>490825152</x:v>
      </x:c>
      <x:c r="I57" s="43" t="n">
        <x:v>0.2249</x:v>
      </x:c>
      <x:c r="J57" s="43"/>
      <x:c r="K57" s="31" t="str">
        <x:v>美元</x:v>
      </x:c>
      <x:c r="L57" s="32" t="str">
        <x:v>勞工退休基金-115年6月.pdf</x:v>
      </x:c>
    </x:row>
    <x:row r="58">
      <x:c r="A58" s="37" t="n">
        <x:v>46174</x:v>
      </x:c>
      <x:c r="B58" s="31" t="str">
        <x:v>115年6月</x:v>
      </x:c>
      <x:c r="C58" s="31" t="str">
        <x:v>新制</x:v>
      </x:c>
      <x:c r="D58" s="31" t="str">
        <x:v>國外</x:v>
      </x:c>
      <x:c r="E58" s="31" t="str">
        <x:v>110-1全球多元資產型</x:v>
      </x:c>
      <x:c r="F58" s="31" t="str">
        <x:v>Ninety One</x:v>
      </x:c>
      <x:c r="G58" s="40" t="n">
        <x:v>400000000</x:v>
      </x:c>
      <x:c r="H58" s="40" t="n">
        <x:v>491407437</x:v>
      </x:c>
      <x:c r="I58" s="43" t="n">
        <x:v>0.222</x:v>
      </x:c>
      <x:c r="J58" s="43"/>
      <x:c r="K58" s="31" t="str">
        <x:v>美元</x:v>
      </x:c>
      <x:c r="L58" s="32" t="str">
        <x:v>勞工退休基金-115年6月.pdf</x:v>
      </x:c>
    </x:row>
    <x:row r="59">
      <x:c r="A59" s="37" t="n">
        <x:v>46174</x:v>
      </x:c>
      <x:c r="B59" s="31" t="str">
        <x:v>115年6月</x:v>
      </x:c>
      <x:c r="C59" s="31" t="str">
        <x:v>新制</x:v>
      </x:c>
      <x:c r="D59" s="31" t="str">
        <x:v>國外</x:v>
      </x:c>
      <x:c r="E59" s="31" t="str">
        <x:v>110-1全球多元資產型</x:v>
      </x:c>
      <x:c r="F59" s="31" t="str">
        <x:v>Schroders</x:v>
      </x:c>
      <x:c r="G59" s="40" t="n">
        <x:v>400000000</x:v>
      </x:c>
      <x:c r="H59" s="40" t="n">
        <x:v>538748367</x:v>
      </x:c>
      <x:c r="I59" s="43" t="n">
        <x:v>0.34130000000000005</x:v>
      </x:c>
      <x:c r="J59" s="43"/>
      <x:c r="K59" s="31" t="str">
        <x:v>美元</x:v>
      </x:c>
      <x:c r="L59" s="32" t="str">
        <x:v>勞工退休基金-115年6月.pdf</x:v>
      </x:c>
    </x:row>
    <x:row r="60">
      <x:c r="A60" s="37" t="n">
        <x:v>46174</x:v>
      </x:c>
      <x:c r="B60" s="31" t="str">
        <x:v>115年6月</x:v>
      </x:c>
      <x:c r="C60" s="31" t="str">
        <x:v>新制</x:v>
      </x:c>
      <x:c r="D60" s="31" t="str">
        <x:v>國外</x:v>
      </x:c>
      <x:c r="E60" s="31" t="str">
        <x:v>110-1全球多元資產型</x:v>
      </x:c>
      <x:c r="F60" s="31" t="str">
        <x:v>T. Rowe Price</x:v>
      </x:c>
      <x:c r="G60" s="40" t="n">
        <x:v>400000000</x:v>
      </x:c>
      <x:c r="H60" s="40" t="n">
        <x:v>512385696</x:v>
      </x:c>
      <x:c r="I60" s="43" t="n">
        <x:v>0.2659</x:v>
      </x:c>
      <x:c r="J60" s="43"/>
      <x:c r="K60" s="31" t="str">
        <x:v>美元</x:v>
      </x:c>
      <x:c r="L60" s="32" t="str">
        <x:v>勞工退休基金-115年6月.pdf</x:v>
      </x:c>
    </x:row>
    <x:row r="61">
      <x:c r="A61" s="37" t="n">
        <x:v>46174</x:v>
      </x:c>
      <x:c r="B61" s="31" t="str">
        <x:v>115年6月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滙豐</x:v>
      </x:c>
      <x:c r="G61" s="40" t="n">
        <x:v>400000000</x:v>
      </x:c>
      <x:c r="H61" s="40" t="n">
        <x:v>625894366</x:v>
      </x:c>
      <x:c r="I61" s="43" t="n">
        <x:v>0.8437</x:v>
      </x:c>
      <x:c r="J61" s="43"/>
      <x:c r="K61" s="31" t="str">
        <x:v>美元</x:v>
      </x:c>
      <x:c r="L61" s="32" t="str">
        <x:v>勞工退休基金-115年6月.pdf</x:v>
      </x:c>
    </x:row>
    <x:row r="62">
      <x:c r="A62" s="37" t="n">
        <x:v>46174</x:v>
      </x:c>
      <x:c r="B62" s="31" t="str">
        <x:v>115年6月</x:v>
      </x:c>
      <x:c r="C62" s="31" t="str">
        <x:v>新制</x:v>
      </x:c>
      <x:c r="D62" s="31" t="str">
        <x:v>國外</x:v>
      </x:c>
      <x:c r="E62" s="31" t="str">
        <x:v>111-1全球氣候變遷增值股票型</x:v>
      </x:c>
      <x:c r="F62" s="31" t="str">
        <x:v>LGIM</x:v>
      </x:c>
      <x:c r="G62" s="40" t="n">
        <x:v>400000000</x:v>
      </x:c>
      <x:c r="H62" s="40" t="n">
        <x:v>599547682</x:v>
      </x:c>
      <x:c r="I62" s="43" t="n">
        <x:v>0.7462000000000001</x:v>
      </x:c>
      <x:c r="J62" s="43"/>
      <x:c r="K62" s="31" t="str">
        <x:v>美元</x:v>
      </x:c>
      <x:c r="L62" s="32" t="str">
        <x:v>勞工退休基金-115年6月.pdf</x:v>
      </x:c>
    </x:row>
    <x:row r="63">
      <x:c r="A63" s="37" t="n">
        <x:v>46174</x:v>
      </x:c>
      <x:c r="B63" s="31" t="str">
        <x:v>115年6月</x:v>
      </x:c>
      <x:c r="C63" s="31" t="str">
        <x:v>新制</x:v>
      </x:c>
      <x:c r="D63" s="31" t="str">
        <x:v>國外</x:v>
      </x:c>
      <x:c r="E63" s="31" t="str">
        <x:v>111-1全球氣候變遷增值股票型</x:v>
      </x:c>
      <x:c r="F63" s="31" t="str">
        <x:v>摩根士丹利</x:v>
      </x:c>
      <x:c r="G63" s="40" t="n">
        <x:v>400000000</x:v>
      </x:c>
      <x:c r="H63" s="40" t="n">
        <x:v>606502238</x:v>
      </x:c>
      <x:c r="I63" s="43" t="n">
        <x:v>0.7484000000000001</x:v>
      </x:c>
      <x:c r="J63" s="43"/>
      <x:c r="K63" s="31" t="str">
        <x:v>美元</x:v>
      </x:c>
      <x:c r="L63" s="32" t="str">
        <x:v>勞工退休基金-115年6月.pdf</x:v>
      </x:c>
    </x:row>
    <x:row r="64">
      <x:c r="A64" s="37" t="n">
        <x:v>46174</x:v>
      </x:c>
      <x:c r="B64" s="31" t="str">
        <x:v>115年6月</x:v>
      </x:c>
      <x:c r="C64" s="31" t="str">
        <x:v>新制</x:v>
      </x:c>
      <x:c r="D64" s="31" t="str">
        <x:v>國外</x:v>
      </x:c>
      <x:c r="E64" s="31" t="str">
        <x:v>111-1全球氣候變遷增值股票型</x:v>
      </x:c>
      <x:c r="F64" s="31" t="str">
        <x:v>Schroders</x:v>
      </x:c>
      <x:c r="G64" s="40" t="n">
        <x:v>400000000</x:v>
      </x:c>
      <x:c r="H64" s="40" t="n">
        <x:v>578856765</x:v>
      </x:c>
      <x:c r="I64" s="43" t="n">
        <x:v>0.6956</x:v>
      </x:c>
      <x:c r="J64" s="43"/>
      <x:c r="K64" s="31" t="str">
        <x:v>美元</x:v>
      </x:c>
      <x:c r="L64" s="32" t="str">
        <x:v>勞工退休基金-115年6月.pdf</x:v>
      </x:c>
    </x:row>
    <x:row r="65">
      <x:c r="A65" s="37" t="n">
        <x:v>46174</x:v>
      </x:c>
      <x:c r="B65" s="31" t="str">
        <x:v>115年6月</x:v>
      </x:c>
      <x:c r="C65" s="31" t="str">
        <x:v>新制</x:v>
      </x:c>
      <x:c r="D65" s="31" t="str">
        <x:v>國外</x:v>
      </x:c>
      <x:c r="E65" s="31" t="str">
        <x:v>111-1全球氣候變遷增值股票型</x:v>
      </x:c>
      <x:c r="F65" s="31" t="str">
        <x:v>威靈頓</x:v>
      </x:c>
      <x:c r="G65" s="40" t="n">
        <x:v>400000000</x:v>
      </x:c>
      <x:c r="H65" s="40" t="n">
        <x:v>621800879</x:v>
      </x:c>
      <x:c r="I65" s="43" t="n">
        <x:v>0.8353</x:v>
      </x:c>
      <x:c r="J65" s="43"/>
      <x:c r="K65" s="31" t="str">
        <x:v>美元</x:v>
      </x:c>
      <x:c r="L65" s="32" t="str">
        <x:v>勞工退休基金-115年6月.pdf</x:v>
      </x:c>
    </x:row>
    <x:row r="66">
      <x:c r="A66" s="37" t="n">
        <x:v>46174</x:v>
      </x:c>
      <x:c r="B66" s="31" t="str">
        <x:v>115年6月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盧米斯</x:v>
      </x:c>
      <x:c r="G66" s="40" t="n">
        <x:v>600000000</x:v>
      </x:c>
      <x:c r="H66" s="40" t="n">
        <x:v>689474316</x:v>
      </x:c>
      <x:c r="I66" s="43" t="n">
        <x:v>0.21280000000000002</x:v>
      </x:c>
      <x:c r="J66" s="43"/>
      <x:c r="K66" s="31" t="str">
        <x:v>美元</x:v>
      </x:c>
      <x:c r="L66" s="32" t="str">
        <x:v>勞工退休基金-115年6月.pdf</x:v>
      </x:c>
    </x:row>
    <x:row r="67">
      <x:c r="A67" s="37" t="n">
        <x:v>46174</x:v>
      </x:c>
      <x:c r="B67" s="31" t="str">
        <x:v>115年6月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Ninety One</x:v>
      </x:c>
      <x:c r="G67" s="40" t="n">
        <x:v>500000000</x:v>
      </x:c>
      <x:c r="H67" s="40" t="n">
        <x:v>587169093</x:v>
      </x:c>
      <x:c r="I67" s="43" t="n">
        <x:v>0.2002</x:v>
      </x:c>
      <x:c r="J67" s="43"/>
      <x:c r="K67" s="31" t="str">
        <x:v>美元</x:v>
      </x:c>
      <x:c r="L67" s="32" t="str">
        <x:v>勞工退休基金-115年6月.pdf</x:v>
      </x:c>
    </x:row>
    <x:row r="68">
      <x:c r="A68" s="37" t="n">
        <x:v>46174</x:v>
      </x:c>
      <x:c r="B68" s="31" t="str">
        <x:v>115年6月</x:v>
      </x:c>
      <x:c r="C68" s="31" t="str">
        <x:v>新制</x:v>
      </x:c>
      <x:c r="D68" s="31" t="str">
        <x:v>國外</x:v>
      </x:c>
      <x:c r="E68" s="31" t="str">
        <x:v>111-2絕對報酬債券型</x:v>
      </x:c>
      <x:c r="F68" s="31" t="str">
        <x:v>PIMCO</x:v>
      </x:c>
      <x:c r="G68" s="40" t="n">
        <x:v>500000000</x:v>
      </x:c>
      <x:c r="H68" s="40" t="n">
        <x:v>593735886</x:v>
      </x:c>
      <x:c r="I68" s="43" t="n">
        <x:v>0.21</x:v>
      </x:c>
      <x:c r="J68" s="43"/>
      <x:c r="K68" s="31" t="str">
        <x:v>美元</x:v>
      </x:c>
      <x:c r="L68" s="32" t="str">
        <x:v>勞工退休基金-115年6月.pdf</x:v>
      </x:c>
    </x:row>
    <x:row r="69">
      <x:c r="A69" s="37" t="n">
        <x:v>46174</x:v>
      </x:c>
      <x:c r="B69" s="31" t="str">
        <x:v>115年6月</x:v>
      </x:c>
      <x:c r="C69" s="31" t="str">
        <x:v>新制</x:v>
      </x:c>
      <x:c r="D69" s="31" t="str">
        <x:v>國外</x:v>
      </x:c>
      <x:c r="E69" s="31" t="str">
        <x:v>111-2絕對報酬債券型</x:v>
      </x:c>
      <x:c r="F69" s="31" t="str">
        <x:v>PGIM</x:v>
      </x:c>
      <x:c r="G69" s="40" t="n">
        <x:v>600000000</x:v>
      </x:c>
      <x:c r="H69" s="40" t="n">
        <x:v>685961345</x:v>
      </x:c>
      <x:c r="I69" s="43" t="n">
        <x:v>0.2084</x:v>
      </x:c>
      <x:c r="J69" s="43"/>
      <x:c r="K69" s="31" t="str">
        <x:v>美元</x:v>
      </x:c>
      <x:c r="L69" s="32" t="str">
        <x:v>勞工退休基金-115年6月.pdf</x:v>
      </x:c>
    </x:row>
    <x:row r="70">
      <x:c r="A70" s="37" t="n">
        <x:v>46174</x:v>
      </x:c>
      <x:c r="B70" s="31" t="str">
        <x:v>115年6月</x:v>
      </x:c>
      <x:c r="C70" s="31" t="str">
        <x:v>新制</x:v>
      </x:c>
      <x:c r="D70" s="31" t="str">
        <x:v>國外</x:v>
      </x:c>
      <x:c r="E70" s="31" t="str">
        <x:v>111-2絕對報酬債券型</x:v>
      </x:c>
      <x:c r="F70" s="31" t="str">
        <x:v>T. Rowe Price</x:v>
      </x:c>
      <x:c r="G70" s="40" t="n">
        <x:v>500000000</x:v>
      </x:c>
      <x:c r="H70" s="40" t="n">
        <x:v>557731817</x:v>
      </x:c>
      <x:c r="I70" s="43" t="n">
        <x:v>0.1258</x:v>
      </x:c>
      <x:c r="J70" s="43"/>
      <x:c r="K70" s="31" t="str">
        <x:v>美元</x:v>
      </x:c>
      <x:c r="L70" s="32" t="str">
        <x:v>勞工退休基金-115年6月.pdf</x:v>
      </x:c>
    </x:row>
    <x:row r="71">
      <x:c r="A71" s="37" t="n">
        <x:v>46174</x:v>
      </x:c>
      <x:c r="B71" s="31" t="str">
        <x:v>115年6月</x:v>
      </x:c>
      <x:c r="C71" s="31" t="str">
        <x:v>新制</x:v>
      </x:c>
      <x:c r="D71" s="31" t="str">
        <x:v>國外</x:v>
      </x:c>
      <x:c r="E71" s="31" t="str">
        <x:v>111-2絕對報酬債券型</x:v>
      </x:c>
      <x:c r="F71" s="31" t="str">
        <x:v>威靈頓</x:v>
      </x:c>
      <x:c r="G71" s="40" t="n">
        <x:v>500000000</x:v>
      </x:c>
      <x:c r="H71" s="40" t="n">
        <x:v>573497628</x:v>
      </x:c>
      <x:c r="I71" s="43" t="n">
        <x:v>0.1747</x:v>
      </x:c>
      <x:c r="J71" s="43"/>
      <x:c r="K71" s="31" t="str">
        <x:v>美元</x:v>
      </x:c>
      <x:c r="L71" s="32" t="str">
        <x:v>勞工退休基金-115年6月.pdf</x:v>
      </x:c>
    </x:row>
    <x:row r="72">
      <x:c r="A72" s="37" t="n">
        <x:v>46174</x:v>
      </x:c>
      <x:c r="B72" s="31" t="str">
        <x:v>115年6月</x:v>
      </x:c>
      <x:c r="C72" s="31" t="str">
        <x:v>新制</x:v>
      </x:c>
      <x:c r="D72" s="31" t="str">
        <x:v>國外</x:v>
      </x:c>
      <x:c r="E72" s="31" t="str">
        <x:v>112-1全球被動股票型</x:v>
      </x:c>
      <x:c r="F72" s="31" t="str">
        <x:v>Amundi</x:v>
      </x:c>
      <x:c r="G72" s="40" t="n">
        <x:v>400000000</x:v>
      </x:c>
      <x:c r="H72" s="40" t="n">
        <x:v>533036158</x:v>
      </x:c>
      <x:c r="I72" s="43" t="n">
        <x:v>0.3901</x:v>
      </x:c>
      <x:c r="J72" s="43" t="n">
        <x:v>0.434</x:v>
      </x:c>
      <x:c r="K72" s="31" t="str">
        <x:v>美元</x:v>
      </x:c>
      <x:c r="L72" s="32" t="str">
        <x:v>勞工退休基金-115年6月.pdf</x:v>
      </x:c>
    </x:row>
    <x:row r="73">
      <x:c r="A73" s="37" t="n">
        <x:v>46174</x:v>
      </x:c>
      <x:c r="B73" s="31" t="str">
        <x:v>115年6月</x:v>
      </x:c>
      <x:c r="C73" s="31" t="str">
        <x:v>新制</x:v>
      </x:c>
      <x:c r="D73" s="31" t="str">
        <x:v>國外</x:v>
      </x:c>
      <x:c r="E73" s="31" t="str">
        <x:v>112-1全球被動股票型</x:v>
      </x:c>
      <x:c r="F73" s="31" t="str">
        <x:v>LGIM</x:v>
      </x:c>
      <x:c r="G73" s="40" t="n">
        <x:v>400000000</x:v>
      </x:c>
      <x:c r="H73" s="40" t="n">
        <x:v>543970609</x:v>
      </x:c>
      <x:c r="I73" s="43" t="n">
        <x:v>0.4325</x:v>
      </x:c>
      <x:c r="J73" s="43" t="n">
        <x:v>0.434</x:v>
      </x:c>
      <x:c r="K73" s="31" t="str">
        <x:v>美元</x:v>
      </x:c>
      <x:c r="L73" s="32" t="str">
        <x:v>勞工退休基金-115年6月.pdf</x:v>
      </x:c>
    </x:row>
    <x:row r="74">
      <x:c r="A74" s="37" t="n">
        <x:v>46174</x:v>
      </x:c>
      <x:c r="B74" s="31" t="str">
        <x:v>115年6月</x:v>
      </x:c>
      <x:c r="C74" s="31" t="str">
        <x:v>新制</x:v>
      </x:c>
      <x:c r="D74" s="31" t="str">
        <x:v>國外</x:v>
      </x:c>
      <x:c r="E74" s="31" t="str">
        <x:v>112-1全球被動股票型</x:v>
      </x:c>
      <x:c r="F74" s="31" t="str">
        <x:v>道富</x:v>
      </x:c>
      <x:c r="G74" s="40" t="n">
        <x:v>400000000</x:v>
      </x:c>
      <x:c r="H74" s="40" t="n">
        <x:v>544895177</x:v>
      </x:c>
      <x:c r="I74" s="43" t="n">
        <x:v>0.43729999999999997</x:v>
      </x:c>
      <x:c r="J74" s="43" t="n">
        <x:v>0.434</x:v>
      </x:c>
      <x:c r="K74" s="31" t="str">
        <x:v>美元</x:v>
      </x:c>
      <x:c r="L74" s="32" t="str">
        <x:v>勞工退休基金-115年6月.pdf</x:v>
      </x:c>
    </x:row>
    <x:row r="75">
      <x:c r="A75" s="37" t="n">
        <x:v>46174</x:v>
      </x:c>
      <x:c r="B75" s="31" t="str">
        <x:v>115年6月</x:v>
      </x:c>
      <x:c r="C75" s="31" t="str">
        <x:v>新制</x:v>
      </x:c>
      <x:c r="D75" s="31" t="str">
        <x:v>國外</x:v>
      </x:c>
      <x:c r="E75" s="31" t="str">
        <x:v>112-1全球被動股票型</x:v>
      </x:c>
      <x:c r="F75" s="31" t="str">
        <x:v>北美信託</x:v>
      </x:c>
      <x:c r="G75" s="40" t="n">
        <x:v>400000000</x:v>
      </x:c>
      <x:c r="H75" s="40" t="n">
        <x:v>545430771</x:v>
      </x:c>
      <x:c r="I75" s="43" t="n">
        <x:v>0.4366</x:v>
      </x:c>
      <x:c r="J75" s="43" t="n">
        <x:v>0.434</x:v>
      </x:c>
      <x:c r="K75" s="31" t="str">
        <x:v>美元</x:v>
      </x:c>
      <x:c r="L75" s="32" t="str">
        <x:v>勞工退休基金-115年6月.pdf</x:v>
      </x:c>
    </x:row>
    <x:row r="76">
      <x:c r="A76" s="37" t="n">
        <x:v>46174</x:v>
      </x:c>
      <x:c r="B76" s="31" t="str">
        <x:v>115年6月</x:v>
      </x:c>
      <x:c r="C76" s="31" t="str">
        <x:v>新制</x:v>
      </x:c>
      <x:c r="D76" s="31" t="str">
        <x:v>國外</x:v>
      </x:c>
      <x:c r="E76" s="31" t="str">
        <x:v>113-1全球永續不動產有價證券型</x:v>
      </x:c>
      <x:c r="F76" s="31" t="str">
        <x:v>貝萊德</x:v>
      </x:c>
      <x:c r="G76" s="40" t="n">
        <x:v>400000000</x:v>
      </x:c>
      <x:c r="H76" s="40" t="n">
        <x:v>437857077</x:v>
      </x:c>
      <x:c r="I76" s="43" t="n">
        <x:v>0.1222</x:v>
      </x:c>
      <x:c r="J76" s="43" t="n">
        <x:v>0.1201</x:v>
      </x:c>
      <x:c r="K76" s="31" t="str">
        <x:v>美元</x:v>
      </x:c>
      <x:c r="L76" s="32" t="str">
        <x:v>勞工退休基金-115年6月.pdf</x:v>
      </x:c>
    </x:row>
    <x:row r="77">
      <x:c r="A77" s="37" t="n">
        <x:v>46174</x:v>
      </x:c>
      <x:c r="B77" s="31" t="str">
        <x:v>115年6月</x:v>
      </x:c>
      <x:c r="C77" s="31" t="str">
        <x:v>新制</x:v>
      </x:c>
      <x:c r="D77" s="31" t="str">
        <x:v>國外</x:v>
      </x:c>
      <x:c r="E77" s="31" t="str">
        <x:v>113-1全球永續不動產有價證券型</x:v>
      </x:c>
      <x:c r="F77" s="31" t="str">
        <x:v>Center Square</x:v>
      </x:c>
      <x:c r="G77" s="40" t="n">
        <x:v>400000000</x:v>
      </x:c>
      <x:c r="H77" s="40" t="n">
        <x:v>446072975</x:v>
      </x:c>
      <x:c r="I77" s="43" t="n">
        <x:v>0.1411</x:v>
      </x:c>
      <x:c r="J77" s="43" t="n">
        <x:v>0.1201</x:v>
      </x:c>
      <x:c r="K77" s="31" t="str">
        <x:v>美元</x:v>
      </x:c>
      <x:c r="L77" s="32" t="str">
        <x:v>勞工退休基金-115年6月.pdf</x:v>
      </x:c>
    </x:row>
    <x:row r="78">
      <x:c r="A78" s="37" t="n">
        <x:v>46174</x:v>
      </x:c>
      <x:c r="B78" s="31" t="str">
        <x:v>115年6月</x:v>
      </x:c>
      <x:c r="C78" s="31" t="str">
        <x:v>新制</x:v>
      </x:c>
      <x:c r="D78" s="31" t="str">
        <x:v>國外</x:v>
      </x:c>
      <x:c r="E78" s="31" t="str">
        <x:v>113-1全球永續不動產有價證券型</x:v>
      </x:c>
      <x:c r="F78" s="31" t="str">
        <x:v>富達</x:v>
      </x:c>
      <x:c r="G78" s="40" t="n">
        <x:v>400000000</x:v>
      </x:c>
      <x:c r="H78" s="40" t="n">
        <x:v>443552741</x:v>
      </x:c>
      <x:c r="I78" s="43" t="n">
        <x:v>0.1361</x:v>
      </x:c>
      <x:c r="J78" s="43" t="n">
        <x:v>0.1201</x:v>
      </x:c>
      <x:c r="K78" s="31" t="str">
        <x:v>美元</x:v>
      </x:c>
      <x:c r="L78" s="32" t="str">
        <x:v>勞工退休基金-115年6月.pdf</x:v>
      </x:c>
    </x:row>
    <x:row r="79">
      <x:c r="A79" s="37" t="n">
        <x:v>46174</x:v>
      </x:c>
      <x:c r="B79" s="31" t="str">
        <x:v>115年6月</x:v>
      </x:c>
      <x:c r="C79" s="31" t="str">
        <x:v>新制</x:v>
      </x:c>
      <x:c r="D79" s="31" t="str">
        <x:v>國外</x:v>
      </x:c>
      <x:c r="E79" s="31" t="str">
        <x:v>113-1全球永續不動產有價證券型</x:v>
      </x:c>
      <x:c r="F79" s="31" t="str">
        <x:v>RREEF</x:v>
      </x:c>
      <x:c r="G79" s="40" t="n">
        <x:v>400000000</x:v>
      </x:c>
      <x:c r="H79" s="40" t="n">
        <x:v>442377627</x:v>
      </x:c>
      <x:c r="I79" s="43" t="n">
        <x:v>0.132</x:v>
      </x:c>
      <x:c r="J79" s="43" t="n">
        <x:v>0.1201</x:v>
      </x:c>
      <x:c r="K79" s="31" t="str">
        <x:v>美元</x:v>
      </x:c>
      <x:c r="L79" s="32" t="str">
        <x:v>勞工退休基金-115年6月.pdf</x:v>
      </x:c>
    </x:row>
    <x:row r="80">
      <x:c r="A80" s="37" t="n">
        <x:v>46174</x:v>
      </x:c>
      <x:c r="B80" s="31" t="str">
        <x:v>115年6月</x:v>
      </x:c>
      <x:c r="C80" s="31" t="str">
        <x:v>新制</x:v>
      </x:c>
      <x:c r="D80" s="31" t="str">
        <x:v>國外</x:v>
      </x:c>
      <x:c r="E80" s="31" t="str">
        <x:v>114-1全球氣候轉型被動股票型</x:v>
      </x:c>
      <x:c r="F80" s="31" t="str">
        <x:v>貝萊德</x:v>
      </x:c>
      <x:c r="G80" s="40" t="n">
        <x:v>400000000</x:v>
      </x:c>
      <x:c r="H80" s="40" t="n">
        <x:v>420213973</x:v>
      </x:c>
      <x:c r="I80" s="43" t="n">
        <x:v>0.1035</x:v>
      </x:c>
      <x:c r="J80" s="43" t="n">
        <x:v>0.0969</x:v>
      </x:c>
      <x:c r="K80" s="31" t="str">
        <x:v>美元</x:v>
      </x:c>
      <x:c r="L80" s="32" t="str">
        <x:v>勞工退休基金-115年6月.pdf</x:v>
      </x:c>
    </x:row>
    <x:row r="81">
      <x:c r="A81" s="37" t="n">
        <x:v>46174</x:v>
      </x:c>
      <x:c r="B81" s="31" t="str">
        <x:v>115年6月</x:v>
      </x:c>
      <x:c r="C81" s="31" t="str">
        <x:v>新制</x:v>
      </x:c>
      <x:c r="D81" s="31" t="str">
        <x:v>國外</x:v>
      </x:c>
      <x:c r="E81" s="31" t="str">
        <x:v>114-1全球氣候轉型被動股票型</x:v>
      </x:c>
      <x:c r="F81" s="31" t="str">
        <x:v>HSBC</x:v>
      </x:c>
      <x:c r="G81" s="40" t="n">
        <x:v>400000000</x:v>
      </x:c>
      <x:c r="H81" s="40" t="n">
        <x:v>418936760</x:v>
      </x:c>
      <x:c r="I81" s="43" t="n">
        <x:v>0.0958</x:v>
      </x:c>
      <x:c r="J81" s="43" t="n">
        <x:v>0.0969</x:v>
      </x:c>
      <x:c r="K81" s="31" t="str">
        <x:v>美元</x:v>
      </x:c>
      <x:c r="L81" s="32" t="str">
        <x:v>勞工退休基金-115年6月.pdf</x:v>
      </x:c>
    </x:row>
    <x:row r="82">
      <x:c r="A82" s="37" t="n">
        <x:v>46174</x:v>
      </x:c>
      <x:c r="B82" s="31" t="str">
        <x:v>115年6月</x:v>
      </x:c>
      <x:c r="C82" s="31" t="str">
        <x:v>新制</x:v>
      </x:c>
      <x:c r="D82" s="31" t="str">
        <x:v>國外</x:v>
      </x:c>
      <x:c r="E82" s="31" t="str">
        <x:v>114-1全球氣候轉型被動股票型</x:v>
      </x:c>
      <x:c r="F82" s="31" t="str">
        <x:v>道富</x:v>
      </x:c>
      <x:c r="G82" s="40" t="n">
        <x:v>400000000</x:v>
      </x:c>
      <x:c r="H82" s="40" t="n">
        <x:v>419048449</x:v>
      </x:c>
      <x:c r="I82" s="43" t="n">
        <x:v>0.0975</x:v>
      </x:c>
      <x:c r="J82" s="43" t="n">
        <x:v>0.0969</x:v>
      </x:c>
      <x:c r="K82" s="31" t="str">
        <x:v>美元</x:v>
      </x:c>
      <x:c r="L82" s="32" t="str">
        <x:v>勞工退休基金-115年6月.pdf</x:v>
      </x:c>
    </x:row>
    <x:row r="83">
      <x:c r="A83" s="37" t="n">
        <x:v>46174</x:v>
      </x:c>
      <x:c r="B83" s="31" t="str">
        <x:v>115年6月</x:v>
      </x:c>
      <x:c r="C83" s="31" t="str">
        <x:v>新制</x:v>
      </x:c>
      <x:c r="D83" s="31" t="str">
        <x:v>國外</x:v>
      </x:c>
      <x:c r="E83" s="31" t="str">
        <x:v>114-1全球氣候轉型被動股票型</x:v>
      </x:c>
      <x:c r="F83" s="31" t="str">
        <x:v>UBS</x:v>
      </x:c>
      <x:c r="G83" s="40" t="n">
        <x:v>400000000</x:v>
      </x:c>
      <x:c r="H83" s="40" t="n">
        <x:v>419200289</x:v>
      </x:c>
      <x:c r="I83" s="43" t="n">
        <x:v>0.098</x:v>
      </x:c>
      <x:c r="J83" s="43" t="n">
        <x:v>0.0969</x:v>
      </x:c>
      <x:c r="K83" s="31" t="str">
        <x:v>美元</x:v>
      </x:c>
      <x:c r="L83" s="32" t="str">
        <x:v>勞工退休基金-115年6月.pdf</x:v>
      </x:c>
    </x:row>
    <x:row r="84">
      <x:c r="A84" s="37" t="n">
        <x:v>46174</x:v>
      </x:c>
      <x:c r="B84" s="31" t="str">
        <x:v>115年6月</x:v>
      </x:c>
      <x:c r="C84" s="31" t="str">
        <x:v>舊制</x:v>
      </x:c>
      <x:c r="D84" s="31" t="str">
        <x:v>國外</x:v>
      </x:c>
      <x:c r="E84" s="31" t="str">
        <x:v>96國際平衡型(續約4)</x:v>
      </x:c>
      <x:c r="F84" s="31" t="str">
        <x:v>富達</x:v>
      </x:c>
      <x:c r="G84" s="40" t="n">
        <x:v>753144454</x:v>
      </x:c>
      <x:c r="H84" s="40" t="n">
        <x:v>1016210408</x:v>
      </x:c>
      <x:c r="I84" s="43" t="n">
        <x:v>0.3493</x:v>
      </x:c>
      <x:c r="J84" s="43" t="n">
        <x:v>0.281</x:v>
      </x:c>
      <x:c r="K84" s="31" t="str">
        <x:v>美元</x:v>
      </x:c>
      <x:c r="L84" s="32" t="str">
        <x:v>勞工退休基金-115年6月.pdf</x:v>
      </x:c>
    </x:row>
    <x:row r="85">
      <x:c r="A85" s="37" t="n">
        <x:v>46174</x:v>
      </x:c>
      <x:c r="B85" s="31" t="str">
        <x:v>115年6月</x:v>
      </x:c>
      <x:c r="C85" s="31" t="str">
        <x:v>舊制</x:v>
      </x:c>
      <x:c r="D85" s="31" t="str">
        <x:v>國外</x:v>
      </x:c>
      <x:c r="E85" s="31" t="str">
        <x:v>97-1全球增值債券型(續約3)</x:v>
      </x:c>
      <x:c r="F85" s="31" t="str">
        <x:v>PIMCO</x:v>
      </x:c>
      <x:c r="G85" s="40" t="n">
        <x:v>1003724736</x:v>
      </x:c>
      <x:c r="H85" s="40" t="n">
        <x:v>965136838</x:v>
      </x:c>
      <x:c r="I85" s="43" t="n">
        <x:v>-0.0384</x:v>
      </x:c>
      <x:c r="J85" s="43" t="n">
        <x:v>-0.0684</x:v>
      </x:c>
      <x:c r="K85" s="31" t="str">
        <x:v>美元</x:v>
      </x:c>
      <x:c r="L85" s="32" t="str">
        <x:v>勞工退休基金-115年6月.pdf</x:v>
      </x:c>
    </x:row>
    <x:row r="86">
      <x:c r="A86" s="37" t="n">
        <x:v>46174</x:v>
      </x:c>
      <x:c r="B86" s="31" t="str">
        <x:v>115年6月</x:v>
      </x:c>
      <x:c r="C86" s="31" t="str">
        <x:v>舊制</x:v>
      </x:c>
      <x:c r="D86" s="31" t="str">
        <x:v>國外</x:v>
      </x:c>
      <x:c r="E86" s="31" t="str">
        <x:v>97-1全球增值債券型(續約3)</x:v>
      </x:c>
      <x:c r="F86" s="31" t="str">
        <x:v>盧米斯</x:v>
      </x:c>
      <x:c r="G86" s="40" t="n">
        <x:v>1018693762</x:v>
      </x:c>
      <x:c r="H86" s="40" t="n">
        <x:v>959369331</x:v>
      </x:c>
      <x:c r="I86" s="43" t="n">
        <x:v>-0.0703</x:v>
      </x:c>
      <x:c r="J86" s="43" t="n">
        <x:v>-0.0684</x:v>
      </x:c>
      <x:c r="K86" s="31" t="str">
        <x:v>美元</x:v>
      </x:c>
      <x:c r="L86" s="32" t="str">
        <x:v>勞工退休基金-115年6月.pdf</x:v>
      </x:c>
    </x:row>
    <x:row r="87">
      <x:c r="A87" s="37" t="n">
        <x:v>46174</x:v>
      </x:c>
      <x:c r="B87" s="31" t="str">
        <x:v>115年6月</x:v>
      </x:c>
      <x:c r="C87" s="31" t="str">
        <x:v>舊制</x:v>
      </x:c>
      <x:c r="D87" s="31" t="str">
        <x:v>國外</x:v>
      </x:c>
      <x:c r="E87" s="31" t="str">
        <x:v>97-1全球增值股票型(續約3)</x:v>
      </x:c>
      <x:c r="F87" s="31" t="str">
        <x:v>貝萊德</x:v>
      </x:c>
      <x:c r="G87" s="40" t="n">
        <x:v>956987544</x:v>
      </x:c>
      <x:c r="H87" s="40" t="n">
        <x:v>1997179617</x:v>
      </x:c>
      <x:c r="I87" s="43" t="n">
        <x:v>0.8573000000000001</x:v>
      </x:c>
      <x:c r="J87" s="43" t="n">
        <x:v>0.6742</x:v>
      </x:c>
      <x:c r="K87" s="31" t="str">
        <x:v>美元</x:v>
      </x:c>
      <x:c r="L87" s="32" t="str">
        <x:v>勞工退休基金-115年6月.pdf</x:v>
      </x:c>
    </x:row>
    <x:row r="88">
      <x:c r="A88" s="37" t="n">
        <x:v>46174</x:v>
      </x:c>
      <x:c r="B88" s="31" t="str">
        <x:v>115年6月</x:v>
      </x:c>
      <x:c r="C88" s="31" t="str">
        <x:v>舊制</x:v>
      </x:c>
      <x:c r="D88" s="31" t="str">
        <x:v>國外</x:v>
      </x:c>
      <x:c r="E88" s="31" t="str">
        <x:v>98-1亞太(日本除外)主動股票型(續約3)</x:v>
      </x:c>
      <x:c r="F88" s="31" t="str">
        <x:v>景順</x:v>
      </x:c>
      <x:c r="G88" s="40" t="n">
        <x:v>181124998</x:v>
      </x:c>
      <x:c r="H88" s="40" t="n">
        <x:v>385583924</x:v>
      </x:c>
      <x:c r="I88" s="43" t="n">
        <x:v>0.958</x:v>
      </x:c>
      <x:c r="J88" s="43"/>
      <x:c r="K88" s="31" t="str">
        <x:v>美元</x:v>
      </x:c>
      <x:c r="L88" s="32" t="str">
        <x:v>勞工退休基金-115年6月.pdf</x:v>
      </x:c>
    </x:row>
    <x:row r="89">
      <x:c r="A89" s="37" t="n">
        <x:v>46174</x:v>
      </x:c>
      <x:c r="B89" s="31" t="str">
        <x:v>115年6月</x:v>
      </x:c>
      <x:c r="C89" s="31" t="str">
        <x:v>舊制</x:v>
      </x:c>
      <x:c r="D89" s="31" t="str">
        <x:v>國外</x:v>
      </x:c>
      <x:c r="E89" s="31" t="str">
        <x:v>100-1全球基本面指數被動股票型(續約2)</x:v>
      </x:c>
      <x:c r="F89" s="31" t="str">
        <x:v>貝萊德</x:v>
      </x:c>
      <x:c r="G89" s="40" t="n">
        <x:v>54997166</x:v>
      </x:c>
      <x:c r="H89" s="40" t="n">
        <x:v>303753501</x:v>
      </x:c>
      <x:c r="I89" s="43" t="n">
        <x:v>0.813</x:v>
      </x:c>
      <x:c r="J89" s="43" t="n">
        <x:v>0.7827</x:v>
      </x:c>
      <x:c r="K89" s="31" t="str">
        <x:v>美元</x:v>
      </x:c>
      <x:c r="L89" s="32" t="str">
        <x:v>勞工退休基金-115年6月.pdf</x:v>
      </x:c>
    </x:row>
    <x:row r="90">
      <x:c r="A90" s="37" t="n">
        <x:v>46174</x:v>
      </x:c>
      <x:c r="B90" s="31" t="str">
        <x:v>115年6月</x:v>
      </x:c>
      <x:c r="C90" s="31" t="str">
        <x:v>舊制</x:v>
      </x:c>
      <x:c r="D90" s="31" t="str">
        <x:v>國外</x:v>
      </x:c>
      <x:c r="E90" s="31" t="str">
        <x:v>100-1全球基本面指數被動股票型(續約2)</x:v>
      </x:c>
      <x:c r="F90" s="31" t="str">
        <x:v>道富</x:v>
      </x:c>
      <x:c r="G90" s="40" t="n">
        <x:v>160436214</x:v>
      </x:c>
      <x:c r="H90" s="40" t="n">
        <x:v>456179013</x:v>
      </x:c>
      <x:c r="I90" s="43" t="n">
        <x:v>0.8186</x:v>
      </x:c>
      <x:c r="J90" s="43" t="n">
        <x:v>0.7827</x:v>
      </x:c>
      <x:c r="K90" s="31" t="str">
        <x:v>美元</x:v>
      </x:c>
      <x:c r="L90" s="32" t="str">
        <x:v>勞工退休基金-115年6月.pdf</x:v>
      </x:c>
    </x:row>
    <x:row r="91">
      <x:c r="A91" s="37" t="n">
        <x:v>46174</x:v>
      </x:c>
      <x:c r="B91" s="31" t="str">
        <x:v>115年6月</x:v>
      </x:c>
      <x:c r="C91" s="31" t="str">
        <x:v>舊制</x:v>
      </x:c>
      <x:c r="D91" s="31" t="str">
        <x:v>國外</x:v>
      </x:c>
      <x:c r="E91" s="31" t="str">
        <x:v>100-1全球基本面指數被動股票型(續約2)</x:v>
      </x:c>
      <x:c r="F91" s="31" t="str">
        <x:v>瑞銀</x:v>
      </x:c>
      <x:c r="G91" s="40" t="n">
        <x:v>108879836</x:v>
      </x:c>
      <x:c r="H91" s="40" t="n">
        <x:v>361201485</x:v>
      </x:c>
      <x:c r="I91" s="43" t="n">
        <x:v>0.8148000000000001</x:v>
      </x:c>
      <x:c r="J91" s="43" t="n">
        <x:v>0.7827</x:v>
      </x:c>
      <x:c r="K91" s="31" t="str">
        <x:v>美元</x:v>
      </x:c>
      <x:c r="L91" s="32" t="str">
        <x:v>勞工退休基金-115年6月.pdf</x:v>
      </x:c>
    </x:row>
    <x:row r="92">
      <x:c r="A92" s="37" t="n">
        <x:v>46174</x:v>
      </x:c>
      <x:c r="B92" s="31" t="str">
        <x:v>115年6月</x:v>
      </x:c>
      <x:c r="C92" s="31" t="str">
        <x:v>舊制</x:v>
      </x:c>
      <x:c r="D92" s="31" t="str">
        <x:v>國外</x:v>
      </x:c>
      <x:c r="E92" s="31" t="str">
        <x:v>100-1全球基本面指數被動股票型(續約2)</x:v>
      </x:c>
      <x:c r="F92" s="31" t="str">
        <x:v>Nomura</x:v>
      </x:c>
      <x:c r="G92" s="40" t="n">
        <x:v>110147608</x:v>
      </x:c>
      <x:c r="H92" s="40" t="n">
        <x:v>405779245</x:v>
      </x:c>
      <x:c r="I92" s="43" t="n">
        <x:v>0.8190000000000001</x:v>
      </x:c>
      <x:c r="J92" s="43" t="n">
        <x:v>0.7827</x:v>
      </x:c>
      <x:c r="K92" s="31" t="str">
        <x:v>美元</x:v>
      </x:c>
      <x:c r="L92" s="32" t="str">
        <x:v>勞工退休基金-115年6月.pdf</x:v>
      </x:c>
    </x:row>
    <x:row r="93">
      <x:c r="A93" s="37" t="n">
        <x:v>46174</x:v>
      </x:c>
      <x:c r="B93" s="31" t="str">
        <x:v>115年6月</x:v>
      </x:c>
      <x:c r="C93" s="31" t="str">
        <x:v>舊制</x:v>
      </x:c>
      <x:c r="D93" s="31" t="str">
        <x:v>國外</x:v>
      </x:c>
      <x:c r="E93" s="31" t="str">
        <x:v>101-1全球低波動指數被動股票型(續約2)</x:v>
      </x:c>
      <x:c r="F93" s="31" t="str">
        <x:v>貝萊德</x:v>
      </x:c>
      <x:c r="G93" s="40" t="n">
        <x:v>751993706</x:v>
      </x:c>
      <x:c r="H93" s="40" t="n">
        <x:v>985141909</x:v>
      </x:c>
      <x:c r="I93" s="43" t="n">
        <x:v>0.31</x:v>
      </x:c>
      <x:c r="J93" s="43" t="n">
        <x:v>0.2961</x:v>
      </x:c>
      <x:c r="K93" s="31" t="str">
        <x:v>美元</x:v>
      </x:c>
      <x:c r="L93" s="32" t="str">
        <x:v>勞工退休基金-115年6月.pdf</x:v>
      </x:c>
    </x:row>
    <x:row r="94">
      <x:c r="A94" s="37" t="n">
        <x:v>46174</x:v>
      </x:c>
      <x:c r="B94" s="31" t="str">
        <x:v>115年6月</x:v>
      </x:c>
      <x:c r="C94" s="31" t="str">
        <x:v>舊制</x:v>
      </x:c>
      <x:c r="D94" s="31" t="str">
        <x:v>國外</x:v>
      </x:c>
      <x:c r="E94" s="31" t="str">
        <x:v>102-1年全球高股利增值股票型(續約2)</x:v>
      </x:c>
      <x:c r="F94" s="31" t="str">
        <x:v>瑞萬通博</x:v>
      </x:c>
      <x:c r="G94" s="40" t="n">
        <x:v>414056068</x:v>
      </x:c>
      <x:c r="H94" s="40" t="n">
        <x:v>487132500</x:v>
      </x:c>
      <x:c r="I94" s="43" t="n">
        <x:v>0.1765</x:v>
      </x:c>
      <x:c r="J94" s="43" t="n">
        <x:v>0.444</x:v>
      </x:c>
      <x:c r="K94" s="31" t="str">
        <x:v>美元</x:v>
      </x:c>
      <x:c r="L94" s="32" t="str">
        <x:v>勞工退休基金-115年6月.pdf</x:v>
      </x:c>
    </x:row>
    <x:row r="95">
      <x:c r="A95" s="37" t="n">
        <x:v>46174</x:v>
      </x:c>
      <x:c r="B95" s="31" t="str">
        <x:v>115年6月</x:v>
      </x:c>
      <x:c r="C95" s="31" t="str">
        <x:v>舊制</x:v>
      </x:c>
      <x:c r="D95" s="31" t="str">
        <x:v>國外</x:v>
      </x:c>
      <x:c r="E95" s="31" t="str">
        <x:v>102-1年全球高股利增值股票型(續約2)</x:v>
      </x:c>
      <x:c r="F95" s="31" t="str">
        <x:v>MFS</x:v>
      </x:c>
      <x:c r="G95" s="40" t="n">
        <x:v>315296707</x:v>
      </x:c>
      <x:c r="H95" s="40" t="n">
        <x:v>466898109</x:v>
      </x:c>
      <x:c r="I95" s="43" t="n">
        <x:v>0.4808</x:v>
      </x:c>
      <x:c r="J95" s="43" t="n">
        <x:v>0.444</x:v>
      </x:c>
      <x:c r="K95" s="31" t="str">
        <x:v>美元</x:v>
      </x:c>
      <x:c r="L95" s="32" t="str">
        <x:v>勞工退休基金-115年6月.pdf</x:v>
      </x:c>
    </x:row>
    <x:row r="96">
      <x:c r="A96" s="37" t="n">
        <x:v>46174</x:v>
      </x:c>
      <x:c r="B96" s="31" t="str">
        <x:v>115年6月</x:v>
      </x:c>
      <x:c r="C96" s="31" t="str">
        <x:v>舊制</x:v>
      </x:c>
      <x:c r="D96" s="31" t="str">
        <x:v>國外</x:v>
      </x:c>
      <x:c r="E96" s="31" t="str">
        <x:v>102-1年全球高股利增值股票型(續約2)</x:v>
      </x:c>
      <x:c r="F96" s="31" t="str">
        <x:v>威靈頓</x:v>
      </x:c>
      <x:c r="G96" s="40" t="n">
        <x:v>704502354</x:v>
      </x:c>
      <x:c r="H96" s="40" t="n">
        <x:v>1040412062</x:v>
      </x:c>
      <x:c r="I96" s="43" t="n">
        <x:v>0.4768</x:v>
      </x:c>
      <x:c r="J96" s="43" t="n">
        <x:v>0.444</x:v>
      </x:c>
      <x:c r="K96" s="31" t="str">
        <x:v>美元</x:v>
      </x:c>
      <x:c r="L96" s="32" t="str">
        <x:v>勞工退休基金-115年6月.pdf</x:v>
      </x:c>
    </x:row>
    <x:row r="97">
      <x:c r="A97" s="37" t="n">
        <x:v>46174</x:v>
      </x:c>
      <x:c r="B97" s="31" t="str">
        <x:v>115年6月</x:v>
      </x:c>
      <x:c r="C97" s="31" t="str">
        <x:v>舊制</x:v>
      </x:c>
      <x:c r="D97" s="31" t="str">
        <x:v>國外</x:v>
      </x:c>
      <x:c r="E97" s="31" t="str">
        <x:v>102-2全球基礎建設有價證券型(續約2)</x:v>
      </x:c>
      <x:c r="F97" s="31" t="str">
        <x:v>Lazard</x:v>
      </x:c>
      <x:c r="G97" s="40" t="n">
        <x:v>954418976</x:v>
      </x:c>
      <x:c r="H97" s="40" t="n">
        <x:v>1392892642</x:v>
      </x:c>
      <x:c r="I97" s="43" t="n">
        <x:v>0.4594</x:v>
      </x:c>
      <x:c r="J97" s="43" t="n">
        <x:v>0.3922</x:v>
      </x:c>
      <x:c r="K97" s="31" t="str">
        <x:v>美元</x:v>
      </x:c>
      <x:c r="L97" s="32" t="str">
        <x:v>勞工退休基金-115年6月.pdf</x:v>
      </x:c>
    </x:row>
    <x:row r="98">
      <x:c r="A98" s="37" t="n">
        <x:v>46174</x:v>
      </x:c>
      <x:c r="B98" s="31" t="str">
        <x:v>115年6月</x:v>
      </x:c>
      <x:c r="C98" s="31" t="str">
        <x:v>舊制</x:v>
      </x:c>
      <x:c r="D98" s="31" t="str">
        <x:v>國外</x:v>
      </x:c>
      <x:c r="E98" s="31" t="str">
        <x:v>102-2全球不動產有價證券型(續約2)</x:v>
      </x:c>
      <x:c r="F98" s="31" t="str">
        <x:v>信安</x:v>
      </x:c>
      <x:c r="G98" s="40" t="n">
        <x:v>708888643</x:v>
      </x:c>
      <x:c r="H98" s="40" t="n">
        <x:v>783215005</x:v>
      </x:c>
      <x:c r="I98" s="43" t="n">
        <x:v>0.1048</x:v>
      </x:c>
      <x:c r="J98" s="43"/>
      <x:c r="K98" s="31" t="str">
        <x:v>美元</x:v>
      </x:c>
      <x:c r="L98" s="32" t="str">
        <x:v>勞工退休基金-115年6月.pdf</x:v>
      </x:c>
    </x:row>
    <x:row r="99">
      <x:c r="A99" s="37" t="n">
        <x:v>46174</x:v>
      </x:c>
      <x:c r="B99" s="31" t="str">
        <x:v>115年6月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31" t="str">
        <x:v>Allianz</x:v>
      </x:c>
      <x:c r="G99" s="40" t="n">
        <x:v>205447975</x:v>
      </x:c>
      <x:c r="H99" s="40" t="n">
        <x:v>282822171</x:v>
      </x:c>
      <x:c r="I99" s="43" t="n">
        <x:v>0.48090000000000005</x:v>
      </x:c>
      <x:c r="J99" s="43"/>
      <x:c r="K99" s="31" t="str">
        <x:v>美元</x:v>
      </x:c>
      <x:c r="L99" s="32" t="str">
        <x:v>勞工退休基金-115年6月.pdf</x:v>
      </x:c>
    </x:row>
    <x:row r="100">
      <x:c r="A100" s="37" t="n">
        <x:v>46174</x:v>
      </x:c>
      <x:c r="B100" s="31" t="str">
        <x:v>115年6月</x:v>
      </x:c>
      <x:c r="C100" s="31" t="str">
        <x:v>舊制</x:v>
      </x:c>
      <x:c r="D100" s="31" t="str">
        <x:v>國外</x:v>
      </x:c>
      <x:c r="E100" s="31" t="str">
        <x:v>105-1全球多元資產型(續約)</x:v>
      </x:c>
      <x:c r="F100" s="31" t="str">
        <x:v>JPMorgan（國外）</x:v>
      </x:c>
      <x:c r="G100" s="40" t="n">
        <x:v>594592070</x:v>
      </x:c>
      <x:c r="H100" s="40" t="n">
        <x:v>746373228</x:v>
      </x:c>
      <x:c r="I100" s="43" t="n">
        <x:v>0.2553</x:v>
      </x:c>
      <x:c r="J100" s="43"/>
      <x:c r="K100" s="31" t="str">
        <x:v>美元</x:v>
      </x:c>
      <x:c r="L100" s="32" t="str">
        <x:v>勞工退休基金-115年6月.pdf</x:v>
      </x:c>
    </x:row>
    <x:row r="101">
      <x:c r="A101" s="37" t="n">
        <x:v>46174</x:v>
      </x:c>
      <x:c r="B101" s="31" t="str">
        <x:v>115年6月</x:v>
      </x:c>
      <x:c r="C101" s="31" t="str">
        <x:v>舊制</x:v>
      </x:c>
      <x:c r="D101" s="31" t="str">
        <x:v>國外</x:v>
      </x:c>
      <x:c r="E101" s="31" t="str">
        <x:v>105-1全球多元資產型(續約)</x:v>
      </x:c>
      <x:c r="F101" s="31" t="str">
        <x:v>DWS</x:v>
      </x:c>
      <x:c r="G101" s="40" t="n">
        <x:v>341387682</x:v>
      </x:c>
      <x:c r="H101" s="40" t="n">
        <x:v>442398214</x:v>
      </x:c>
      <x:c r="I101" s="43" t="n">
        <x:v>0.32030000000000003</x:v>
      </x:c>
      <x:c r="J101" s="43"/>
      <x:c r="K101" s="31" t="str">
        <x:v>美元</x:v>
      </x:c>
      <x:c r="L101" s="32" t="str">
        <x:v>勞工退休基金-115年6月.pdf</x:v>
      </x:c>
    </x:row>
    <x:row r="102">
      <x:c r="A102" s="37" t="n">
        <x:v>46174</x:v>
      </x:c>
      <x:c r="B102" s="31" t="str">
        <x:v>115年6月</x:v>
      </x:c>
      <x:c r="C102" s="31" t="str">
        <x:v>舊制</x:v>
      </x:c>
      <x:c r="D102" s="31" t="str">
        <x:v>國外</x:v>
      </x:c>
      <x:c r="E102" s="31" t="str">
        <x:v>105-1全球多元資產型(續約)</x:v>
      </x:c>
      <x:c r="F102" s="31" t="str">
        <x:v>柏瑞</x:v>
      </x:c>
      <x:c r="G102" s="40" t="n">
        <x:v>174823294</x:v>
      </x:c>
      <x:c r="H102" s="40" t="n">
        <x:v>216266708</x:v>
      </x:c>
      <x:c r="I102" s="43" t="n">
        <x:v>0.1881</x:v>
      </x:c>
      <x:c r="J102" s="43"/>
      <x:c r="K102" s="31" t="str">
        <x:v>美元</x:v>
      </x:c>
      <x:c r="L102" s="32" t="str">
        <x:v>勞工退休基金-115年6月.pdf</x:v>
      </x:c>
    </x:row>
    <x:row r="103">
      <x:c r="A103" s="37" t="n">
        <x:v>46174</x:v>
      </x:c>
      <x:c r="B103" s="31" t="str">
        <x:v>115年6月</x:v>
      </x:c>
      <x:c r="C103" s="31" t="str">
        <x:v>舊制</x:v>
      </x:c>
      <x:c r="D103" s="31" t="str">
        <x:v>國外</x:v>
      </x:c>
      <x:c r="E103" s="31" t="str">
        <x:v>106-1全球ESG混合指數被動股票型(續約)</x:v>
      </x:c>
      <x:c r="F103" s="31" t="str">
        <x:v>貝萊德</x:v>
      </x:c>
      <x:c r="G103" s="40" t="n">
        <x:v>127303524</x:v>
      </x:c>
      <x:c r="H103" s="40" t="n">
        <x:v>244150280</x:v>
      </x:c>
      <x:c r="I103" s="43" t="n">
        <x:v>0.9179</x:v>
      </x:c>
      <x:c r="J103" s="43" t="n">
        <x:v>0.9181999999999999</x:v>
      </x:c>
      <x:c r="K103" s="31" t="str">
        <x:v>美元</x:v>
      </x:c>
      <x:c r="L103" s="32" t="str">
        <x:v>勞工退休基金-115年6月.pdf</x:v>
      </x:c>
    </x:row>
    <x:row r="104">
      <x:c r="A104" s="37" t="n">
        <x:v>46174</x:v>
      </x:c>
      <x:c r="B104" s="31" t="str">
        <x:v>115年6月</x:v>
      </x:c>
      <x:c r="C104" s="31" t="str">
        <x:v>舊制</x:v>
      </x:c>
      <x:c r="D104" s="31" t="str">
        <x:v>國外</x:v>
      </x:c>
      <x:c r="E104" s="31" t="str">
        <x:v>106-1全球ESG混合指數被動股票型(續約)</x:v>
      </x:c>
      <x:c r="F104" s="31" t="str">
        <x:v>DWS</x:v>
      </x:c>
      <x:c r="G104" s="40" t="n">
        <x:v>147528441</x:v>
      </x:c>
      <x:c r="H104" s="40" t="n">
        <x:v>289249461</x:v>
      </x:c>
      <x:c r="I104" s="43" t="n">
        <x:v>0.9606</x:v>
      </x:c>
      <x:c r="J104" s="43" t="n">
        <x:v>0.9181999999999999</x:v>
      </x:c>
      <x:c r="K104" s="31" t="str">
        <x:v>美元</x:v>
      </x:c>
      <x:c r="L104" s="32" t="str">
        <x:v>勞工退休基金-115年6月.pdf</x:v>
      </x:c>
    </x:row>
    <x:row r="105">
      <x:c r="A105" s="37" t="n">
        <x:v>46174</x:v>
      </x:c>
      <x:c r="B105" s="31" t="str">
        <x:v>115年6月</x:v>
      </x:c>
      <x:c r="C105" s="31" t="str">
        <x:v>舊制</x:v>
      </x:c>
      <x:c r="D105" s="31" t="str">
        <x:v>國外</x:v>
      </x:c>
      <x:c r="E105" s="31" t="str">
        <x:v>106-1全球ESG混合指數被動股票型(續約)</x:v>
      </x:c>
      <x:c r="F105" s="31" t="str">
        <x:v>道富</x:v>
      </x:c>
      <x:c r="G105" s="40" t="n">
        <x:v>157982595</x:v>
      </x:c>
      <x:c r="H105" s="40" t="n">
        <x:v>309226906</x:v>
      </x:c>
      <x:c r="I105" s="43" t="n">
        <x:v>0.9573</x:v>
      </x:c>
      <x:c r="J105" s="43" t="n">
        <x:v>0.9181999999999999</x:v>
      </x:c>
      <x:c r="K105" s="31" t="str">
        <x:v>美元</x:v>
      </x:c>
      <x:c r="L105" s="32" t="str">
        <x:v>勞工退休基金-115年6月.pdf</x:v>
      </x:c>
    </x:row>
    <x:row r="106">
      <x:c r="A106" s="37" t="n">
        <x:v>46174</x:v>
      </x:c>
      <x:c r="B106" s="31" t="str">
        <x:v>115年6月</x:v>
      </x:c>
      <x:c r="C106" s="31" t="str">
        <x:v>舊制</x:v>
      </x:c>
      <x:c r="D106" s="31" t="str">
        <x:v>國外</x:v>
      </x:c>
      <x:c r="E106" s="31" t="str">
        <x:v>106-1全球ESG混合指數被動股票型(續約)</x:v>
      </x:c>
      <x:c r="F106" s="31" t="str">
        <x:v>北美信託</x:v>
      </x:c>
      <x:c r="G106" s="40" t="n">
        <x:v>158484700</x:v>
      </x:c>
      <x:c r="H106" s="40" t="n">
        <x:v>307546859</x:v>
      </x:c>
      <x:c r="I106" s="43" t="n">
        <x:v>0.9405</x:v>
      </x:c>
      <x:c r="J106" s="43" t="n">
        <x:v>0.9181999999999999</x:v>
      </x:c>
      <x:c r="K106" s="31" t="str">
        <x:v>美元</x:v>
      </x:c>
      <x:c r="L106" s="32" t="str">
        <x:v>勞工退休基金-115年6月.pdf</x:v>
      </x:c>
    </x:row>
    <x:row r="107">
      <x:c r="A107" s="37" t="n">
        <x:v>46174</x:v>
      </x:c>
      <x:c r="B107" s="31" t="str">
        <x:v>115年6月</x:v>
      </x:c>
      <x:c r="C107" s="31" t="str">
        <x:v>舊制</x:v>
      </x:c>
      <x:c r="D107" s="31" t="str">
        <x:v>國外</x:v>
      </x:c>
      <x:c r="E107" s="31" t="str">
        <x:v>106-1絕對報酬債券型(續約)</x:v>
      </x:c>
      <x:c r="F107" s="31" t="str">
        <x:v>American Century</x:v>
      </x:c>
      <x:c r="G107" s="40" t="n">
        <x:v>319635794</x:v>
      </x:c>
      <x:c r="H107" s="40" t="n">
        <x:v>390945769</x:v>
      </x:c>
      <x:c r="I107" s="43" t="n">
        <x:v>0.2231</x:v>
      </x:c>
      <x:c r="J107" s="43"/>
      <x:c r="K107" s="31" t="str">
        <x:v>美元</x:v>
      </x:c>
      <x:c r="L107" s="32" t="str">
        <x:v>勞工退休基金-115年6月.pdf</x:v>
      </x:c>
    </x:row>
    <x:row r="108">
      <x:c r="A108" s="37" t="n">
        <x:v>46174</x:v>
      </x:c>
      <x:c r="B108" s="31" t="str">
        <x:v>115年6月</x:v>
      </x:c>
      <x:c r="C108" s="31" t="str">
        <x:v>舊制</x:v>
      </x:c>
      <x:c r="D108" s="31" t="str">
        <x:v>國外</x:v>
      </x:c>
      <x:c r="E108" s="31" t="str">
        <x:v>106-1絕對報酬債券型(續約)</x:v>
      </x:c>
      <x:c r="F108" s="31" t="str">
        <x:v>富達</x:v>
      </x:c>
      <x:c r="G108" s="40" t="n">
        <x:v>279785344</x:v>
      </x:c>
      <x:c r="H108" s="40" t="n">
        <x:v>361280453</x:v>
      </x:c>
      <x:c r="I108" s="43" t="n">
        <x:v>0.2764</x:v>
      </x:c>
      <x:c r="J108" s="43"/>
      <x:c r="K108" s="31" t="str">
        <x:v>美元</x:v>
      </x:c>
      <x:c r="L108" s="32" t="str">
        <x:v>勞工退休基金-115年6月.pdf</x:v>
      </x:c>
    </x:row>
    <x:row r="109">
      <x:c r="A109" s="37" t="n">
        <x:v>46174</x:v>
      </x:c>
      <x:c r="B109" s="31" t="str">
        <x:v>115年6月</x:v>
      </x:c>
      <x:c r="C109" s="31" t="str">
        <x:v>舊制</x:v>
      </x:c>
      <x:c r="D109" s="31" t="str">
        <x:v>國外</x:v>
      </x:c>
      <x:c r="E109" s="31" t="str">
        <x:v>106-1絕對報酬債券型(續約)</x:v>
      </x:c>
      <x:c r="F109" s="31" t="str">
        <x:v>TCW</x:v>
      </x:c>
      <x:c r="G109" s="40" t="n">
        <x:v>328000470</x:v>
      </x:c>
      <x:c r="H109" s="40" t="n">
        <x:v>408867040</x:v>
      </x:c>
      <x:c r="I109" s="43" t="n">
        <x:v>0.2465</x:v>
      </x:c>
      <x:c r="J109" s="43"/>
      <x:c r="K109" s="31" t="str">
        <x:v>美元</x:v>
      </x:c>
      <x:c r="L109" s="32" t="str">
        <x:v>勞工退休基金-115年6月.pdf</x:v>
      </x:c>
    </x:row>
    <x:row r="110">
      <x:c r="A110" s="37" t="n">
        <x:v>46174</x:v>
      </x:c>
      <x:c r="B110" s="31" t="str">
        <x:v>115年6月</x:v>
      </x:c>
      <x:c r="C110" s="31" t="str">
        <x:v>舊制</x:v>
      </x:c>
      <x:c r="D110" s="31" t="str">
        <x:v>國外</x:v>
      </x:c>
      <x:c r="E110" s="31" t="str">
        <x:v>107-1絕對報酬股票型(續約)</x:v>
      </x:c>
      <x:c r="F110" s="31" t="str">
        <x:v>景順</x:v>
      </x:c>
      <x:c r="G110" s="40" t="n">
        <x:v>116977839</x:v>
      </x:c>
      <x:c r="H110" s="40" t="n">
        <x:v>184334919</x:v>
      </x:c>
      <x:c r="I110" s="43" t="n">
        <x:v>0.5758</x:v>
      </x:c>
      <x:c r="J110" s="43"/>
      <x:c r="K110" s="31" t="str">
        <x:v>美元</x:v>
      </x:c>
      <x:c r="L110" s="32" t="str">
        <x:v>勞工退休基金-115年6月.pdf</x:v>
      </x:c>
    </x:row>
    <x:row r="111">
      <x:c r="A111" s="37" t="n">
        <x:v>46174</x:v>
      </x:c>
      <x:c r="B111" s="31" t="str">
        <x:v>115年6月</x:v>
      </x:c>
      <x:c r="C111" s="31" t="str">
        <x:v>舊制</x:v>
      </x:c>
      <x:c r="D111" s="31" t="str">
        <x:v>國外</x:v>
      </x:c>
      <x:c r="E111" s="31" t="str">
        <x:v>107-1絕對報酬股票型(續約)</x:v>
      </x:c>
      <x:c r="F111" s="31" t="str">
        <x:v>威靈頓</x:v>
      </x:c>
      <x:c r="G111" s="40" t="n">
        <x:v>107476614</x:v>
      </x:c>
      <x:c r="H111" s="40" t="n">
        <x:v>144364581</x:v>
      </x:c>
      <x:c r="I111" s="43" t="n">
        <x:v>0.3432</x:v>
      </x:c>
      <x:c r="J111" s="43"/>
      <x:c r="K111" s="31" t="str">
        <x:v>美元</x:v>
      </x:c>
      <x:c r="L111" s="32" t="str">
        <x:v>勞工退休基金-115年6月.pdf</x:v>
      </x:c>
    </x:row>
    <x:row r="112">
      <x:c r="A112" s="37" t="n">
        <x:v>46174</x:v>
      </x:c>
      <x:c r="B112" s="31" t="str">
        <x:v>115年6月</x:v>
      </x:c>
      <x:c r="C112" s="31" t="str">
        <x:v>舊制</x:v>
      </x:c>
      <x:c r="D112" s="31" t="str">
        <x:v>國外</x:v>
      </x:c>
      <x:c r="E112" s="31" t="str">
        <x:v>107-1絕對報酬股票型(續約)</x:v>
      </x:c>
      <x:c r="F112" s="31" t="str">
        <x:v>CPR</x:v>
      </x:c>
      <x:c r="G112" s="40" t="n">
        <x:v>115110097</x:v>
      </x:c>
      <x:c r="H112" s="40" t="n">
        <x:v>166555642</x:v>
      </x:c>
      <x:c r="I112" s="43" t="n">
        <x:v>0.44689999999999996</x:v>
      </x:c>
      <x:c r="J112" s="43"/>
      <x:c r="K112" s="31" t="str">
        <x:v>美元</x:v>
      </x:c>
      <x:c r="L112" s="32" t="str">
        <x:v>勞工退休基金-115年6月.pdf</x:v>
      </x:c>
    </x:row>
    <x:row r="113">
      <x:c r="A113" s="37" t="n">
        <x:v>46174</x:v>
      </x:c>
      <x:c r="B113" s="31" t="str">
        <x:v>115年6月</x:v>
      </x:c>
      <x:c r="C113" s="31" t="str">
        <x:v>舊制</x:v>
      </x:c>
      <x:c r="D113" s="31" t="str">
        <x:v>國外</x:v>
      </x:c>
      <x:c r="E113" s="31" t="str">
        <x:v>110-1全球基礎建設有價證券型</x:v>
      </x:c>
      <x:c r="F113" s="31" t="str">
        <x:v>CBRE</x:v>
      </x:c>
      <x:c r="G113" s="40" t="n">
        <x:v>60000000</x:v>
      </x:c>
      <x:c r="H113" s="40" t="n">
        <x:v>82674922</x:v>
      </x:c>
      <x:c r="I113" s="43" t="n">
        <x:v>0.3943</x:v>
      </x:c>
      <x:c r="J113" s="43" t="n">
        <x:v>0.39149999999999996</x:v>
      </x:c>
      <x:c r="K113" s="31" t="str">
        <x:v>美元</x:v>
      </x:c>
      <x:c r="L113" s="32" t="str">
        <x:v>勞工退休基金-115年6月.pdf</x:v>
      </x:c>
    </x:row>
    <x:row r="114">
      <x:c r="A114" s="37" t="n">
        <x:v>46174</x:v>
      </x:c>
      <x:c r="B114" s="31" t="str">
        <x:v>115年6月</x:v>
      </x:c>
      <x:c r="C114" s="31" t="str">
        <x:v>舊制</x:v>
      </x:c>
      <x:c r="D114" s="31" t="str">
        <x:v>國外</x:v>
      </x:c>
      <x:c r="E114" s="31" t="str">
        <x:v>110-1全球基礎建設有價證券型</x:v>
      </x:c>
      <x:c r="F114" s="31" t="str">
        <x:v>ClearBridge</x:v>
      </x:c>
      <x:c r="G114" s="40" t="n">
        <x:v>60000000</x:v>
      </x:c>
      <x:c r="H114" s="40" t="n">
        <x:v>90350775</x:v>
      </x:c>
      <x:c r="I114" s="43" t="n">
        <x:v>0.5453</x:v>
      </x:c>
      <x:c r="J114" s="43" t="n">
        <x:v>0.39149999999999996</x:v>
      </x:c>
      <x:c r="K114" s="31" t="str">
        <x:v>美元</x:v>
      </x:c>
      <x:c r="L114" s="32" t="str">
        <x:v>勞工退休基金-115年6月.pdf</x:v>
      </x:c>
    </x:row>
    <x:row r="115">
      <x:c r="A115" s="37" t="n">
        <x:v>46174</x:v>
      </x:c>
      <x:c r="B115" s="31" t="str">
        <x:v>115年6月</x:v>
      </x:c>
      <x:c r="C115" s="31" t="str">
        <x:v>舊制</x:v>
      </x:c>
      <x:c r="D115" s="31" t="str">
        <x:v>國外</x:v>
      </x:c>
      <x:c r="E115" s="31" t="str">
        <x:v>110-1全球基礎建設有價證券型</x:v>
      </x:c>
      <x:c r="F115" s="31" t="str">
        <x:v>Magellan</x:v>
      </x:c>
      <x:c r="G115" s="40" t="n">
        <x:v>60000000</x:v>
      </x:c>
      <x:c r="H115" s="40" t="n">
        <x:v>74789670</x:v>
      </x:c>
      <x:c r="I115" s="43" t="n">
        <x:v>0.3982</x:v>
      </x:c>
      <x:c r="J115" s="43" t="n">
        <x:v>0.39149999999999996</x:v>
      </x:c>
      <x:c r="K115" s="31" t="str">
        <x:v>美元</x:v>
      </x:c>
      <x:c r="L115" s="32" t="str">
        <x:v>勞工退休基金-115年6月.pdf</x:v>
      </x:c>
    </x:row>
    <x:row r="116">
      <x:c r="A116" s="37" t="n">
        <x:v>46174</x:v>
      </x:c>
      <x:c r="B116" s="31" t="str">
        <x:v>115年6月</x:v>
      </x:c>
      <x:c r="C116" s="31" t="str">
        <x:v>舊制</x:v>
      </x:c>
      <x:c r="D116" s="31" t="str">
        <x:v>國外</x:v>
      </x:c>
      <x:c r="E116" s="31" t="str">
        <x:v>110-1全球基礎建設有價證券型</x:v>
      </x:c>
      <x:c r="F116" s="31" t="str">
        <x:v>RREEF</x:v>
      </x:c>
      <x:c r="G116" s="40" t="n">
        <x:v>60000000</x:v>
      </x:c>
      <x:c r="H116" s="40" t="n">
        <x:v>82224651</x:v>
      </x:c>
      <x:c r="I116" s="43" t="n">
        <x:v>0.387</x:v>
      </x:c>
      <x:c r="J116" s="43" t="n">
        <x:v>0.39149999999999996</x:v>
      </x:c>
      <x:c r="K116" s="31" t="str">
        <x:v>美元</x:v>
      </x:c>
      <x:c r="L116" s="32" t="str">
        <x:v>勞工退休基金-115年6月.pdf</x:v>
      </x:c>
    </x:row>
    <x:row r="117">
      <x:c r="A117" s="37" t="n">
        <x:v>46174</x:v>
      </x:c>
      <x:c r="B117" s="31" t="str">
        <x:v>115年6月</x:v>
      </x:c>
      <x:c r="C117" s="31" t="str">
        <x:v>勞工保險</x:v>
      </x:c>
      <x:c r="D117" s="31" t="str">
        <x:v>國外</x:v>
      </x:c>
      <x:c r="E117" s="31" t="str">
        <x:v>100年全球主動股票型(續約2)</x:v>
      </x:c>
      <x:c r="F117" s="31" t="str">
        <x:v>MFS</x:v>
      </x:c>
      <x:c r="G117" s="40" t="n">
        <x:v>946084601</x:v>
      </x:c>
      <x:c r="H117" s="40" t="n">
        <x:v>1169142378</x:v>
      </x:c>
      <x:c r="I117" s="43" t="n">
        <x:v>0.1291</x:v>
      </x:c>
      <x:c r="J117" s="43" t="n">
        <x:v>0.6291</x:v>
      </x:c>
      <x:c r="K117" s="31" t="str">
        <x:v>美元</x:v>
      </x:c>
      <x:c r="L117" s="32" t="str">
        <x:v>勞工保險基金-115年6月.pdf</x:v>
      </x:c>
    </x:row>
    <x:row r="118">
      <x:c r="A118" s="37" t="n">
        <x:v>46174</x:v>
      </x:c>
      <x:c r="B118" s="31" t="str">
        <x:v>115年6月</x:v>
      </x:c>
      <x:c r="C118" s="31" t="str">
        <x:v>勞工保險</x:v>
      </x:c>
      <x:c r="D118" s="31" t="str">
        <x:v>國外</x:v>
      </x:c>
      <x:c r="E118" s="31" t="str">
        <x:v>101年全球新興市場主動債券型(續約2)</x:v>
      </x:c>
      <x:c r="F118" s="31" t="str">
        <x:v>富蘭克林坦伯頓</x:v>
      </x:c>
      <x:c r="G118" s="40" t="n">
        <x:v>274323144</x:v>
      </x:c>
      <x:c r="H118" s="40" t="n">
        <x:v>375820731</x:v>
      </x:c>
      <x:c r="I118" s="43" t="n">
        <x:v>0.37</x:v>
      </x:c>
      <x:c r="J118" s="43" t="n">
        <x:v>0.3799</x:v>
      </x:c>
      <x:c r="K118" s="31" t="str">
        <x:v>美元</x:v>
      </x:c>
      <x:c r="L118" s="32" t="str">
        <x:v>勞工保險基金-115年6月.pdf</x:v>
      </x:c>
    </x:row>
    <x:row r="119">
      <x:c r="A119" s="37" t="n">
        <x:v>46174</x:v>
      </x:c>
      <x:c r="B119" s="31" t="str">
        <x:v>115年6月</x:v>
      </x:c>
      <x:c r="C119" s="31" t="str">
        <x:v>勞工保險</x:v>
      </x:c>
      <x:c r="D119" s="31" t="str">
        <x:v>國外</x:v>
      </x:c>
      <x:c r="E119" s="31" t="str">
        <x:v>104年全球主動債券型(續約3)</x:v>
      </x:c>
      <x:c r="F119" s="31" t="str">
        <x:v>威靈頓</x:v>
      </x:c>
      <x:c r="G119" s="40" t="n">
        <x:v>314964360</x:v>
      </x:c>
      <x:c r="H119" s="40" t="n">
        <x:v>340158477</x:v>
      </x:c>
      <x:c r="I119" s="43" t="n">
        <x:v>0.08</x:v>
      </x:c>
      <x:c r="J119" s="43" t="n">
        <x:v>0.0708</x:v>
      </x:c>
      <x:c r="K119" s="31" t="str">
        <x:v>美元</x:v>
      </x:c>
      <x:c r="L119" s="32" t="str">
        <x:v>勞工保險基金-115年6月.pdf</x:v>
      </x:c>
    </x:row>
    <x:row r="120">
      <x:c r="A120" s="37" t="n">
        <x:v>46174</x:v>
      </x:c>
      <x:c r="B120" s="31" t="str">
        <x:v>115年6月</x:v>
      </x:c>
      <x:c r="C120" s="31" t="str">
        <x:v>勞工保險</x:v>
      </x:c>
      <x:c r="D120" s="31" t="str">
        <x:v>國外</x:v>
      </x:c>
      <x:c r="E120" s="31" t="str">
        <x:v>104年全球主動債券型(續約3)</x:v>
      </x:c>
      <x:c r="F120" s="31" t="str">
        <x:v>PIMCO</x:v>
      </x:c>
      <x:c r="G120" s="40" t="n">
        <x:v>1151650255</x:v>
      </x:c>
      <x:c r="H120" s="40" t="n">
        <x:v>1226408330</x:v>
      </x:c>
      <x:c r="I120" s="43" t="n">
        <x:v>0.0775</x:v>
      </x:c>
      <x:c r="J120" s="43" t="n">
        <x:v>0.0708</x:v>
      </x:c>
      <x:c r="K120" s="31" t="str">
        <x:v>美元</x:v>
      </x:c>
      <x:c r="L120" s="32" t="str">
        <x:v>勞工保險基金-115年6月.pdf</x:v>
      </x:c>
    </x:row>
    <x:row r="121">
      <x:c r="A121" s="37" t="n">
        <x:v>46174</x:v>
      </x:c>
      <x:c r="B121" s="31" t="str">
        <x:v>115年6月</x:v>
      </x:c>
      <x:c r="C121" s="31" t="str">
        <x:v>勞工保險</x:v>
      </x:c>
      <x:c r="D121" s="31" t="str">
        <x:v>國外</x:v>
      </x:c>
      <x:c r="E121" s="31" t="str">
        <x:v>104-1全球高品質被動股票型(續約2)</x:v>
      </x:c>
      <x:c r="F121" s="31" t="str">
        <x:v>北美信託</x:v>
      </x:c>
      <x:c r="G121" s="40" t="n">
        <x:v>823846300</x:v>
      </x:c>
      <x:c r="H121" s="40" t="n">
        <x:v>1015854267</x:v>
      </x:c>
      <x:c r="I121" s="43" t="n">
        <x:v>0.23420000000000002</x:v>
      </x:c>
      <x:c r="J121" s="43" t="n">
        <x:v>0.2305</x:v>
      </x:c>
      <x:c r="K121" s="31" t="str">
        <x:v>美元</x:v>
      </x:c>
      <x:c r="L121" s="32" t="str">
        <x:v>勞工保險基金-115年6月.pdf</x:v>
      </x:c>
    </x:row>
    <x:row r="122">
      <x:c r="A122" s="37" t="n">
        <x:v>46174</x:v>
      </x:c>
      <x:c r="B122" s="31" t="str">
        <x:v>115年6月</x:v>
      </x:c>
      <x:c r="C122" s="31" t="str">
        <x:v>勞工保險</x:v>
      </x:c>
      <x:c r="D122" s="31" t="str">
        <x:v>國外</x:v>
      </x:c>
      <x:c r="E122" s="31" t="str">
        <x:v>104-1全球高品質被動股票型(續約2)</x:v>
      </x:c>
      <x:c r="F122" s="31" t="str">
        <x:v>L&amp;G</x:v>
      </x:c>
      <x:c r="G122" s="40" t="n">
        <x:v>820369757</x:v>
      </x:c>
      <x:c r="H122" s="40" t="n">
        <x:v>1003188508</x:v>
      </x:c>
      <x:c r="I122" s="43" t="n">
        <x:v>0.22399999999999998</x:v>
      </x:c>
      <x:c r="J122" s="43" t="n">
        <x:v>0.2305</x:v>
      </x:c>
      <x:c r="K122" s="31" t="str">
        <x:v>美元</x:v>
      </x:c>
      <x:c r="L122" s="32" t="str">
        <x:v>勞工保險基金-115年6月.pdf</x:v>
      </x:c>
    </x:row>
    <x:row r="123">
      <x:c r="A123" s="37" t="n">
        <x:v>46174</x:v>
      </x:c>
      <x:c r="B123" s="31" t="str">
        <x:v>115年6月</x:v>
      </x:c>
      <x:c r="C123" s="31" t="str">
        <x:v>勞工保險</x:v>
      </x:c>
      <x:c r="D123" s="31" t="str">
        <x:v>國外</x:v>
      </x:c>
      <x:c r="E123" s="31" t="str">
        <x:v>104-1全球高品質被動股票型(續約2)</x:v>
      </x:c>
      <x:c r="F123" s="31" t="str">
        <x:v>Geode</x:v>
      </x:c>
      <x:c r="G123" s="40" t="n">
        <x:v>822731626</x:v>
      </x:c>
      <x:c r="H123" s="40" t="n">
        <x:v>1011728502</x:v>
      </x:c>
      <x:c r="I123" s="43" t="n">
        <x:v>0.23079999999999998</x:v>
      </x:c>
      <x:c r="J123" s="43" t="n">
        <x:v>0.2305</x:v>
      </x:c>
      <x:c r="K123" s="31" t="str">
        <x:v>美元</x:v>
      </x:c>
      <x:c r="L123" s="32" t="str">
        <x:v>勞工保險基金-115年6月.pdf</x:v>
      </x:c>
    </x:row>
    <x:row r="124">
      <x:c r="A124" s="37" t="n">
        <x:v>46174</x:v>
      </x:c>
      <x:c r="B124" s="31" t="str">
        <x:v>115年6月</x:v>
      </x:c>
      <x:c r="C124" s="31" t="str">
        <x:v>勞工保險</x:v>
      </x:c>
      <x:c r="D124" s="31" t="str">
        <x:v>國外</x:v>
      </x:c>
      <x:c r="E124" s="31" t="str">
        <x:v>104-2全球基礎建設有價證券型(續約2)</x:v>
      </x:c>
      <x:c r="F124" s="31" t="str">
        <x:v>Nomura</x:v>
      </x:c>
      <x:c r="G124" s="40" t="n">
        <x:v>425389351</x:v>
      </x:c>
      <x:c r="H124" s="40" t="n">
        <x:v>465806981</x:v>
      </x:c>
      <x:c r="I124" s="43" t="n">
        <x:v>0.095</x:v>
      </x:c>
      <x:c r="J124" s="43" t="n">
        <x:v>0.1182</x:v>
      </x:c>
      <x:c r="K124" s="31" t="str">
        <x:v>美元</x:v>
      </x:c>
      <x:c r="L124" s="32" t="str">
        <x:v>勞工保險基金-115年6月.pdf</x:v>
      </x:c>
    </x:row>
    <x:row r="125">
      <x:c r="A125" s="37" t="n">
        <x:v>46174</x:v>
      </x:c>
      <x:c r="B125" s="31" t="str">
        <x:v>115年6月</x:v>
      </x:c>
      <x:c r="C125" s="31" t="str">
        <x:v>勞工保險</x:v>
      </x:c>
      <x:c r="D125" s="31" t="str">
        <x:v>國外</x:v>
      </x:c>
      <x:c r="E125" s="31" t="str">
        <x:v>104-2全球基礎建設有價證券型(續約2)</x:v>
      </x:c>
      <x:c r="F125" s="31" t="str">
        <x:v>Magellan</x:v>
      </x:c>
      <x:c r="G125" s="40" t="n">
        <x:v>508571279</x:v>
      </x:c>
      <x:c r="H125" s="40" t="n">
        <x:v>576500239</x:v>
      </x:c>
      <x:c r="I125" s="43" t="n">
        <x:v>0.1336</x:v>
      </x:c>
      <x:c r="J125" s="43" t="n">
        <x:v>0.1182</x:v>
      </x:c>
      <x:c r="K125" s="31" t="str">
        <x:v>美元</x:v>
      </x:c>
      <x:c r="L125" s="32" t="str">
        <x:v>勞工保險基金-115年6月.pdf</x:v>
      </x:c>
    </x:row>
    <x:row r="126">
      <x:c r="A126" s="37" t="n">
        <x:v>46174</x:v>
      </x:c>
      <x:c r="B126" s="31" t="str">
        <x:v>115年6月</x:v>
      </x:c>
      <x:c r="C126" s="31" t="str">
        <x:v>勞工保險</x:v>
      </x:c>
      <x:c r="D126" s="31" t="str">
        <x:v>國外</x:v>
      </x:c>
      <x:c r="E126" s="31" t="str">
        <x:v>104-2全球基礎建設有價證券型(續約2)</x:v>
      </x:c>
      <x:c r="F126" s="31" t="str">
        <x:v>RREEF</x:v>
      </x:c>
      <x:c r="G126" s="40" t="n">
        <x:v>464478952</x:v>
      </x:c>
      <x:c r="H126" s="40" t="n">
        <x:v>511437288</x:v>
      </x:c>
      <x:c r="I126" s="43" t="n">
        <x:v>0.1011</x:v>
      </x:c>
      <x:c r="J126" s="43" t="n">
        <x:v>0.1182</x:v>
      </x:c>
      <x:c r="K126" s="31" t="str">
        <x:v>美元</x:v>
      </x:c>
      <x:c r="L126" s="32" t="str">
        <x:v>勞工保險基金-115年6月.pdf</x:v>
      </x:c>
    </x:row>
    <x:row r="127">
      <x:c r="A127" s="37" t="n">
        <x:v>46174</x:v>
      </x:c>
      <x:c r="B127" s="31" t="str">
        <x:v>115年6月</x:v>
      </x:c>
      <x:c r="C127" s="31" t="str">
        <x:v>勞工保險</x:v>
      </x:c>
      <x:c r="D127" s="31" t="str">
        <x:v>國外</x:v>
      </x:c>
      <x:c r="E127" s="31" t="str">
        <x:v>104-2全球不動產有價證券型(續約2)</x:v>
      </x:c>
      <x:c r="F127" s="31" t="str">
        <x:v>CBRE</x:v>
      </x:c>
      <x:c r="G127" s="40" t="n">
        <x:v>627191291</x:v>
      </x:c>
      <x:c r="H127" s="40" t="n">
        <x:v>696396775</x:v>
      </x:c>
      <x:c r="I127" s="43" t="n">
        <x:v>0.1103</x:v>
      </x:c>
      <x:c r="J127" s="43" t="n">
        <x:v>0.1013</x:v>
      </x:c>
      <x:c r="K127" s="31" t="str">
        <x:v>美元</x:v>
      </x:c>
      <x:c r="L127" s="32" t="str">
        <x:v>勞工保險基金-115年6月.pdf</x:v>
      </x:c>
    </x:row>
    <x:row r="128">
      <x:c r="A128" s="37" t="n">
        <x:v>46174</x:v>
      </x:c>
      <x:c r="B128" s="31" t="str">
        <x:v>115年6月</x:v>
      </x:c>
      <x:c r="C128" s="31" t="str">
        <x:v>勞工保險</x:v>
      </x:c>
      <x:c r="D128" s="31" t="str">
        <x:v>國外</x:v>
      </x:c>
      <x:c r="E128" s="31" t="str">
        <x:v>104-2全球不動產有價證券型(續約2)</x:v>
      </x:c>
      <x:c r="F128" s="31" t="str">
        <x:v>信安環球</x:v>
      </x:c>
      <x:c r="G128" s="40" t="n">
        <x:v>425091462</x:v>
      </x:c>
      <x:c r="H128" s="40" t="n">
        <x:v>467549834</x:v>
      </x:c>
      <x:c r="I128" s="43" t="n">
        <x:v>0.0999</x:v>
      </x:c>
      <x:c r="J128" s="43" t="n">
        <x:v>0.1013</x:v>
      </x:c>
      <x:c r="K128" s="31" t="str">
        <x:v>美元</x:v>
      </x:c>
      <x:c r="L128" s="32" t="str">
        <x:v>勞工保險基金-115年6月.pdf</x:v>
      </x:c>
    </x:row>
    <x:row r="129">
      <x:c r="A129" s="37" t="n">
        <x:v>46174</x:v>
      </x:c>
      <x:c r="B129" s="31" t="str">
        <x:v>115年6月</x:v>
      </x:c>
      <x:c r="C129" s="31" t="str">
        <x:v>勞工保險</x:v>
      </x:c>
      <x:c r="D129" s="31" t="str">
        <x:v>國外</x:v>
      </x:c>
      <x:c r="E129" s="31" t="str">
        <x:v>105-1全球多元資產型(續約)</x:v>
      </x:c>
      <x:c r="F129" s="31" t="str">
        <x:v>JPMorgan（國外）</x:v>
      </x:c>
      <x:c r="G129" s="40" t="n">
        <x:v>426766888</x:v>
      </x:c>
      <x:c r="H129" s="40" t="n">
        <x:v>534717371</x:v>
      </x:c>
      <x:c r="I129" s="43" t="n">
        <x:v>0.2529</x:v>
      </x:c>
      <x:c r="J129" s="43"/>
      <x:c r="K129" s="31" t="str">
        <x:v>美元</x:v>
      </x:c>
      <x:c r="L129" s="32" t="str">
        <x:v>勞工保險基金-115年6月.pdf</x:v>
      </x:c>
    </x:row>
    <x:row r="130">
      <x:c r="A130" s="37" t="n">
        <x:v>46174</x:v>
      </x:c>
      <x:c r="B130" s="31" t="str">
        <x:v>115年6月</x:v>
      </x:c>
      <x:c r="C130" s="31" t="str">
        <x:v>勞工保險</x:v>
      </x:c>
      <x:c r="D130" s="31" t="str">
        <x:v>國外</x:v>
      </x:c>
      <x:c r="E130" s="31" t="str">
        <x:v>105-1全球多元資產型(續約)</x:v>
      </x:c>
      <x:c r="F130" s="31" t="str">
        <x:v>DWS</x:v>
      </x:c>
      <x:c r="G130" s="40" t="n">
        <x:v>356338853</x:v>
      </x:c>
      <x:c r="H130" s="40" t="n">
        <x:v>461631869</x:v>
      </x:c>
      <x:c r="I130" s="43" t="n">
        <x:v>0.3187</x:v>
      </x:c>
      <x:c r="J130" s="43"/>
      <x:c r="K130" s="31" t="str">
        <x:v>美元</x:v>
      </x:c>
      <x:c r="L130" s="32" t="str">
        <x:v>勞工保險基金-115年6月.pdf</x:v>
      </x:c>
    </x:row>
    <x:row r="131">
      <x:c r="A131" s="37" t="n">
        <x:v>46174</x:v>
      </x:c>
      <x:c r="B131" s="31" t="str">
        <x:v>115年6月</x:v>
      </x:c>
      <x:c r="C131" s="31" t="str">
        <x:v>勞工保險</x:v>
      </x:c>
      <x:c r="D131" s="31" t="str">
        <x:v>國外</x:v>
      </x:c>
      <x:c r="E131" s="31" t="str">
        <x:v>105-1亞太混合指數增值股票型(續約)</x:v>
      </x:c>
      <x:c r="F131" s="31" t="str">
        <x:v>貝萊德</x:v>
      </x:c>
      <x:c r="G131" s="40" t="n">
        <x:v>151969815</x:v>
      </x:c>
      <x:c r="H131" s="40" t="n">
        <x:v>276713571</x:v>
      </x:c>
      <x:c r="I131" s="43" t="n">
        <x:v>0.8208</x:v>
      </x:c>
      <x:c r="J131" s="43" t="n">
        <x:v>0.7368000000000001</x:v>
      </x:c>
      <x:c r="K131" s="31" t="str">
        <x:v>美元</x:v>
      </x:c>
      <x:c r="L131" s="32" t="str">
        <x:v>勞工保險基金-115年6月.pdf</x:v>
      </x:c>
    </x:row>
    <x:row r="132">
      <x:c r="A132" s="37" t="n">
        <x:v>46174</x:v>
      </x:c>
      <x:c r="B132" s="31" t="str">
        <x:v>115年6月</x:v>
      </x:c>
      <x:c r="C132" s="31" t="str">
        <x:v>勞工保險</x:v>
      </x:c>
      <x:c r="D132" s="31" t="str">
        <x:v>國外</x:v>
      </x:c>
      <x:c r="E132" s="31" t="str">
        <x:v>106-1絕對報酬債券型(續約)</x:v>
      </x:c>
      <x:c r="F132" s="31" t="str">
        <x:v>American Century</x:v>
      </x:c>
      <x:c r="G132" s="40" t="n">
        <x:v>105992843</x:v>
      </x:c>
      <x:c r="H132" s="40" t="n">
        <x:v>129701554</x:v>
      </x:c>
      <x:c r="I132" s="43" t="n">
        <x:v>0.2237</x:v>
      </x:c>
      <x:c r="J132" s="43"/>
      <x:c r="K132" s="31" t="str">
        <x:v>美元</x:v>
      </x:c>
      <x:c r="L132" s="32" t="str">
        <x:v>勞工保險基金-115年6月.pdf</x:v>
      </x:c>
    </x:row>
    <x:row r="133">
      <x:c r="A133" s="37" t="n">
        <x:v>46174</x:v>
      </x:c>
      <x:c r="B133" s="31" t="str">
        <x:v>115年6月</x:v>
      </x:c>
      <x:c r="C133" s="31" t="str">
        <x:v>勞工保險</x:v>
      </x:c>
      <x:c r="D133" s="31" t="str">
        <x:v>國外</x:v>
      </x:c>
      <x:c r="E133" s="31" t="str">
        <x:v>106-1絕對報酬債券型(續約)</x:v>
      </x:c>
      <x:c r="F133" s="31" t="str">
        <x:v>富達</x:v>
      </x:c>
      <x:c r="G133" s="40" t="n">
        <x:v>258094745</x:v>
      </x:c>
      <x:c r="H133" s="40" t="n">
        <x:v>333220326</x:v>
      </x:c>
      <x:c r="I133" s="43" t="n">
        <x:v>0.2751</x:v>
      </x:c>
      <x:c r="J133" s="43"/>
      <x:c r="K133" s="31" t="str">
        <x:v>美元</x:v>
      </x:c>
      <x:c r="L133" s="32" t="str">
        <x:v>勞工保險基金-115年6月.pdf</x:v>
      </x:c>
    </x:row>
    <x:row r="134">
      <x:c r="A134" s="37" t="n">
        <x:v>46174</x:v>
      </x:c>
      <x:c r="B134" s="31" t="str">
        <x:v>115年6月</x:v>
      </x:c>
      <x:c r="C134" s="31" t="str">
        <x:v>勞工保險</x:v>
      </x:c>
      <x:c r="D134" s="31" t="str">
        <x:v>國外</x:v>
      </x:c>
      <x:c r="E134" s="31" t="str">
        <x:v>106-1絕對報酬債券型(續約)</x:v>
      </x:c>
      <x:c r="F134" s="31" t="str">
        <x:v>TCW</x:v>
      </x:c>
      <x:c r="G134" s="40" t="n">
        <x:v>299312934</x:v>
      </x:c>
      <x:c r="H134" s="40" t="n">
        <x:v>373078137</x:v>
      </x:c>
      <x:c r="I134" s="43" t="n">
        <x:v>0.2464</x:v>
      </x:c>
      <x:c r="J134" s="43"/>
      <x:c r="K134" s="31" t="str">
        <x:v>美元</x:v>
      </x:c>
      <x:c r="L134" s="32" t="str">
        <x:v>勞工保險基金-115年6月.pdf</x:v>
      </x:c>
    </x:row>
    <x:row r="135">
      <x:c r="A135" s="37" t="n">
        <x:v>46174</x:v>
      </x:c>
      <x:c r="B135" s="31" t="str">
        <x:v>115年6月</x:v>
      </x:c>
      <x:c r="C135" s="31" t="str">
        <x:v>國民年金</x:v>
      </x:c>
      <x:c r="D135" s="31" t="str">
        <x:v>國外</x:v>
      </x:c>
      <x:c r="E135" s="31" t="str">
        <x:v>104-1全球高品質被動股票型(續約2)</x:v>
      </x:c>
      <x:c r="F135" s="31" t="str">
        <x:v>北美信託</x:v>
      </x:c>
      <x:c r="G135" s="40" t="n">
        <x:v>510820499</x:v>
      </x:c>
      <x:c r="H135" s="40" t="n">
        <x:v>630545983</x:v>
      </x:c>
      <x:c r="I135" s="43" t="n">
        <x:v>0.23440000000000003</x:v>
      </x:c>
      <x:c r="J135" s="43" t="n">
        <x:v>0.2305</x:v>
      </x:c>
      <x:c r="K135" s="31" t="str">
        <x:v>美元</x:v>
      </x:c>
      <x:c r="L135" s="32" t="str">
        <x:v>國民年金保險基金-115年6月.pdf</x:v>
      </x:c>
    </x:row>
    <x:row r="136">
      <x:c r="A136" s="37" t="n">
        <x:v>46174</x:v>
      </x:c>
      <x:c r="B136" s="31" t="str">
        <x:v>115年6月</x:v>
      </x:c>
      <x:c r="C136" s="31" t="str">
        <x:v>國民年金</x:v>
      </x:c>
      <x:c r="D136" s="31" t="str">
        <x:v>國外</x:v>
      </x:c>
      <x:c r="E136" s="31" t="str">
        <x:v>104-1全球高品質被動股票型(續約2)</x:v>
      </x:c>
      <x:c r="F136" s="31" t="str">
        <x:v>L&amp;G</x:v>
      </x:c>
      <x:c r="G136" s="40" t="n">
        <x:v>508402028</x:v>
      </x:c>
      <x:c r="H136" s="40" t="n">
        <x:v>622185342</x:v>
      </x:c>
      <x:c r="I136" s="43" t="n">
        <x:v>0.2238</x:v>
      </x:c>
      <x:c r="J136" s="43" t="n">
        <x:v>0.2305</x:v>
      </x:c>
      <x:c r="K136" s="31" t="str">
        <x:v>美元</x:v>
      </x:c>
      <x:c r="L136" s="32" t="str">
        <x:v>國民年金保險基金-115年6月.pdf</x:v>
      </x:c>
    </x:row>
    <x:row r="137">
      <x:c r="A137" s="37" t="n">
        <x:v>46174</x:v>
      </x:c>
      <x:c r="B137" s="31" t="str">
        <x:v>115年6月</x:v>
      </x:c>
      <x:c r="C137" s="31" t="str">
        <x:v>國民年金</x:v>
      </x:c>
      <x:c r="D137" s="31" t="str">
        <x:v>國外</x:v>
      </x:c>
      <x:c r="E137" s="31" t="str">
        <x:v>104-2全球不動產有價證券型(續約2)</x:v>
      </x:c>
      <x:c r="F137" s="31" t="str">
        <x:v>CBRE</x:v>
      </x:c>
      <x:c r="G137" s="40" t="n">
        <x:v>378735074</x:v>
      </x:c>
      <x:c r="H137" s="40" t="n">
        <x:v>419989262</x:v>
      </x:c>
      <x:c r="I137" s="43" t="n">
        <x:v>0.11019999999999999</x:v>
      </x:c>
      <x:c r="J137" s="43" t="n">
        <x:v>0.1013</x:v>
      </x:c>
      <x:c r="K137" s="31" t="str">
        <x:v>美元</x:v>
      </x:c>
      <x:c r="L137" s="32" t="str">
        <x:v>國民年金保險基金-115年6月.pdf</x:v>
      </x:c>
    </x:row>
    <x:row r="138">
      <x:c r="A138" s="37" t="n">
        <x:v>46174</x:v>
      </x:c>
      <x:c r="B138" s="31" t="str">
        <x:v>115年6月</x:v>
      </x:c>
      <x:c r="C138" s="31" t="str">
        <x:v>國民年金</x:v>
      </x:c>
      <x:c r="D138" s="31" t="str">
        <x:v>國外</x:v>
      </x:c>
      <x:c r="E138" s="31" t="str">
        <x:v>104-1全球主權信用增值債券型(續約2)</x:v>
      </x:c>
      <x:c r="F138" s="31" t="str">
        <x:v>盧米斯</x:v>
      </x:c>
      <x:c r="G138" s="40" t="n">
        <x:v>339081835</x:v>
      </x:c>
      <x:c r="H138" s="40" t="n">
        <x:v>333967279</x:v>
      </x:c>
      <x:c r="I138" s="43" t="n">
        <x:v>-0.0151</x:v>
      </x:c>
      <x:c r="J138" s="43" t="n">
        <x:v>-0.019799999999999998</x:v>
      </x:c>
      <x:c r="K138" s="31" t="str">
        <x:v>美元</x:v>
      </x:c>
      <x:c r="L138" s="32" t="str">
        <x:v>國民年金保險基金-115年6月.pdf</x:v>
      </x:c>
    </x:row>
    <x:row r="139">
      <x:c r="A139" s="37" t="n">
        <x:v>46174</x:v>
      </x:c>
      <x:c r="B139" s="31" t="str">
        <x:v>115年6月</x:v>
      </x:c>
      <x:c r="C139" s="31" t="str">
        <x:v>國民年金</x:v>
      </x:c>
      <x:c r="D139" s="31" t="str">
        <x:v>國外</x:v>
      </x:c>
      <x:c r="E139" s="31" t="str">
        <x:v>105-1亞太混合指數增值股票型(續約)</x:v>
      </x:c>
      <x:c r="F139" s="31" t="str">
        <x:v>貝萊德</x:v>
      </x:c>
      <x:c r="G139" s="40" t="n">
        <x:v>151227051</x:v>
      </x:c>
      <x:c r="H139" s="40" t="n">
        <x:v>274997024</x:v>
      </x:c>
      <x:c r="I139" s="43" t="n">
        <x:v>0.8184</x:v>
      </x:c>
      <x:c r="J139" s="43" t="n">
        <x:v>0.7368000000000001</x:v>
      </x:c>
      <x:c r="K139" s="31" t="str">
        <x:v>美元</x:v>
      </x:c>
      <x:c r="L139" s="32" t="str">
        <x:v>國民年金保險基金-115年6月.pdf</x:v>
      </x:c>
    </x:row>
    <x:row r="140">
      <x:c r="A140" s="37" t="n">
        <x:v>46174</x:v>
      </x:c>
      <x:c r="B140" s="31" t="str">
        <x:v>115年6月</x:v>
      </x:c>
      <x:c r="C140" s="31" t="str">
        <x:v>國民年金</x:v>
      </x:c>
      <x:c r="D140" s="31" t="str">
        <x:v>國外</x:v>
      </x:c>
      <x:c r="E140" s="31" t="str">
        <x:v>106-1全球ESG混合指數被動股票型(續約)</x:v>
      </x:c>
      <x:c r="F140" s="31" t="str">
        <x:v>貝萊德</x:v>
      </x:c>
      <x:c r="G140" s="40" t="n">
        <x:v>159277445</x:v>
      </x:c>
      <x:c r="H140" s="40" t="n">
        <x:v>306168404</x:v>
      </x:c>
      <x:c r="I140" s="43" t="n">
        <x:v>0.9222</x:v>
      </x:c>
      <x:c r="J140" s="43" t="n">
        <x:v>0.9181999999999999</x:v>
      </x:c>
      <x:c r="K140" s="31" t="str">
        <x:v>美元</x:v>
      </x:c>
      <x:c r="L140" s="32" t="str">
        <x:v>國民年金保險基金-115年6月.pdf</x:v>
      </x:c>
    </x:row>
    <x:row r="141">
      <x:c r="A141" s="37" t="n">
        <x:v>46174</x:v>
      </x:c>
      <x:c r="B141" s="31" t="str">
        <x:v>115年6月</x:v>
      </x:c>
      <x:c r="C141" s="31" t="str">
        <x:v>國民年金</x:v>
      </x:c>
      <x:c r="D141" s="31" t="str">
        <x:v>國外</x:v>
      </x:c>
      <x:c r="E141" s="31" t="str">
        <x:v>106-1全球ESG混合指數被動股票型(續約)</x:v>
      </x:c>
      <x:c r="F141" s="31" t="str">
        <x:v>DWS</x:v>
      </x:c>
      <x:c r="G141" s="40" t="n">
        <x:v>159101214</x:v>
      </x:c>
      <x:c r="H141" s="40" t="n">
        <x:v>311826973</x:v>
      </x:c>
      <x:c r="I141" s="43" t="n">
        <x:v>0.9599</x:v>
      </x:c>
      <x:c r="J141" s="43" t="n">
        <x:v>0.9181999999999999</x:v>
      </x:c>
      <x:c r="K141" s="31" t="str">
        <x:v>美元</x:v>
      </x:c>
      <x:c r="L141" s="32" t="str">
        <x:v>國民年金保險基金-115年6月.pdf</x:v>
      </x:c>
    </x:row>
    <x:row r="142">
      <x:c r="A142" s="37" t="n">
        <x:v>46174</x:v>
      </x:c>
      <x:c r="B142" s="31" t="str">
        <x:v>115年6月</x:v>
      </x:c>
      <x:c r="C142" s="31" t="str">
        <x:v>國民年金</x:v>
      </x:c>
      <x:c r="D142" s="31" t="str">
        <x:v>國外</x:v>
      </x:c>
      <x:c r="E142" s="31" t="str">
        <x:v>106-1全球ESG混合指數被動股票型(續約)</x:v>
      </x:c>
      <x:c r="F142" s="31" t="str">
        <x:v>道富</x:v>
      </x:c>
      <x:c r="G142" s="40" t="n">
        <x:v>159382615</x:v>
      </x:c>
      <x:c r="H142" s="40" t="n">
        <x:v>312073795</x:v>
      </x:c>
      <x:c r="I142" s="43" t="n">
        <x:v>0.958</x:v>
      </x:c>
      <x:c r="J142" s="43" t="n">
        <x:v>0.9181999999999999</x:v>
      </x:c>
      <x:c r="K142" s="31" t="str">
        <x:v>美元</x:v>
      </x:c>
      <x:c r="L142" s="32" t="str">
        <x:v>國民年金保險基金-115年6月.pdf</x:v>
      </x:c>
    </x:row>
    <x:row r="143">
      <x:c r="A143" s="37" t="n">
        <x:v>46174</x:v>
      </x:c>
      <x:c r="B143" s="31" t="str">
        <x:v>115年6月</x:v>
      </x:c>
      <x:c r="C143" s="31" t="str">
        <x:v>國民年金</x:v>
      </x:c>
      <x:c r="D143" s="31" t="str">
        <x:v>國外</x:v>
      </x:c>
      <x:c r="E143" s="31" t="str">
        <x:v>106-1全球ESG混合指數被動股票型(續約)</x:v>
      </x:c>
      <x:c r="F143" s="31" t="str">
        <x:v>北美信託</x:v>
      </x:c>
      <x:c r="G143" s="40" t="n">
        <x:v>159708987</x:v>
      </x:c>
      <x:c r="H143" s="40" t="n">
        <x:v>310633245</x:v>
      </x:c>
      <x:c r="I143" s="43" t="n">
        <x:v>0.945</x:v>
      </x:c>
      <x:c r="J143" s="43" t="n">
        <x:v>0.9181999999999999</x:v>
      </x:c>
      <x:c r="K143" s="31" t="str">
        <x:v>美元</x:v>
      </x:c>
      <x:c r="L143" s="32" t="str">
        <x:v>國民年金保險基金-115年6月.pdf</x:v>
      </x:c>
    </x:row>
    <x:row r="144">
      <x:c r="A144" s="37" t="n">
        <x:v>46174</x:v>
      </x:c>
      <x:c r="B144" s="31" t="str">
        <x:v>115年6月</x:v>
      </x:c>
      <x:c r="C144" s="31" t="str">
        <x:v>國民年金</x:v>
      </x:c>
      <x:c r="D144" s="31" t="str">
        <x:v>國外</x:v>
      </x:c>
      <x:c r="E144" s="31" t="str">
        <x:v>106-1絕對報酬債券型(續約)</x:v>
      </x:c>
      <x:c r="F144" s="31" t="str">
        <x:v>American Century</x:v>
      </x:c>
      <x:c r="G144" s="40" t="n">
        <x:v>106848757</x:v>
      </x:c>
      <x:c r="H144" s="40" t="n">
        <x:v>130738321</x:v>
      </x:c>
      <x:c r="I144" s="43" t="n">
        <x:v>0.2236</x:v>
      </x:c>
      <x:c r="J144" s="43"/>
      <x:c r="K144" s="31" t="str">
        <x:v>美元</x:v>
      </x:c>
      <x:c r="L144" s="32" t="str">
        <x:v>國民年金保險基金-115年6月.pdf</x:v>
      </x:c>
    </x:row>
    <x:row r="145">
      <x:c r="A145" s="37" t="n">
        <x:v>46174</x:v>
      </x:c>
      <x:c r="B145" s="31" t="str">
        <x:v>115年6月</x:v>
      </x:c>
      <x:c r="C145" s="31" t="str">
        <x:v>國民年金</x:v>
      </x:c>
      <x:c r="D145" s="31" t="str">
        <x:v>國外</x:v>
      </x:c>
      <x:c r="E145" s="31" t="str">
        <x:v>106-1絕對報酬債券型(續約)</x:v>
      </x:c>
      <x:c r="F145" s="31" t="str">
        <x:v>富達</x:v>
      </x:c>
      <x:c r="G145" s="40" t="n">
        <x:v>134102607</x:v>
      </x:c>
      <x:c r="H145" s="40" t="n">
        <x:v>174360065</x:v>
      </x:c>
      <x:c r="I145" s="43" t="n">
        <x:v>0.2841</x:v>
      </x:c>
      <x:c r="J145" s="43"/>
      <x:c r="K145" s="31" t="str">
        <x:v>美元</x:v>
      </x:c>
      <x:c r="L145" s="32" t="str">
        <x:v>國民年金保險基金-115年6月.pdf</x:v>
      </x:c>
    </x:row>
    <x:row r="146">
      <x:c r="A146" s="37" t="n">
        <x:v>46174</x:v>
      </x:c>
      <x:c r="B146" s="31" t="str">
        <x:v>115年6月</x:v>
      </x:c>
      <x:c r="C146" s="31" t="str">
        <x:v>國民年金</x:v>
      </x:c>
      <x:c r="D146" s="31" t="str">
        <x:v>國外</x:v>
      </x:c>
      <x:c r="E146" s="31" t="str">
        <x:v>106-1絕對報酬債券型(續約)</x:v>
      </x:c>
      <x:c r="F146" s="31" t="str">
        <x:v>TCW</x:v>
      </x:c>
      <x:c r="G146" s="40" t="n">
        <x:v>257027478</x:v>
      </x:c>
      <x:c r="H146" s="40" t="n">
        <x:v>319402813</x:v>
      </x:c>
      <x:c r="I146" s="43" t="n">
        <x:v>0.2427</x:v>
      </x:c>
      <x:c r="J146" s="43"/>
      <x:c r="K146" s="31" t="str">
        <x:v>美元</x:v>
      </x:c>
      <x:c r="L146" s="32" t="str">
        <x:v>國民年金保險基金-115年6月.pdf</x:v>
      </x:c>
    </x:row>
    <x:row r="147">
      <x:c r="A147" s="37" t="n">
        <x:v>46174</x:v>
      </x:c>
      <x:c r="B147" s="31" t="str">
        <x:v>115年6月</x:v>
      </x:c>
      <x:c r="C147" s="31" t="str">
        <x:v>國民年金</x:v>
      </x:c>
      <x:c r="D147" s="31" t="str">
        <x:v>國外</x:v>
      </x:c>
      <x:c r="E147" s="31" t="str">
        <x:v>107-1絕對報酬股票型(續約)</x:v>
      </x:c>
      <x:c r="F147" s="31" t="str">
        <x:v>景順</x:v>
      </x:c>
      <x:c r="G147" s="40" t="n">
        <x:v>160873068</x:v>
      </x:c>
      <x:c r="H147" s="40" t="n">
        <x:v>253501997</x:v>
      </x:c>
      <x:c r="I147" s="43" t="n">
        <x:v>0.5758</x:v>
      </x:c>
      <x:c r="J147" s="43"/>
      <x:c r="K147" s="31" t="str">
        <x:v>美元</x:v>
      </x:c>
      <x:c r="L147" s="32" t="str">
        <x:v>國民年金保險基金-115年6月.pdf</x:v>
      </x:c>
    </x:row>
    <x:row r="148">
      <x:c r="A148" s="37" t="n">
        <x:v>46174</x:v>
      </x:c>
      <x:c r="B148" s="31" t="str">
        <x:v>115年6月</x:v>
      </x:c>
      <x:c r="C148" s="31" t="str">
        <x:v>國民年金</x:v>
      </x:c>
      <x:c r="D148" s="31" t="str">
        <x:v>國外</x:v>
      </x:c>
      <x:c r="E148" s="31" t="str">
        <x:v>107-1絕對報酬股票型(續約)</x:v>
      </x:c>
      <x:c r="F148" s="31" t="str">
        <x:v>威靈頓</x:v>
      </x:c>
      <x:c r="G148" s="40" t="n">
        <x:v>163472383</x:v>
      </x:c>
      <x:c r="H148" s="40" t="n">
        <x:v>219664914</x:v>
      </x:c>
      <x:c r="I148" s="43" t="n">
        <x:v>0.34369999999999995</x:v>
      </x:c>
      <x:c r="J148" s="43"/>
      <x:c r="K148" s="31" t="str">
        <x:v>美元</x:v>
      </x:c>
      <x:c r="L148" s="32" t="str">
        <x:v>國民年金保險基金-115年6月.pdf</x:v>
      </x:c>
    </x:row>
    <x:row r="149">
      <x:c r="A149" s="37" t="n">
        <x:v>46174</x:v>
      </x:c>
      <x:c r="B149" s="31" t="str">
        <x:v>115年6月</x:v>
      </x:c>
      <x:c r="C149" s="31" t="str">
        <x:v>國民年金</x:v>
      </x:c>
      <x:c r="D149" s="31" t="str">
        <x:v>國外</x:v>
      </x:c>
      <x:c r="E149" s="31" t="str">
        <x:v>107-1絕對報酬股票型(續約)</x:v>
      </x:c>
      <x:c r="F149" s="31" t="str">
        <x:v>CPR</x:v>
      </x:c>
      <x:c r="G149" s="40" t="n">
        <x:v>161120051</x:v>
      </x:c>
      <x:c r="H149" s="40" t="n">
        <x:v>233042002</x:v>
      </x:c>
      <x:c r="I149" s="43" t="n">
        <x:v>0.4464</x:v>
      </x:c>
      <x:c r="J149" s="43"/>
      <x:c r="K149" s="31" t="str">
        <x:v>美元</x:v>
      </x:c>
      <x:c r="L149" s="32" t="str">
        <x:v>國民年金保險基金-115年6月.pdf</x:v>
      </x:c>
    </x:row>
    <x:row r="150">
      <x:c r="A150" s="37" t="n">
        <x:v>46174</x:v>
      </x:c>
      <x:c r="B150" s="31" t="str">
        <x:v>115年6月</x:v>
      </x:c>
      <x:c r="C150" s="31" t="str">
        <x:v>國民年金</x:v>
      </x:c>
      <x:c r="D150" s="31" t="str">
        <x:v>國外</x:v>
      </x:c>
      <x:c r="E150" s="31" t="str">
        <x:v>107-1絕對報酬股票型(續約)</x:v>
      </x:c>
      <x:c r="F150" s="31" t="str">
        <x:v>道富</x:v>
      </x:c>
      <x:c r="G150" s="40" t="n">
        <x:v>149737366</x:v>
      </x:c>
      <x:c r="H150" s="40" t="n">
        <x:v>210177476</x:v>
      </x:c>
      <x:c r="I150" s="43" t="n">
        <x:v>0.4036</x:v>
      </x:c>
      <x:c r="J150" s="43"/>
      <x:c r="K150" s="31" t="str">
        <x:v>美元</x:v>
      </x:c>
      <x:c r="L150" s="32" t="str">
        <x:v>國民年金保險基金-115年6月.pdf</x:v>
      </x:c>
    </x:row>
    <x:row r="151">
      <x:c r="A151" s="37" t="n">
        <x:v>46174</x:v>
      </x:c>
      <x:c r="B151" s="31" t="str">
        <x:v>115年6月</x:v>
      </x:c>
      <x:c r="C151" s="31" t="str">
        <x:v>國民年金</x:v>
      </x:c>
      <x:c r="D151" s="31" t="str">
        <x:v>國外</x:v>
      </x:c>
      <x:c r="E151" s="31" t="str">
        <x:v>109-1全球美元公司增值債券型(續約)</x:v>
      </x:c>
      <x:c r="F151" s="31" t="str">
        <x:v>Insight</x:v>
      </x:c>
      <x:c r="G151" s="40" t="n">
        <x:v>170770415</x:v>
      </x:c>
      <x:c r="H151" s="40" t="n">
        <x:v>171873906</x:v>
      </x:c>
      <x:c r="I151" s="43" t="n">
        <x:v>0.006500000000000001</x:v>
      </x:c>
      <x:c r="J151" s="43" t="n">
        <x:v>0.008100000000000001</x:v>
      </x:c>
      <x:c r="K151" s="31" t="str">
        <x:v>美元</x:v>
      </x:c>
      <x:c r="L151" s="32" t="str">
        <x:v>國民年金保險基金-115年6月.pdf</x:v>
      </x:c>
    </x:row>
    <x:row r="152">
      <x:c r="A152" s="37" t="n">
        <x:v>46174</x:v>
      </x:c>
      <x:c r="B152" s="31" t="str">
        <x:v>115年6月</x:v>
      </x:c>
      <x:c r="C152" s="31" t="str">
        <x:v>國民年金</x:v>
      </x:c>
      <x:c r="D152" s="31" t="str">
        <x:v>國外</x:v>
      </x:c>
      <x:c r="E152" s="31" t="str">
        <x:v>109-1全球美元公司增值債券型(續約)</x:v>
      </x:c>
      <x:c r="F152" s="31" t="str">
        <x:v>JPMorgan（國外）</x:v>
      </x:c>
      <x:c r="G152" s="40" t="n">
        <x:v>92866928</x:v>
      </x:c>
      <x:c r="H152" s="40" t="n">
        <x:v>93625625</x:v>
      </x:c>
      <x:c r="I152" s="43" t="n">
        <x:v>0.008199999999999999</x:v>
      </x:c>
      <x:c r="J152" s="43" t="n">
        <x:v>0.008100000000000001</x:v>
      </x:c>
      <x:c r="K152" s="31" t="str">
        <x:v>美元</x:v>
      </x:c>
      <x:c r="L152" s="32" t="str">
        <x:v>國民年金保險基金-115年6月.pdf</x:v>
      </x:c>
    </x:row>
    <x:row r="153">
      <x:c r="A153" s="37" t="n">
        <x:v>46174</x:v>
      </x:c>
      <x:c r="B153" s="31" t="str">
        <x:v>115年6月</x:v>
      </x:c>
      <x:c r="C153" s="31" t="str">
        <x:v>國民年金</x:v>
      </x:c>
      <x:c r="D153" s="31" t="str">
        <x:v>國外</x:v>
      </x:c>
      <x:c r="E153" s="31" t="str">
        <x:v>109-1全球美元公司增值債券型(續約)</x:v>
      </x:c>
      <x:c r="F153" s="31" t="str">
        <x:v>PIMCO</x:v>
      </x:c>
      <x:c r="G153" s="40" t="n">
        <x:v>116515080</x:v>
      </x:c>
      <x:c r="H153" s="40" t="n">
        <x:v>117313547</x:v>
      </x:c>
      <x:c r="I153" s="43" t="n">
        <x:v>0.0069</x:v>
      </x:c>
      <x:c r="J153" s="43" t="n">
        <x:v>0.008100000000000001</x:v>
      </x:c>
      <x:c r="K153" s="31" t="str">
        <x:v>美元</x:v>
      </x:c>
      <x:c r="L153" s="32" t="str">
        <x:v>國民年金保險基金-115年6月.pdf</x:v>
      </x:c>
    </x:row>
    <x:row r="154">
      <x:c r="A154" s="37" t="n">
        <x:v>46174</x:v>
      </x:c>
      <x:c r="B154" s="31" t="str">
        <x:v>115年6月</x:v>
      </x:c>
      <x:c r="C154" s="31" t="str">
        <x:v>國民年金</x:v>
      </x:c>
      <x:c r="D154" s="31" t="str">
        <x:v>國外</x:v>
      </x:c>
      <x:c r="E154" s="31" t="str">
        <x:v>110-1全球多元資產型</x:v>
      </x:c>
      <x:c r="F154" s="31" t="str">
        <x:v>富達</x:v>
      </x:c>
      <x:c r="G154" s="40" t="n">
        <x:v>60000000</x:v>
      </x:c>
      <x:c r="H154" s="40" t="n">
        <x:v>78961584</x:v>
      </x:c>
      <x:c r="I154" s="43" t="n">
        <x:v>0.316</x:v>
      </x:c>
      <x:c r="J154" s="43"/>
      <x:c r="K154" s="31" t="str">
        <x:v>美元</x:v>
      </x:c>
      <x:c r="L154" s="32" t="str">
        <x:v>國民年金保險基金-115年6月.pdf</x:v>
      </x:c>
    </x:row>
    <x:row r="155">
      <x:c r="A155" s="37" t="n">
        <x:v>46174</x:v>
      </x:c>
      <x:c r="B155" s="31" t="str">
        <x:v>115年6月</x:v>
      </x:c>
      <x:c r="C155" s="31" t="str">
        <x:v>國民年金</x:v>
      </x:c>
      <x:c r="D155" s="31" t="str">
        <x:v>國外</x:v>
      </x:c>
      <x:c r="E155" s="31" t="str">
        <x:v>110-1全球多元資產型</x:v>
      </x:c>
      <x:c r="F155" s="31" t="str">
        <x:v>Ninety One</x:v>
      </x:c>
      <x:c r="G155" s="40" t="n">
        <x:v>60000000</x:v>
      </x:c>
      <x:c r="H155" s="40" t="n">
        <x:v>73420942</x:v>
      </x:c>
      <x:c r="I155" s="43" t="n">
        <x:v>0.2237</x:v>
      </x:c>
      <x:c r="J155" s="43"/>
      <x:c r="K155" s="31" t="str">
        <x:v>美元</x:v>
      </x:c>
      <x:c r="L155" s="32" t="str">
        <x:v>國民年金保險基金-115年6月.pdf</x:v>
      </x:c>
    </x:row>
    <x:row r="156">
      <x:c r="A156" s="37" t="n">
        <x:v>46174</x:v>
      </x:c>
      <x:c r="B156" s="31" t="str">
        <x:v>115年6月</x:v>
      </x:c>
      <x:c r="C156" s="31" t="str">
        <x:v>國民年金</x:v>
      </x:c>
      <x:c r="D156" s="31" t="str">
        <x:v>國外</x:v>
      </x:c>
      <x:c r="E156" s="31" t="str">
        <x:v>110-1全球多元資產型</x:v>
      </x:c>
      <x:c r="F156" s="31" t="str">
        <x:v>JPMorgan（國外）</x:v>
      </x:c>
      <x:c r="G156" s="40" t="n">
        <x:v>120000000</x:v>
      </x:c>
      <x:c r="H156" s="40" t="n">
        <x:v>146628667</x:v>
      </x:c>
      <x:c r="I156" s="43" t="n">
        <x:v>0.22579999999999997</x:v>
      </x:c>
      <x:c r="J156" s="43"/>
      <x:c r="K156" s="31" t="str">
        <x:v>美元</x:v>
      </x:c>
      <x:c r="L156" s="32" t="str">
        <x:v>國民年金保險基金-115年6月.pdf</x:v>
      </x:c>
    </x:row>
    <x:row r="157">
      <x:c r="A157" s="37" t="n">
        <x:v>46174</x:v>
      </x:c>
      <x:c r="B157" s="31" t="str">
        <x:v>115年6月</x:v>
      </x:c>
      <x:c r="C157" s="31" t="str">
        <x:v>國民年金</x:v>
      </x:c>
      <x:c r="D157" s="31" t="str">
        <x:v>國外</x:v>
      </x:c>
      <x:c r="E157" s="31" t="str">
        <x:v>110-1全球多元資產型</x:v>
      </x:c>
      <x:c r="F157" s="31" t="str">
        <x:v>Schroders</x:v>
      </x:c>
      <x:c r="G157" s="40" t="n">
        <x:v>100000000</x:v>
      </x:c>
      <x:c r="H157" s="40" t="n">
        <x:v>133508568</x:v>
      </x:c>
      <x:c r="I157" s="43" t="n">
        <x:v>0.34159999999999996</x:v>
      </x:c>
      <x:c r="J157" s="43"/>
      <x:c r="K157" s="31" t="str">
        <x:v>美元</x:v>
      </x:c>
      <x:c r="L157" s="32" t="str">
        <x:v>國民年金保險基金-115年6月.pdf</x:v>
      </x:c>
    </x:row>
    <x:row r="158">
      <x:c r="A158" s="37" t="n">
        <x:v>46174</x:v>
      </x:c>
      <x:c r="B158" s="31" t="str">
        <x:v>115年6月</x:v>
      </x:c>
      <x:c r="C158" s="31" t="str">
        <x:v>國民年金</x:v>
      </x:c>
      <x:c r="D158" s="31" t="str">
        <x:v>國外</x:v>
      </x:c>
      <x:c r="E158" s="31" t="str">
        <x:v>110-1全球多元資產型</x:v>
      </x:c>
      <x:c r="F158" s="31" t="str">
        <x:v>T. Rowe Price</x:v>
      </x:c>
      <x:c r="G158" s="40" t="n">
        <x:v>60000000</x:v>
      </x:c>
      <x:c r="H158" s="40" t="n">
        <x:v>76140188</x:v>
      </x:c>
      <x:c r="I158" s="43" t="n">
        <x:v>0.26899999999999996</x:v>
      </x:c>
      <x:c r="J158" s="43"/>
      <x:c r="K158" s="31" t="str">
        <x:v>美元</x:v>
      </x:c>
      <x:c r="L158" s="32" t="str">
        <x:v>國民年金保險基金-115年6月.pdf</x:v>
      </x:c>
    </x:row>
    <x:row r="159">
      <x:c r="A159" s="37" t="n">
        <x:v>46174</x:v>
      </x:c>
      <x:c r="B159" s="31" t="str">
        <x:v>115年6月</x:v>
      </x:c>
      <x:c r="C159" s="31" t="str">
        <x:v>國民年金</x:v>
      </x:c>
      <x:c r="D159" s="31" t="str">
        <x:v>國外</x:v>
      </x:c>
      <x:c r="E159" s="31" t="str">
        <x:v>111-1全球氣候變遷股票型</x:v>
      </x:c>
      <x:c r="F159" s="31" t="str">
        <x:v>滙豐</x:v>
      </x:c>
      <x:c r="G159" s="40" t="n">
        <x:v>60000000</x:v>
      </x:c>
      <x:c r="H159" s="40" t="n">
        <x:v>90358868</x:v>
      </x:c>
      <x:c r="I159" s="43" t="n">
        <x:v>0.851</x:v>
      </x:c>
      <x:c r="J159" s="43" t="n">
        <x:v>0.7422</x:v>
      </x:c>
      <x:c r="K159" s="31" t="str">
        <x:v>美元</x:v>
      </x:c>
      <x:c r="L159" s="32" t="str">
        <x:v>國民年金保險基金-115年6月.pdf</x:v>
      </x:c>
    </x:row>
    <x:row r="160">
      <x:c r="A160" s="37" t="n">
        <x:v>46174</x:v>
      </x:c>
      <x:c r="B160" s="31" t="str">
        <x:v>115年6月</x:v>
      </x:c>
      <x:c r="C160" s="31" t="str">
        <x:v>國民年金</x:v>
      </x:c>
      <x:c r="D160" s="31" t="str">
        <x:v>國外</x:v>
      </x:c>
      <x:c r="E160" s="31" t="str">
        <x:v>111-1全球氣候變遷股票型</x:v>
      </x:c>
      <x:c r="F160" s="31" t="str">
        <x:v>L&amp;G</x:v>
      </x:c>
      <x:c r="G160" s="40" t="n">
        <x:v>60000000</x:v>
      </x:c>
      <x:c r="H160" s="40" t="n">
        <x:v>86521083</x:v>
      </x:c>
      <x:c r="I160" s="43" t="n">
        <x:v>0.7465999999999999</x:v>
      </x:c>
      <x:c r="J160" s="43" t="n">
        <x:v>0.7422</x:v>
      </x:c>
      <x:c r="K160" s="31" t="str">
        <x:v>美元</x:v>
      </x:c>
      <x:c r="L160" s="32" t="str">
        <x:v>國民年金保險基金-115年6月.pdf</x:v>
      </x:c>
    </x:row>
    <x:row r="161">
      <x:c r="A161" s="37" t="n">
        <x:v>46174</x:v>
      </x:c>
      <x:c r="B161" s="31" t="str">
        <x:v>115年6月</x:v>
      </x:c>
      <x:c r="C161" s="31" t="str">
        <x:v>國民年金</x:v>
      </x:c>
      <x:c r="D161" s="31" t="str">
        <x:v>國外</x:v>
      </x:c>
      <x:c r="E161" s="31" t="str">
        <x:v>111-1全球氣候變遷股票型</x:v>
      </x:c>
      <x:c r="F161" s="31" t="str">
        <x:v>摩根士丹利</x:v>
      </x:c>
      <x:c r="G161" s="40" t="n">
        <x:v>60000000</x:v>
      </x:c>
      <x:c r="H161" s="40" t="n">
        <x:v>87780067</x:v>
      </x:c>
      <x:c r="I161" s="43" t="n">
        <x:v>0.7605</x:v>
      </x:c>
      <x:c r="J161" s="43" t="n">
        <x:v>0.7422</x:v>
      </x:c>
      <x:c r="K161" s="31" t="str">
        <x:v>美元</x:v>
      </x:c>
      <x:c r="L161" s="32" t="str">
        <x:v>國民年金保險基金-115年6月.pdf</x:v>
      </x:c>
    </x:row>
    <x:row r="162">
      <x:c r="A162" s="37" t="n">
        <x:v>46174</x:v>
      </x:c>
      <x:c r="B162" s="31" t="str">
        <x:v>115年6月</x:v>
      </x:c>
      <x:c r="C162" s="31" t="str">
        <x:v>國民年金</x:v>
      </x:c>
      <x:c r="D162" s="31" t="str">
        <x:v>國外</x:v>
      </x:c>
      <x:c r="E162" s="31" t="str">
        <x:v>111-1全球氣候變遷股票型</x:v>
      </x:c>
      <x:c r="F162" s="31" t="str">
        <x:v>Schroders</x:v>
      </x:c>
      <x:c r="G162" s="40" t="n">
        <x:v>60000000</x:v>
      </x:c>
      <x:c r="H162" s="40" t="n">
        <x:v>84395282</x:v>
      </x:c>
      <x:c r="I162" s="43" t="n">
        <x:v>0.7066</x:v>
      </x:c>
      <x:c r="J162" s="43" t="n">
        <x:v>0.7422</x:v>
      </x:c>
      <x:c r="K162" s="31" t="str">
        <x:v>美元</x:v>
      </x:c>
      <x:c r="L162" s="32" t="str">
        <x:v>國民年金保險基金-115年6月.pdf</x:v>
      </x:c>
    </x:row>
    <x:row r="163">
      <x:c r="A163" s="37" t="n">
        <x:v>46174</x:v>
      </x:c>
      <x:c r="B163" s="31" t="str">
        <x:v>115年6月</x:v>
      </x:c>
      <x:c r="C163" s="31" t="str">
        <x:v>國民年金</x:v>
      </x:c>
      <x:c r="D163" s="31" t="str">
        <x:v>國外</x:v>
      </x:c>
      <x:c r="E163" s="31" t="str">
        <x:v>111-1全球氣候變遷股票型</x:v>
      </x:c>
      <x:c r="F163" s="31" t="str">
        <x:v>威靈頓</x:v>
      </x:c>
      <x:c r="G163" s="40" t="n">
        <x:v>60000000</x:v>
      </x:c>
      <x:c r="H163" s="40" t="n">
        <x:v>89772081</x:v>
      </x:c>
      <x:c r="I163" s="43" t="n">
        <x:v>0.8373</x:v>
      </x:c>
      <x:c r="J163" s="43" t="n">
        <x:v>0.7422</x:v>
      </x:c>
      <x:c r="K163" s="31" t="str">
        <x:v>美元</x:v>
      </x:c>
      <x:c r="L163" s="32" t="str">
        <x:v>國民年金保險基金-115年6月.pdf</x:v>
      </x:c>
    </x:row>
    <x:row r="164">
      <x:c r="A164" s="37" t="n">
        <x:v>46174</x:v>
      </x:c>
      <x:c r="B164" s="31" t="str">
        <x:v>115年6月</x:v>
      </x:c>
      <x:c r="C164" s="31" t="str">
        <x:v>國民年金</x:v>
      </x:c>
      <x:c r="D164" s="31" t="str">
        <x:v>國外</x:v>
      </x:c>
      <x:c r="E164" s="31" t="str">
        <x:v>112-1全球被動股票型</x:v>
      </x:c>
      <x:c r="F164" s="31" t="str">
        <x:v>Amundi</x:v>
      </x:c>
      <x:c r="G164" s="40" t="n">
        <x:v>100000000</x:v>
      </x:c>
      <x:c r="H164" s="40" t="n">
        <x:v>134226586</x:v>
      </x:c>
      <x:c r="I164" s="43" t="n">
        <x:v>0.39840000000000003</x:v>
      </x:c>
      <x:c r="J164" s="43" t="n">
        <x:v>0.434</x:v>
      </x:c>
      <x:c r="K164" s="31" t="str">
        <x:v>美元</x:v>
      </x:c>
      <x:c r="L164" s="32" t="str">
        <x:v>國民年金保險基金-115年6月.pdf</x:v>
      </x:c>
    </x:row>
    <x:row r="165">
      <x:c r="A165" s="37" t="n">
        <x:v>46174</x:v>
      </x:c>
      <x:c r="B165" s="31" t="str">
        <x:v>115年6月</x:v>
      </x:c>
      <x:c r="C165" s="31" t="str">
        <x:v>國民年金</x:v>
      </x:c>
      <x:c r="D165" s="31" t="str">
        <x:v>國外</x:v>
      </x:c>
      <x:c r="E165" s="31" t="str">
        <x:v>112-1全球被動股票型</x:v>
      </x:c>
      <x:c r="F165" s="31" t="str">
        <x:v>L&amp;G</x:v>
      </x:c>
      <x:c r="G165" s="40" t="n">
        <x:v>100000000</x:v>
      </x:c>
      <x:c r="H165" s="40" t="n">
        <x:v>136542859</x:v>
      </x:c>
      <x:c r="I165" s="43" t="n">
        <x:v>0.434</x:v>
      </x:c>
      <x:c r="J165" s="43" t="n">
        <x:v>0.434</x:v>
      </x:c>
      <x:c r="K165" s="31" t="str">
        <x:v>美元</x:v>
      </x:c>
      <x:c r="L165" s="32" t="str">
        <x:v>國民年金保險基金-115年6月.pdf</x:v>
      </x:c>
    </x:row>
    <x:row r="166">
      <x:c r="A166" s="37" t="n">
        <x:v>46174</x:v>
      </x:c>
      <x:c r="B166" s="31" t="str">
        <x:v>115年6月</x:v>
      </x:c>
      <x:c r="C166" s="31" t="str">
        <x:v>國民年金</x:v>
      </x:c>
      <x:c r="D166" s="31" t="str">
        <x:v>國外</x:v>
      </x:c>
      <x:c r="E166" s="31" t="str">
        <x:v>112-1全球被動股票型</x:v>
      </x:c>
      <x:c r="F166" s="31" t="str">
        <x:v>道富</x:v>
      </x:c>
      <x:c r="G166" s="40" t="n">
        <x:v>100000000</x:v>
      </x:c>
      <x:c r="H166" s="40" t="n">
        <x:v>136846292</x:v>
      </x:c>
      <x:c r="I166" s="43" t="n">
        <x:v>0.43979999999999997</x:v>
      </x:c>
      <x:c r="J166" s="43" t="n">
        <x:v>0.434</x:v>
      </x:c>
      <x:c r="K166" s="31" t="str">
        <x:v>美元</x:v>
      </x:c>
      <x:c r="L166" s="32" t="str">
        <x:v>國民年金保險基金-115年6月.pdf</x:v>
      </x:c>
    </x:row>
    <x:row r="167">
      <x:c r="A167" s="38" t="n">
        <x:v>46174</x:v>
      </x:c>
      <x:c r="B167" s="34" t="str">
        <x:v>115年6月</x:v>
      </x:c>
      <x:c r="C167" s="34" t="str">
        <x:v>國民年金</x:v>
      </x:c>
      <x:c r="D167" s="34" t="str">
        <x:v>國外</x:v>
      </x:c>
      <x:c r="E167" s="34" t="str">
        <x:v>112-1全球被動股票型</x:v>
      </x:c>
      <x:c r="F167" s="34" t="str">
        <x:v>北美信託</x:v>
      </x:c>
      <x:c r="G167" s="41" t="n">
        <x:v>100000000</x:v>
      </x:c>
      <x:c r="H167" s="41" t="n">
        <x:v>136738423</x:v>
      </x:c>
      <x:c r="I167" s="44" t="n">
        <x:v>0.4347</x:v>
      </x:c>
      <x:c r="J167" s="44" t="n">
        <x:v>0.434</x:v>
      </x:c>
      <x:c r="K167" s="34" t="str">
        <x:v>美元</x:v>
      </x:c>
      <x:c r="L167" s="35" t="str">
        <x:v>國民年金保險基金-115年6月.pdf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6bcc5a7be51f4a7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46174</x:v>
      </x:c>
      <x:c r="B4" s="28" t="str">
        <x:v>115年6月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117216440397</x:v>
      </x:c>
      <x:c r="H4" s="42" t="n">
        <x:f>IFERROR(G4/F4-1,0)</x:f>
        <x:v>1.2100807322490859</x:v>
      </x:c>
      <x:c r="I4" s="42" t="n">
        <x:f>AVERAGEIFS('國內委外明細'!$J$4:$J$116,'國內委外明細'!$A$4:$A$116,A4,'國內委外明細'!$C$4:$C$116,C4,'國內委外明細'!$E$4:$E$116,E4)</x:f>
        <x:v>0.0475</x:v>
      </x:c>
      <x:c r="J4" s="28" t="str">
        <x:v>新臺幣元</x:v>
      </x:c>
      <x:c r="K4" s="29" t="str">
        <x:v>勞工退休基金-115年6月.pdf</x:v>
      </x:c>
    </x:row>
    <x:row r="5">
      <x:c r="A5" s="37" t="n">
        <x:v>46174</x:v>
      </x:c>
      <x:c r="B5" s="31" t="str">
        <x:v>115年6月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26944336638</x:v>
      </x:c>
      <x:c r="H5" s="43" t="n">
        <x:f>IFERROR(G5/F5-1,0)</x:f>
        <x:v>2.9455371490026394</x:v>
      </x:c>
      <x:c r="I5" s="43" t="n">
        <x:f>AVERAGEIFS('國內委外明細'!$J$4:$J$116,'國內委外明細'!$A$4:$A$116,A5,'國內委外明細'!$C$4:$C$116,C5,'國內委外明細'!$E$4:$E$116,E5)</x:f>
        <x:v>0.2065</x:v>
      </x:c>
      <x:c r="J5" s="31" t="str">
        <x:v>新臺幣元</x:v>
      </x:c>
      <x:c r="K5" s="32" t="str">
        <x:v>勞工退休基金-115年6月.pdf</x:v>
      </x:c>
    </x:row>
    <x:row r="6">
      <x:c r="A6" s="37" t="n">
        <x:v>46174</x:v>
      </x:c>
      <x:c r="B6" s="31" t="str">
        <x:v>115年6月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81891711244</x:v>
      </x:c>
      <x:c r="H6" s="43" t="n">
        <x:f>IFERROR(G6/F6-1,0)</x:f>
        <x:v>1.490187075875836</x:v>
      </x:c>
      <x:c r="I6" s="43" t="n">
        <x:f>AVERAGEIFS('國內委外明細'!$J$4:$J$116,'國內委外明細'!$A$4:$A$116,A6,'國內委外明細'!$C$4:$C$116,C6,'國內委外明細'!$E$4:$E$116,E6)</x:f>
        <x:v>0.1149</x:v>
      </x:c>
      <x:c r="J6" s="31" t="str">
        <x:v>新臺幣元</x:v>
      </x:c>
      <x:c r="K6" s="32" t="str">
        <x:v>勞工退休基金-115年6月.pdf</x:v>
      </x:c>
    </x:row>
    <x:row r="7">
      <x:c r="A7" s="37" t="n">
        <x:v>46174</x:v>
      </x:c>
      <x:c r="B7" s="31" t="str">
        <x:v>115年6月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29252741164</x:v>
      </x:c>
      <x:c r="H7" s="43" t="n">
        <x:f>IFERROR(G7/F7-1,0)</x:f>
        <x:v>1.8006150144866164</x:v>
      </x:c>
      <x:c r="I7" s="43" t="n">
        <x:f>AVERAGEIFS('國內委外明細'!$J$4:$J$116,'國內委外明細'!$A$4:$A$116,A7,'國內委外明細'!$C$4:$C$116,C7,'國內委外明細'!$E$4:$E$116,E7)</x:f>
        <x:v>0.2161</x:v>
      </x:c>
      <x:c r="J7" s="31" t="str">
        <x:v>新臺幣元</x:v>
      </x:c>
      <x:c r="K7" s="32" t="str">
        <x:v>勞工退休基金-115年6月.pdf</x:v>
      </x:c>
    </x:row>
    <x:row r="8">
      <x:c r="A8" s="37" t="n">
        <x:v>46174</x:v>
      </x:c>
      <x:c r="B8" s="31" t="str">
        <x:v>115年6月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89558163782</x:v>
      </x:c>
      <x:c r="H8" s="43" t="n">
        <x:f>IFERROR(G8/F8-1,0)</x:f>
        <x:v>2.0774388461546347</x:v>
      </x:c>
      <x:c r="I8" s="43" t="n">
        <x:f>AVERAGEIFS('國內委外明細'!$J$4:$J$116,'國內委外明細'!$A$4:$A$116,A8,'國內委外明細'!$C$4:$C$116,C8,'國內委外明細'!$E$4:$E$116,E8)</x:f>
        <x:v>1.9264</x:v>
      </x:c>
      <x:c r="J8" s="31" t="str">
        <x:v>新臺幣元</x:v>
      </x:c>
      <x:c r="K8" s="32" t="str">
        <x:v>勞工退休基金-115年6月.pdf</x:v>
      </x:c>
    </x:row>
    <x:row r="9">
      <x:c r="A9" s="37" t="n">
        <x:v>46174</x:v>
      </x:c>
      <x:c r="B9" s="31" t="str">
        <x:v>115年6月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92670044275</x:v>
      </x:c>
      <x:c r="H9" s="43" t="n">
        <x:f>IFERROR(G9/F9-1,0)</x:f>
        <x:v>1.5662192845674427</x:v>
      </x:c>
      <x:c r="I9" s="43" t="n">
        <x:f>AVERAGEIFS('國內委外明細'!$J$4:$J$116,'國內委外明細'!$A$4:$A$116,A9,'國內委外明細'!$C$4:$C$116,C9,'國內委外明細'!$E$4:$E$116,E9)</x:f>
        <x:v>0.1142</x:v>
      </x:c>
      <x:c r="J9" s="31" t="str">
        <x:v>新臺幣元</x:v>
      </x:c>
      <x:c r="K9" s="32" t="str">
        <x:v>勞工退休基金-115年6月.pdf</x:v>
      </x:c>
    </x:row>
    <x:row r="10">
      <x:c r="A10" s="37" t="n">
        <x:v>46174</x:v>
      </x:c>
      <x:c r="B10" s="31" t="str">
        <x:v>115年6月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121482712969</x:v>
      </x:c>
      <x:c r="H10" s="43" t="n">
        <x:f>IFERROR(G10/F10-1,0)</x:f>
        <x:v>0.586534871122832</x:v>
      </x:c>
      <x:c r="I10" s="43" t="n">
        <x:f>AVERAGEIFS('國內委外明細'!$J$4:$J$116,'國內委外明細'!$A$4:$A$116,A10,'國內委外明細'!$C$4:$C$116,C10,'國內委外明細'!$E$4:$E$116,E10)</x:f>
        <x:v>0.45189999999999997</x:v>
      </x:c>
      <x:c r="J10" s="31" t="str">
        <x:v>新臺幣元</x:v>
      </x:c>
      <x:c r="K10" s="32" t="str">
        <x:v>勞工退休基金-115年6月.pdf</x:v>
      </x:c>
    </x:row>
    <x:row r="11">
      <x:c r="A11" s="37" t="n">
        <x:v>46174</x:v>
      </x:c>
      <x:c r="B11" s="31" t="str">
        <x:v>115年6月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45210757604</x:v>
      </x:c>
      <x:c r="H11" s="43" t="n">
        <x:f>IFERROR(G11/F11-1,0)</x:f>
        <x:v>1.853951238920204</x:v>
      </x:c>
      <x:c r="I11" s="43" t="n">
        <x:f>AVERAGEIFS('國內委外明細'!$J$4:$J$116,'國內委外明細'!$A$4:$A$116,A11,'國內委外明細'!$C$4:$C$116,C11,'國內委外明細'!$E$4:$E$116,E11)</x:f>
        <x:v>0.2253</x:v>
      </x:c>
      <x:c r="J11" s="31" t="str">
        <x:v>新臺幣元</x:v>
      </x:c>
      <x:c r="K11" s="32" t="str">
        <x:v>勞工退休基金-115年6月.pdf</x:v>
      </x:c>
    </x:row>
    <x:row r="12">
      <x:c r="A12" s="37" t="n">
        <x:v>46174</x:v>
      </x:c>
      <x:c r="B12" s="31" t="str">
        <x:v>115年6月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178152030490</x:v>
      </x:c>
      <x:c r="H12" s="43" t="n">
        <x:f>IFERROR(G12/F12-1,0)</x:f>
        <x:v>0.7075053307820265</x:v>
      </x:c>
      <x:c r="I12" s="43" t="n">
        <x:f>AVERAGEIFS('國內委外明細'!$J$4:$J$116,'國內委外明細'!$A$4:$A$116,A12,'國內委外明細'!$C$4:$C$116,C12,'國內委外明細'!$E$4:$E$116,E12)</x:f>
        <x:v>0.6662</x:v>
      </x:c>
      <x:c r="J12" s="31" t="str">
        <x:v>新臺幣元</x:v>
      </x:c>
      <x:c r="K12" s="32" t="str">
        <x:v>勞工退休基金-115年6月.pdf</x:v>
      </x:c>
    </x:row>
    <x:row r="13">
      <x:c r="A13" s="37" t="n">
        <x:v>46174</x:v>
      </x:c>
      <x:c r="B13" s="31" t="str">
        <x:v>115年6月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24499034075</x:v>
      </x:c>
      <x:c r="H13" s="43" t="n">
        <x:f>IFERROR(G13/F13-1,0)</x:f>
        <x:v>1.916426544231196</x:v>
      </x:c>
      <x:c r="I13" s="43" t="n">
        <x:f>AVERAGEIFS('國內委外明細'!$J$4:$J$116,'國內委外明細'!$A$4:$A$116,A13,'國內委外明細'!$C$4:$C$116,C13,'國內委外明細'!$E$4:$E$116,E13)</x:f>
        <x:v>0.195</x:v>
      </x:c>
      <x:c r="J13" s="31" t="str">
        <x:v>新臺幣元</x:v>
      </x:c>
      <x:c r="K13" s="32" t="str">
        <x:v>勞工退休基金-115年6月.pdf</x:v>
      </x:c>
    </x:row>
    <x:row r="14">
      <x:c r="A14" s="37" t="n">
        <x:v>46174</x:v>
      </x:c>
      <x:c r="B14" s="31" t="str">
        <x:v>115年6月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101232447909</x:v>
      </x:c>
      <x:c r="H14" s="43" t="n">
        <x:f>IFERROR(G14/F14-1,0)</x:f>
        <x:v>2.0140972984555536</x:v>
      </x:c>
      <x:c r="I14" s="43" t="n">
        <x:f>AVERAGEIFS('國內委外明細'!$J$4:$J$116,'國內委外明細'!$A$4:$A$116,A14,'國內委外明細'!$C$4:$C$116,C14,'國內委外明細'!$E$4:$E$116,E14)</x:f>
        <x:v>0.2051</x:v>
      </x:c>
      <x:c r="J14" s="31" t="str">
        <x:v>新臺幣元</x:v>
      </x:c>
      <x:c r="K14" s="32" t="str">
        <x:v>勞工退休基金-115年6月.pdf</x:v>
      </x:c>
    </x:row>
    <x:row r="15">
      <x:c r="A15" s="37" t="n">
        <x:v>46174</x:v>
      </x:c>
      <x:c r="B15" s="31" t="str">
        <x:v>115年6月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223471561876</x:v>
      </x:c>
      <x:c r="H15" s="43" t="n">
        <x:f>IFERROR(G15/F15-1,0)</x:f>
        <x:v>2.4279991718399674</x:v>
      </x:c>
      <x:c r="I15" s="43" t="n">
        <x:f>AVERAGEIFS('國內委外明細'!$J$4:$J$116,'國內委外明細'!$A$4:$A$116,A15,'國內委外明細'!$C$4:$C$116,C15,'國內委外明細'!$E$4:$E$116,E15)</x:f>
        <x:v>2.3322</x:v>
      </x:c>
      <x:c r="J15" s="31" t="str">
        <x:v>新臺幣元</x:v>
      </x:c>
      <x:c r="K15" s="32" t="str">
        <x:v>勞工退休基金-115年6月.pdf</x:v>
      </x:c>
    </x:row>
    <x:row r="16">
      <x:c r="A16" s="37" t="n">
        <x:v>46174</x:v>
      </x:c>
      <x:c r="B16" s="31" t="str">
        <x:v>115年6月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241973858693</x:v>
      </x:c>
      <x:c r="H16" s="43" t="n">
        <x:f>IFERROR(G16/F16-1,0)</x:f>
        <x:v>1.7361218198078627</x:v>
      </x:c>
      <x:c r="I16" s="43" t="n">
        <x:f>AVERAGEIFS('國內委外明細'!$J$4:$J$116,'國內委外明細'!$A$4:$A$116,A16,'國內委外明細'!$C$4:$C$116,C16,'國內委外明細'!$E$4:$E$116,E16)</x:f>
        <x:v>0.12380000000000001</x:v>
      </x:c>
      <x:c r="J16" s="31" t="str">
        <x:v>新臺幣元</x:v>
      </x:c>
      <x:c r="K16" s="32" t="str">
        <x:v>勞工退休基金-115年6月.pdf</x:v>
      </x:c>
    </x:row>
    <x:row r="17">
      <x:c r="A17" s="37" t="n">
        <x:v>46174</x:v>
      </x:c>
      <x:c r="B17" s="31" t="str">
        <x:v>115年6月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123309613547</x:v>
      </x:c>
      <x:c r="H17" s="43" t="n">
        <x:f>IFERROR(G17/F17-1,0)</x:f>
        <x:v>0.03161237265659067</x:v>
      </x:c>
      <x:c r="I17" s="43" t="n">
        <x:f>AVERAGEIFS('國內委外明細'!$J$4:$J$116,'國內委外明細'!$A$4:$A$116,A17,'國內委外明細'!$C$4:$C$116,C17,'國內委外明細'!$E$4:$E$116,E17)</x:f>
        <x:v>0.0083</x:v>
      </x:c>
      <x:c r="J17" s="31" t="str">
        <x:v>新臺幣元</x:v>
      </x:c>
      <x:c r="K17" s="32" t="str">
        <x:v>勞工退休基金-115年6月.pdf</x:v>
      </x:c>
    </x:row>
    <x:row r="18">
      <x:c r="A18" s="37" t="n">
        <x:v>46174</x:v>
      </x:c>
      <x:c r="B18" s="31" t="str">
        <x:v>115年6月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40723973936</x:v>
      </x:c>
      <x:c r="H18" s="43" t="n">
        <x:f>IFERROR(G18/F18-1,0)</x:f>
        <x:v>1.7149315957333333</x:v>
      </x:c>
      <x:c r="I18" s="43" t="n">
        <x:f>AVERAGEIFS('國內委外明細'!$J$4:$J$116,'國內委外明細'!$A$4:$A$116,A18,'國內委外明細'!$C$4:$C$116,C18,'國內委外明細'!$E$4:$E$116,E18)</x:f>
        <x:v>1.6469999999999998</x:v>
      </x:c>
      <x:c r="J18" s="31" t="str">
        <x:v>新臺幣元</x:v>
      </x:c>
      <x:c r="K18" s="32" t="str">
        <x:v>勞工退休基金-115年6月.pdf</x:v>
      </x:c>
    </x:row>
    <x:row r="19">
      <x:c r="A19" s="37" t="n">
        <x:v>46174</x:v>
      </x:c>
      <x:c r="B19" s="31" t="str">
        <x:v>115年6月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141266877617</x:v>
      </x:c>
      <x:c r="H19" s="43" t="n">
        <x:f>IFERROR(G19/F19-1,0)</x:f>
        <x:v>1.9430599503541668</x:v>
      </x:c>
      <x:c r="I19" s="43" t="n">
        <x:f>AVERAGEIFS('國內委外明細'!$J$4:$J$116,'國內委外明細'!$A$4:$A$116,A19,'國內委外明細'!$C$4:$C$116,C19,'國內委外明細'!$E$4:$E$116,E19)</x:f>
        <x:v>0.276</x:v>
      </x:c>
      <x:c r="J19" s="31" t="str">
        <x:v>新臺幣元</x:v>
      </x:c>
      <x:c r="K19" s="32" t="str">
        <x:v>勞工退休基金-115年6月.pdf</x:v>
      </x:c>
    </x:row>
    <x:row r="20">
      <x:c r="A20" s="37" t="n">
        <x:v>46174</x:v>
      </x:c>
      <x:c r="B20" s="31" t="str">
        <x:v>115年6月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123688669881</x:v>
      </x:c>
      <x:c r="H20" s="43" t="n">
        <x:f>IFERROR(G20/F20-1,0)</x:f>
        <x:v>1.5242585690000001</x:v>
      </x:c>
      <x:c r="I20" s="43" t="n">
        <x:f>AVERAGEIFS('國內委外明細'!$J$4:$J$116,'國內委外明細'!$A$4:$A$116,A20,'國內委外明細'!$C$4:$C$116,C20,'國內委外明細'!$E$4:$E$116,E20)</x:f>
        <x:v>0.1632</x:v>
      </x:c>
      <x:c r="J20" s="31" t="str">
        <x:v>新臺幣元</x:v>
      </x:c>
      <x:c r="K20" s="32" t="str">
        <x:v>勞工退休基金-115年6月.pdf</x:v>
      </x:c>
    </x:row>
    <x:row r="21">
      <x:c r="A21" s="37" t="n">
        <x:v>46174</x:v>
      </x:c>
      <x:c r="B21" s="31" t="str">
        <x:v>115年6月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33000000000</x:v>
      </x:c>
      <x:c r="G21" s="40" t="n">
        <x:f>SUMIFS('國內委外明細'!$H$4:$H$116,'國內委外明細'!$A$4:$A$116,A21,'國內委外明細'!$C$4:$C$116,C21,'國內委外明細'!$E$4:$E$116,E21)</x:f>
        <x:v>60217688420</x:v>
      </x:c>
      <x:c r="H21" s="43" t="n">
        <x:f>IFERROR(G21/F21-1,0)</x:f>
        <x:v>0.8247784369696969</x:v>
      </x:c>
      <x:c r="I21" s="43" t="n">
        <x:f>AVERAGEIFS('國內委外明細'!$J$4:$J$116,'國內委外明細'!$A$4:$A$116,A21,'國內委外明細'!$C$4:$C$116,C21,'國內委外明細'!$E$4:$E$116,E21)</x:f>
        <x:v>1.3033000000000001</x:v>
      </x:c>
      <x:c r="J21" s="31" t="str">
        <x:v>新臺幣元</x:v>
      </x:c>
      <x:c r="K21" s="32" t="str">
        <x:v>勞工退休基金-115年6月.pdf</x:v>
      </x:c>
    </x:row>
    <x:row r="22">
      <x:c r="A22" s="37" t="n">
        <x:v>46174</x:v>
      </x:c>
      <x:c r="B22" s="31" t="str">
        <x:v>115年6月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74169274545</x:v>
      </x:c>
      <x:c r="H22" s="43" t="n">
        <x:f>IFERROR(G22/F22-1,0)</x:f>
        <x:v>0.648206101</x:v>
      </x:c>
      <x:c r="I22" s="43" t="n">
        <x:f>AVERAGEIFS('國內委外明細'!$J$4:$J$116,'國內委外明細'!$A$4:$A$116,A22,'國內委外明細'!$C$4:$C$116,C22,'國內委外明細'!$E$4:$E$116,E22)</x:f>
        <x:v>0.0391</x:v>
      </x:c>
      <x:c r="J22" s="31" t="str">
        <x:v>新臺幣元</x:v>
      </x:c>
      <x:c r="K22" s="32" t="str">
        <x:v>勞工退休基金-115年6月.pdf</x:v>
      </x:c>
    </x:row>
    <x:row r="23">
      <x:c r="A23" s="37" t="n">
        <x:v>46174</x:v>
      </x:c>
      <x:c r="B23" s="31" t="str">
        <x:v>115年6月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7500000000</x:v>
      </x:c>
      <x:c r="G23" s="40" t="n">
        <x:f>SUMIFS('國內委外明細'!$H$4:$H$116,'國內委外明細'!$A$4:$A$116,A23,'國內委外明細'!$C$4:$C$116,C23,'國內委外明細'!$E$4:$E$116,E23)</x:f>
        <x:v>7530047046</x:v>
      </x:c>
      <x:c r="H23" s="43" t="n">
        <x:f>IFERROR(G23/F23-1,0)</x:f>
        <x:v>0.004006272800000099</x:v>
      </x:c>
      <x:c r="I23" s="43" t="n">
        <x:f>AVERAGEIFS('國內委外明細'!$J$4:$J$116,'國內委外明細'!$A$4:$A$116,A23,'國內委外明細'!$C$4:$C$116,C23,'國內委外明細'!$E$4:$E$116,E23)</x:f>
        <x:v>0.0037000000000000006</x:v>
      </x:c>
      <x:c r="J23" s="31" t="str">
        <x:v>新臺幣元</x:v>
      </x:c>
      <x:c r="K23" s="32" t="str">
        <x:v>勞工退休基金-115年6月.pdf</x:v>
      </x:c>
    </x:row>
    <x:row r="24">
      <x:c r="A24" s="37" t="n">
        <x:v>46174</x:v>
      </x:c>
      <x:c r="B24" s="31" t="str">
        <x:v>115年6月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70711850760</x:v>
      </x:c>
      <x:c r="H24" s="43" t="n">
        <x:f>IFERROR(G24/F24-1,0)</x:f>
        <x:v>1.430262386392772</x:v>
      </x:c>
      <x:c r="I24" s="43" t="n">
        <x:f>AVERAGEIFS('國內委外明細'!$J$4:$J$116,'國內委外明細'!$A$4:$A$116,A24,'國內委外明細'!$C$4:$C$116,C24,'國內委外明細'!$E$4:$E$116,E24)</x:f>
        <x:v>0.0894</x:v>
      </x:c>
      <x:c r="J24" s="31" t="str">
        <x:v>新臺幣元</x:v>
      </x:c>
      <x:c r="K24" s="32" t="str">
        <x:v>勞工退休基金-115年6月.pdf</x:v>
      </x:c>
    </x:row>
    <x:row r="25">
      <x:c r="A25" s="37" t="n">
        <x:v>46174</x:v>
      </x:c>
      <x:c r="B25" s="31" t="str">
        <x:v>115年6月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14343878377</x:v>
      </x:c>
      <x:c r="H25" s="43" t="n">
        <x:f>IFERROR(G25/F25-1,0)</x:f>
        <x:v>1.196343657036615</x:v>
      </x:c>
      <x:c r="I25" s="43" t="n">
        <x:f>AVERAGEIFS('國內委外明細'!$J$4:$J$116,'國內委外明細'!$A$4:$A$116,A25,'國內委外明細'!$C$4:$C$116,C25,'國內委外明細'!$E$4:$E$116,E25)</x:f>
        <x:v>1.1018999999999999</x:v>
      </x:c>
      <x:c r="J25" s="31" t="str">
        <x:v>新臺幣元</x:v>
      </x:c>
      <x:c r="K25" s="32" t="str">
        <x:v>勞工退休基金-115年6月.pdf</x:v>
      </x:c>
    </x:row>
    <x:row r="26">
      <x:c r="A26" s="37" t="n">
        <x:v>46174</x:v>
      </x:c>
      <x:c r="B26" s="31" t="str">
        <x:v>115年6月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90231466119</x:v>
      </x:c>
      <x:c r="H26" s="43" t="n">
        <x:f>IFERROR(G26/F26-1,0)</x:f>
        <x:v>2.2982314591016046</x:v>
      </x:c>
      <x:c r="I26" s="43" t="n">
        <x:f>AVERAGEIFS('國內委外明細'!$J$4:$J$116,'國內委外明細'!$A$4:$A$116,A26,'國內委外明細'!$C$4:$C$116,C26,'國內委外明細'!$E$4:$E$116,E26)</x:f>
        <x:v>0.12710000000000002</x:v>
      </x:c>
      <x:c r="J26" s="31" t="str">
        <x:v>新臺幣元</x:v>
      </x:c>
      <x:c r="K26" s="32" t="str">
        <x:v>勞工退休基金-115年6月.pdf</x:v>
      </x:c>
    </x:row>
    <x:row r="27">
      <x:c r="A27" s="37" t="n">
        <x:v>46174</x:v>
      </x:c>
      <x:c r="B27" s="31" t="str">
        <x:v>115年6月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23471604553</x:v>
      </x:c>
      <x:c r="H27" s="43" t="n">
        <x:f>IFERROR(G27/F27-1,0)</x:f>
        <x:v>2.1709575281117</x:v>
      </x:c>
      <x:c r="I27" s="43" t="n">
        <x:f>AVERAGEIFS('國內委外明細'!$J$4:$J$116,'國內委外明細'!$A$4:$A$116,A27,'國內委外明細'!$C$4:$C$116,C27,'國內委外明細'!$E$4:$E$116,E27)</x:f>
        <x:v>0.195</x:v>
      </x:c>
      <x:c r="J27" s="31" t="str">
        <x:v>新臺幣元</x:v>
      </x:c>
      <x:c r="K27" s="32" t="str">
        <x:v>勞工退休基金-115年6月.pdf</x:v>
      </x:c>
    </x:row>
    <x:row r="28">
      <x:c r="A28" s="37" t="n">
        <x:v>46174</x:v>
      </x:c>
      <x:c r="B28" s="31" t="str">
        <x:v>115年6月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95291252398</x:v>
      </x:c>
      <x:c r="H28" s="43" t="n">
        <x:f>IFERROR(G28/F28-1,0)</x:f>
        <x:v>2.3921706579341797</x:v>
      </x:c>
      <x:c r="I28" s="43" t="n">
        <x:f>AVERAGEIFS('國內委外明細'!$J$4:$J$116,'國內委外明細'!$A$4:$A$116,A28,'國內委外明細'!$C$4:$C$116,C28,'國內委外明細'!$E$4:$E$116,E28)</x:f>
        <x:v>0.2051</x:v>
      </x:c>
      <x:c r="J28" s="31" t="str">
        <x:v>新臺幣元</x:v>
      </x:c>
      <x:c r="K28" s="32" t="str">
        <x:v>勞工退休基金-115年6月.pdf</x:v>
      </x:c>
    </x:row>
    <x:row r="29">
      <x:c r="A29" s="37" t="n">
        <x:v>46174</x:v>
      </x:c>
      <x:c r="B29" s="31" t="str">
        <x:v>115年6月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13576723177</x:v>
      </x:c>
      <x:c r="H29" s="43" t="n">
        <x:f>IFERROR(G29/F29-1,0)</x:f>
        <x:v>1.7153446354000002</x:v>
      </x:c>
      <x:c r="I29" s="43" t="n">
        <x:f>AVERAGEIFS('國內委外明細'!$J$4:$J$116,'國內委外明細'!$A$4:$A$116,A29,'國內委外明細'!$C$4:$C$116,C29,'國內委外明細'!$E$4:$E$116,E29)</x:f>
        <x:v>1.6469999999999998</x:v>
      </x:c>
      <x:c r="J29" s="31" t="str">
        <x:v>新臺幣元</x:v>
      </x:c>
      <x:c r="K29" s="32" t="str">
        <x:v>勞工退休基金-115年6月.pdf</x:v>
      </x:c>
    </x:row>
    <x:row r="30">
      <x:c r="A30" s="37" t="n">
        <x:v>46174</x:v>
      </x:c>
      <x:c r="B30" s="31" t="str">
        <x:v>115年6月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52761431485</x:v>
      </x:c>
      <x:c r="H30" s="43" t="n">
        <x:f>IFERROR(G30/F30-1,0)</x:f>
        <x:v>1.5124491183333335</x:v>
      </x:c>
      <x:c r="I30" s="43" t="n">
        <x:f>AVERAGEIFS('國內委外明細'!$J$4:$J$116,'國內委外明細'!$A$4:$A$116,A30,'國內委外明細'!$C$4:$C$116,C30,'國內委外明細'!$E$4:$E$116,E30)</x:f>
        <x:v>0.1632</x:v>
      </x:c>
      <x:c r="J30" s="31" t="str">
        <x:v>新臺幣元</x:v>
      </x:c>
      <x:c r="K30" s="32" t="str">
        <x:v>勞工退休基金-115年6月.pdf</x:v>
      </x:c>
    </x:row>
    <x:row r="31">
      <x:c r="A31" s="37" t="n">
        <x:v>46174</x:v>
      </x:c>
      <x:c r="B31" s="31" t="str">
        <x:v>115年6月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17417419373</x:v>
      </x:c>
      <x:c r="H31" s="43" t="n">
        <x:f>IFERROR(G31/F31-1,0)</x:f>
        <x:v>1.899792065607778</x:v>
      </x:c>
      <x:c r="I31" s="43" t="n">
        <x:f>AVERAGEIFS('國內委外明細'!$J$4:$J$116,'國內委外明細'!$A$4:$A$116,A31,'國內委外明細'!$C$4:$C$116,C31,'國內委外明細'!$E$4:$E$116,E31)</x:f>
        <x:v>0.1641</x:v>
      </x:c>
      <x:c r="J31" s="31" t="str">
        <x:v>新臺幣元</x:v>
      </x:c>
      <x:c r="K31" s="32" t="str">
        <x:v>勞工保險基金-115年6月.pdf</x:v>
      </x:c>
    </x:row>
    <x:row r="32">
      <x:c r="A32" s="37" t="n">
        <x:v>46174</x:v>
      </x:c>
      <x:c r="B32" s="31" t="str">
        <x:v>115年6月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28677443414</x:v>
      </x:c>
      <x:c r="H32" s="43" t="n">
        <x:f>IFERROR(G32/F32-1,0)</x:f>
        <x:v>1.834897861677851</x:v>
      </x:c>
      <x:c r="I32" s="43" t="n">
        <x:f>AVERAGEIFS('國內委外明細'!$J$4:$J$116,'國內委外明細'!$A$4:$A$116,A32,'國內委外明細'!$C$4:$C$116,C32,'國內委外明細'!$E$4:$E$116,E32)</x:f>
        <x:v>0.1173</x:v>
      </x:c>
      <x:c r="J32" s="31" t="str">
        <x:v>新臺幣元</x:v>
      </x:c>
      <x:c r="K32" s="32" t="str">
        <x:v>勞工保險基金-115年6月.pdf</x:v>
      </x:c>
    </x:row>
    <x:row r="33">
      <x:c r="A33" s="37" t="n">
        <x:v>46174</x:v>
      </x:c>
      <x:c r="B33" s="31" t="str">
        <x:v>115年6月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26714511008</x:v>
      </x:c>
      <x:c r="H33" s="43" t="n">
        <x:f>IFERROR(G33/F33-1,0)</x:f>
        <x:v>1.740663214624134</x:v>
      </x:c>
      <x:c r="I33" s="43" t="n">
        <x:f>AVERAGEIFS('國內委外明細'!$J$4:$J$116,'國內委外明細'!$A$4:$A$116,A33,'國內委外明細'!$C$4:$C$116,C33,'國內委外明細'!$E$4:$E$116,E33)</x:f>
        <x:v>0.16269999999999998</x:v>
      </x:c>
      <x:c r="J33" s="31" t="str">
        <x:v>新臺幣元</x:v>
      </x:c>
      <x:c r="K33" s="32" t="str">
        <x:v>勞工保險基金-115年6月.pdf</x:v>
      </x:c>
    </x:row>
    <x:row r="34">
      <x:c r="A34" s="37" t="n">
        <x:v>46174</x:v>
      </x:c>
      <x:c r="B34" s="31" t="str">
        <x:v>115年6月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5437130312</x:v>
      </x:c>
      <x:c r="H34" s="43" t="n">
        <x:f>IFERROR(G34/F34-1,0)</x:f>
        <x:v>1.718565156</x:v>
      </x:c>
      <x:c r="I34" s="43" t="n">
        <x:f>AVERAGEIFS('國內委外明細'!$J$4:$J$116,'國內委外明細'!$A$4:$A$116,A34,'國內委外明細'!$C$4:$C$116,C34,'國內委外明細'!$E$4:$E$116,E34)</x:f>
        <x:v>1.6469999999999998</x:v>
      </x:c>
      <x:c r="J34" s="31" t="str">
        <x:v>新臺幣元</x:v>
      </x:c>
      <x:c r="K34" s="32" t="str">
        <x:v>勞工保險基金-115年6月.pdf</x:v>
      </x:c>
    </x:row>
    <x:row r="35">
      <x:c r="A35" s="37" t="n">
        <x:v>46174</x:v>
      </x:c>
      <x:c r="B35" s="31" t="str">
        <x:v>115年6月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3000000000</x:v>
      </x:c>
      <x:c r="G35" s="40" t="n">
        <x:f>SUMIFS('國內委外明細'!$H$4:$H$116,'國內委外明細'!$A$4:$A$116,A35,'國內委外明細'!$C$4:$C$116,C35,'國內委外明細'!$E$4:$E$116,E35)</x:f>
        <x:v>5156785772</x:v>
      </x:c>
      <x:c r="H35" s="43" t="n">
        <x:f>IFERROR(G35/F35-1,0)</x:f>
        <x:v>0.7189285906666667</x:v>
      </x:c>
      <x:c r="I35" s="43" t="n">
        <x:f>AVERAGEIFS('國內委外明細'!$J$4:$J$116,'國內委外明細'!$A$4:$A$116,A35,'國內委外明細'!$C$4:$C$116,C35,'國內委外明細'!$E$4:$E$116,E35)</x:f>
        <x:v>1.3033000000000001</x:v>
      </x:c>
      <x:c r="J35" s="31" t="str">
        <x:v>新臺幣元</x:v>
      </x:c>
      <x:c r="K35" s="32" t="str">
        <x:v>國民年金保險基金-115年6月.pdf</x:v>
      </x:c>
    </x:row>
    <x:row r="36">
      <x:c r="A36" s="37" t="n">
        <x:v>46174</x:v>
      </x:c>
      <x:c r="B36" s="31" t="str">
        <x:v>115年6月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1201791102</x:v>
      </x:c>
      <x:c r="H36" s="43" t="n">
        <x:f>IFERROR(G36/F36-1,0)</x:f>
        <x:v>0.0014925850000000462</x:v>
      </x:c>
      <x:c r="I36" s="43" t="n">
        <x:f>AVERAGEIFS('國內委外明細'!$J$4:$J$116,'國內委外明細'!$A$4:$A$116,A36,'國內委外明細'!$C$4:$C$116,C36,'國內委外明細'!$E$4:$E$116,E36)</x:f>
        <x:v>0.0037</x:v>
      </x:c>
      <x:c r="J36" s="31" t="str">
        <x:v>新臺幣元</x:v>
      </x:c>
      <x:c r="K36" s="32" t="str">
        <x:v>國民年金保險基金-115年6月.pdf</x:v>
      </x:c>
    </x:row>
    <x:row r="37">
      <x:c r="A37" s="37" t="n">
        <x:v>46174</x:v>
      </x:c>
      <x:c r="B37" s="31" t="str">
        <x:v>115年6月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SUMIFS('國外委外明細'!$G$4:$G$167,'國外委外明細'!$A$4:$A$167,A37,'國外委外明細'!$C$4:$C$167,C37,'國外委外明細'!$E$4:$E$167,E37)</x:f>
        <x:v>2239153597</x:v>
      </x:c>
      <x:c r="G37" s="40" t="n">
        <x:f>SUMIFS('國外委外明細'!$H$4:$H$167,'國外委外明細'!$A$4:$A$167,A37,'國外委外明細'!$C$4:$C$167,C37,'國外委外明細'!$E$4:$E$167,E37)</x:f>
        <x:v>2246094273</x:v>
      </x:c>
      <x:c r="H37" s="43" t="n">
        <x:f>IFERROR(G37/F37-1,0)</x:f>
        <x:v>0.0030996873145723303</x:v>
      </x:c>
      <x:c r="I37" s="43" t="e">
        <x:f>AVERAGEIFS('國外委外明細'!$J$4:$J$167,'國外委外明細'!$A$4:$A$167,A37,'國外委外明細'!$C$4:$C$167,C37,'國外委外明細'!$E$4:$E$167,E37)</x:f>
        <x:v>e.reduce is not a function</x:v>
      </x:c>
      <x:c r="J37" s="31" t="str">
        <x:v>美元</x:v>
      </x:c>
      <x:c r="K37" s="32" t="str">
        <x:v>勞工退休基金-115年6月.pdf</x:v>
      </x:c>
    </x:row>
    <x:row r="38">
      <x:c r="A38" s="37" t="n">
        <x:v>46174</x:v>
      </x:c>
      <x:c r="B38" s="31" t="str">
        <x:v>115年6月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SUMIFS('國外委外明細'!$G$4:$G$167,'國外委外明細'!$A$4:$A$167,A38,'國外委外明細'!$C$4:$C$167,C38,'國外委外明細'!$E$4:$E$167,E38)</x:f>
        <x:v>2408967886</x:v>
      </x:c>
      <x:c r="G38" s="40" t="n">
        <x:f>SUMIFS('國外委外明細'!$H$4:$H$167,'國外委外明細'!$A$4:$A$167,A38,'國外委外明細'!$C$4:$C$167,C38,'國外委外明細'!$E$4:$E$167,E38)</x:f>
        <x:v>2387519613</x:v>
      </x:c>
      <x:c r="H38" s="43" t="n">
        <x:f>IFERROR(G38/F38-1,0)</x:f>
        <x:v>-0.008903511385373486</x:v>
      </x:c>
      <x:c r="I38" s="43" t="e">
        <x:f>AVERAGEIFS('國外委外明細'!$J$4:$J$167,'國外委外明細'!$A$4:$A$167,A38,'國外委外明細'!$C$4:$C$167,C38,'國外委外明細'!$E$4:$E$167,E38)</x:f>
        <x:v>e.reduce is not a function</x:v>
      </x:c>
      <x:c r="J38" s="31" t="str">
        <x:v>美元</x:v>
      </x:c>
      <x:c r="K38" s="32" t="str">
        <x:v>勞工退休基金-115年6月.pdf</x:v>
      </x:c>
    </x:row>
    <x:row r="39">
      <x:c r="A39" s="37" t="n">
        <x:v>46174</x:v>
      </x:c>
      <x:c r="B39" s="31" t="str">
        <x:v>115年6月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SUMIFS('國外委外明細'!$G$4:$G$167,'國外委外明細'!$A$4:$A$167,A39,'國外委外明細'!$C$4:$C$167,C39,'國外委外明細'!$E$4:$E$167,E39)</x:f>
        <x:v>3419926421</x:v>
      </x:c>
      <x:c r="G39" s="40" t="n">
        <x:f>SUMIFS('國外委外明細'!$H$4:$H$167,'國外委外明細'!$A$4:$A$167,A39,'國外委外明細'!$C$4:$C$167,C39,'國外委外明細'!$E$4:$E$167,E39)</x:f>
        <x:v>6026698536</x:v>
      </x:c>
      <x:c r="H39" s="43" t="n">
        <x:f>IFERROR(G39/F39-1,0)</x:f>
        <x:v>0.7622304675893494</x:v>
      </x:c>
      <x:c r="I39" s="43" t="e">
        <x:f>AVERAGEIFS('國外委外明細'!$J$4:$J$167,'國外委外明細'!$A$4:$A$167,A39,'國外委外明細'!$C$4:$C$167,C39,'國外委外明細'!$E$4:$E$167,E39)</x:f>
        <x:v>e.reduce is not a function</x:v>
      </x:c>
      <x:c r="J39" s="31" t="str">
        <x:v>美元</x:v>
      </x:c>
      <x:c r="K39" s="32" t="str">
        <x:v>勞工退休基金-115年6月.pdf</x:v>
      </x:c>
    </x:row>
    <x:row r="40">
      <x:c r="A40" s="37" t="n">
        <x:v>46174</x:v>
      </x:c>
      <x:c r="B40" s="31" t="str">
        <x:v>115年6月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SUMIFS('國外委外明細'!$G$4:$G$167,'國外委外明細'!$A$4:$A$167,A40,'國外委外明細'!$C$4:$C$167,C40,'國外委外明細'!$E$4:$E$167,E40)</x:f>
        <x:v>656507639</x:v>
      </x:c>
      <x:c r="G40" s="40" t="n">
        <x:f>SUMIFS('國外委外明細'!$H$4:$H$167,'國外委外明細'!$A$4:$A$167,A40,'國外委外明細'!$C$4:$C$167,C40,'國外委外明細'!$E$4:$E$167,E40)</x:f>
        <x:v>1293736356</x:v>
      </x:c>
      <x:c r="H40" s="43" t="n">
        <x:f>IFERROR(G40/F40-1,0)</x:f>
        <x:v>0.9706341238780316</x:v>
      </x:c>
      <x:c r="I40" s="43" t="e">
        <x:f>AVERAGEIFS('國外委外明細'!$J$4:$J$167,'國外委外明細'!$A$4:$A$167,A40,'國外委外明細'!$C$4:$C$167,C40,'國外委外明細'!$E$4:$E$167,E40)</x:f>
        <x:v>e.reduce is not a function</x:v>
      </x:c>
      <x:c r="J40" s="31" t="str">
        <x:v>美元</x:v>
      </x:c>
      <x:c r="K40" s="32" t="str">
        <x:v>勞工退休基金-115年6月.pdf</x:v>
      </x:c>
    </x:row>
    <x:row r="41">
      <x:c r="A41" s="37" t="n">
        <x:v>46174</x:v>
      </x:c>
      <x:c r="B41" s="31" t="str">
        <x:v>115年6月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SUMIFS('國外委外明細'!$G$4:$G$167,'國外委外明細'!$A$4:$A$167,A41,'國外委外明細'!$C$4:$C$167,C41,'國外委外明細'!$E$4:$E$167,E41)</x:f>
        <x:v>3104747493</x:v>
      </x:c>
      <x:c r="G41" s="40" t="n">
        <x:f>SUMIFS('國外委外明細'!$H$4:$H$167,'國外委外明細'!$A$4:$A$167,A41,'國外委外明細'!$C$4:$C$167,C41,'國外委外明細'!$E$4:$E$167,E41)</x:f>
        <x:v>5523734017</x:v>
      </x:c>
      <x:c r="H41" s="43" t="n">
        <x:f>IFERROR(G41/F41-1,0)</x:f>
        <x:v>0.77912504300394</x:v>
      </x:c>
      <x:c r="I41" s="43" t="e">
        <x:f>AVERAGEIFS('國外委外明細'!$J$4:$J$167,'國外委外明細'!$A$4:$A$167,A41,'國外委外明細'!$C$4:$C$167,C41,'國外委外明細'!$E$4:$E$167,E41)</x:f>
        <x:v>e.reduce is not a function</x:v>
      </x:c>
      <x:c r="J41" s="31" t="str">
        <x:v>美元</x:v>
      </x:c>
      <x:c r="K41" s="32" t="str">
        <x:v>勞工退休基金-115年6月.pdf</x:v>
      </x:c>
    </x:row>
    <x:row r="42">
      <x:c r="A42" s="37" t="n">
        <x:v>46174</x:v>
      </x:c>
      <x:c r="B42" s="31" t="str">
        <x:v>115年6月</x:v>
      </x:c>
      <x:c r="C42" s="31" t="str">
        <x:v>新制</x:v>
      </x:c>
      <x:c r="D42" s="31" t="str">
        <x:v>國外</x:v>
      </x:c>
      <x:c r="E42" s="31" t="str">
        <x:v>100-1全球基本面指數被動股票型（續約2）</x:v>
      </x:c>
      <x:c r="F42" s="40" t="n">
        <x:f>SUMIFS('國外委外明細'!$G$4:$G$167,'國外委外明細'!$A$4:$A$167,A42,'國外委外明細'!$C$4:$C$167,C42,'國外委外明細'!$E$4:$E$167,E42)</x:f>
        <x:v>1874292536</x:v>
      </x:c>
      <x:c r="G42" s="40" t="n">
        <x:f>SUMIFS('國外委外明細'!$H$4:$H$167,'國外委外明細'!$A$4:$A$167,A42,'國外委外明細'!$C$4:$C$167,C42,'國外委外明細'!$E$4:$E$167,E42)</x:f>
        <x:v>3370468847</x:v>
      </x:c>
      <x:c r="H42" s="43" t="n">
        <x:f>IFERROR(G42/F42-1,0)</x:f>
        <x:v>0.7982618946949698</x:v>
      </x:c>
      <x:c r="I42" s="43" t="e">
        <x:f>AVERAGEIFS('國外委外明細'!$J$4:$J$167,'國外委外明細'!$A$4:$A$167,A42,'國外委外明細'!$C$4:$C$167,C42,'國外委外明細'!$E$4:$E$167,E42)</x:f>
        <x:v>e.reduce is not a function</x:v>
      </x:c>
      <x:c r="J42" s="31" t="str">
        <x:v>美元</x:v>
      </x:c>
      <x:c r="K42" s="32" t="str">
        <x:v>勞工退休基金-115年6月.pdf</x:v>
      </x:c>
    </x:row>
    <x:row r="43">
      <x:c r="A43" s="37" t="n">
        <x:v>46174</x:v>
      </x:c>
      <x:c r="B43" s="31" t="str">
        <x:v>115年6月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SUMIFS('國外委外明細'!$G$4:$G$167,'國外委外明細'!$A$4:$A$167,A43,'國外委外明細'!$C$4:$C$167,C43,'國外委外明細'!$E$4:$E$167,E43)</x:f>
        <x:v>3973059884</x:v>
      </x:c>
      <x:c r="G43" s="40" t="n">
        <x:f>SUMIFS('國外委外明細'!$H$4:$H$167,'國外委外明細'!$A$4:$A$167,A43,'國外委外明細'!$C$4:$C$167,C43,'國外委外明細'!$E$4:$E$167,E43)</x:f>
        <x:v>4371844572</x:v>
      </x:c>
      <x:c r="H43" s="43" t="n">
        <x:f>IFERROR(G43/F43-1,0)</x:f>
        <x:v>0.10037218155355654</x:v>
      </x:c>
      <x:c r="I43" s="43" t="e">
        <x:f>AVERAGEIFS('國外委外明細'!$J$4:$J$167,'國外委外明細'!$A$4:$A$167,A43,'國外委外明細'!$C$4:$C$167,C43,'國外委外明細'!$E$4:$E$167,E43)</x:f>
        <x:v>e.reduce is not a function</x:v>
      </x:c>
      <x:c r="J43" s="31" t="str">
        <x:v>美元</x:v>
      </x:c>
      <x:c r="K43" s="32" t="str">
        <x:v>勞工退休基金-115年6月.pdf</x:v>
      </x:c>
    </x:row>
    <x:row r="44">
      <x:c r="A44" s="37" t="n">
        <x:v>46174</x:v>
      </x:c>
      <x:c r="B44" s="31" t="str">
        <x:v>115年6月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SUMIFS('國外委外明細'!$G$4:$G$167,'國外委外明細'!$A$4:$A$167,A44,'國外委外明細'!$C$4:$C$167,C44,'國外委外明細'!$E$4:$E$167,E44)</x:f>
        <x:v>618843493</x:v>
      </x:c>
      <x:c r="G44" s="40" t="n">
        <x:f>SUMIFS('國外委外明細'!$H$4:$H$167,'國外委外明細'!$A$4:$A$167,A44,'國外委外明細'!$C$4:$C$167,C44,'國外委外明細'!$E$4:$E$167,E44)</x:f>
        <x:v>777512698</x:v>
      </x:c>
      <x:c r="H44" s="43" t="n">
        <x:f>IFERROR(G44/F44-1,0)</x:f>
        <x:v>0.25639633735310197</x:v>
      </x:c>
      <x:c r="I44" s="43" t="e">
        <x:f>AVERAGEIFS('國外委外明細'!$J$4:$J$167,'國外委外明細'!$A$4:$A$167,A44,'國外委外明細'!$C$4:$C$167,C44,'國外委外明細'!$E$4:$E$167,E44)</x:f>
        <x:v>e.reduce is not a function</x:v>
      </x:c>
      <x:c r="J44" s="31" t="str">
        <x:v>美元</x:v>
      </x:c>
      <x:c r="K44" s="32" t="str">
        <x:v>勞工退休基金-115年6月.pdf</x:v>
      </x:c>
    </x:row>
    <x:row r="45">
      <x:c r="A45" s="37" t="n">
        <x:v>46174</x:v>
      </x:c>
      <x:c r="B45" s="31" t="str">
        <x:v>115年6月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SUMIFS('國外委外明細'!$G$4:$G$167,'國外委外明細'!$A$4:$A$167,A45,'國外委外明細'!$C$4:$C$167,C45,'國外委外明細'!$E$4:$E$167,E45)</x:f>
        <x:v>2615403946</x:v>
      </x:c>
      <x:c r="G45" s="40" t="n">
        <x:f>SUMIFS('國外委外明細'!$H$4:$H$167,'國外委外明細'!$A$4:$A$167,A45,'國外委外明細'!$C$4:$C$167,C45,'國外委外明細'!$E$4:$E$167,E45)</x:f>
        <x:v>3352486756</x:v>
      </x:c>
      <x:c r="H45" s="43" t="n">
        <x:f>IFERROR(G45/F45-1,0)</x:f>
        <x:v>0.2818236973020152</x:v>
      </x:c>
      <x:c r="I45" s="43" t="e">
        <x:f>AVERAGEIFS('國外委外明細'!$J$4:$J$167,'國外委外明細'!$A$4:$A$167,A45,'國外委外明細'!$C$4:$C$167,C45,'國外委外明細'!$E$4:$E$167,E45)</x:f>
        <x:v>e.reduce is not a function</x:v>
      </x:c>
      <x:c r="J45" s="31" t="str">
        <x:v>美元</x:v>
      </x:c>
      <x:c r="K45" s="32" t="str">
        <x:v>勞工退休基金-115年6月.pdf</x:v>
      </x:c>
    </x:row>
    <x:row r="46">
      <x:c r="A46" s="37" t="n">
        <x:v>46174</x:v>
      </x:c>
      <x:c r="B46" s="31" t="str">
        <x:v>115年6月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SUMIFS('國外委外明細'!$G$4:$G$167,'國外委外明細'!$A$4:$A$167,A46,'國外委外明細'!$C$4:$C$167,C46,'國外委外明細'!$E$4:$E$167,E46)</x:f>
        <x:v>4468396599</x:v>
      </x:c>
      <x:c r="G46" s="40" t="n">
        <x:f>SUMIFS('國外委外明細'!$H$4:$H$167,'國外委外明細'!$A$4:$A$167,A46,'國外委外明細'!$C$4:$C$167,C46,'國外委外明細'!$E$4:$E$167,E46)</x:f>
        <x:v>6035943472</x:v>
      </x:c>
      <x:c r="H46" s="43" t="n">
        <x:f>IFERROR(G46/F46-1,0)</x:f>
        <x:v>0.350807462647968</x:v>
      </x:c>
      <x:c r="I46" s="43" t="e">
        <x:f>AVERAGEIFS('國外委外明細'!$J$4:$J$167,'國外委外明細'!$A$4:$A$167,A46,'國外委外明細'!$C$4:$C$167,C46,'國外委外明細'!$E$4:$E$167,E46)</x:f>
        <x:v>e.reduce is not a function</x:v>
      </x:c>
      <x:c r="J46" s="31" t="str">
        <x:v>美元</x:v>
      </x:c>
      <x:c r="K46" s="32" t="str">
        <x:v>勞工退休基金-115年6月.pdf</x:v>
      </x:c>
    </x:row>
    <x:row r="47">
      <x:c r="A47" s="37" t="n">
        <x:v>46174</x:v>
      </x:c>
      <x:c r="B47" s="31" t="str">
        <x:v>115年6月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SUMIFS('國外委外明細'!$G$4:$G$167,'國外委外明細'!$A$4:$A$167,A47,'國外委外明細'!$C$4:$C$167,C47,'國外委外明細'!$E$4:$E$167,E47)</x:f>
        <x:v>2798513681</x:v>
      </x:c>
      <x:c r="G47" s="40" t="n">
        <x:f>SUMIFS('國外委外明細'!$H$4:$H$167,'國外委外明細'!$A$4:$A$167,A47,'國外委外明細'!$C$4:$C$167,C47,'國外委外明細'!$E$4:$E$167,E47)</x:f>
        <x:v>3214517065</x:v>
      </x:c>
      <x:c r="H47" s="43" t="n">
        <x:f>IFERROR(G47/F47-1,0)</x:f>
        <x:v>0.14865154557734672</x:v>
      </x:c>
      <x:c r="I47" s="43" t="e">
        <x:f>AVERAGEIFS('國外委外明細'!$J$4:$J$167,'國外委外明細'!$A$4:$A$167,A47,'國外委外明細'!$C$4:$C$167,C47,'國外委外明細'!$E$4:$E$167,E47)</x:f>
        <x:v>e.reduce is not a function</x:v>
      </x:c>
      <x:c r="J47" s="31" t="str">
        <x:v>美元</x:v>
      </x:c>
      <x:c r="K47" s="32" t="str">
        <x:v>勞工退休基金-115年6月.pdf</x:v>
      </x:c>
    </x:row>
    <x:row r="48">
      <x:c r="A48" s="37" t="n">
        <x:v>46174</x:v>
      </x:c>
      <x:c r="B48" s="31" t="str">
        <x:v>115年6月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SUMIFS('國外委外明細'!$G$4:$G$167,'國外委外明細'!$A$4:$A$167,A48,'國外委外明細'!$C$4:$C$167,C48,'國外委外明細'!$E$4:$E$167,E48)</x:f>
        <x:v>9619675493</x:v>
      </x:c>
      <x:c r="G48" s="40" t="n">
        <x:f>SUMIFS('國外委外明細'!$H$4:$H$167,'國外委外明細'!$A$4:$A$167,A48,'國外委外明細'!$C$4:$C$167,C48,'國外委外明細'!$E$4:$E$167,E48)</x:f>
        <x:v>11822938073</x:v>
      </x:c>
      <x:c r="H48" s="43" t="n">
        <x:f>IFERROR(G48/F48-1,0)</x:f>
        <x:v>0.22903710022269053</x:v>
      </x:c>
      <x:c r="I48" s="43" t="e">
        <x:f>AVERAGEIFS('國外委外明細'!$J$4:$J$167,'國外委外明細'!$A$4:$A$167,A48,'國外委外明細'!$C$4:$C$167,C48,'國外委外明細'!$E$4:$E$167,E48)</x:f>
        <x:v>e.reduce is not a function</x:v>
      </x:c>
      <x:c r="J48" s="31" t="str">
        <x:v>美元</x:v>
      </x:c>
      <x:c r="K48" s="32" t="str">
        <x:v>勞工退休基金-115年6月.pdf</x:v>
      </x:c>
    </x:row>
    <x:row r="49">
      <x:c r="A49" s="37" t="n">
        <x:v>46174</x:v>
      </x:c>
      <x:c r="B49" s="31" t="str">
        <x:v>115年6月</x:v>
      </x:c>
      <x:c r="C49" s="31" t="str">
        <x:v>新制</x:v>
      </x:c>
      <x:c r="D49" s="31" t="str">
        <x:v>國外</x:v>
      </x:c>
      <x:c r="E49" s="31" t="str">
        <x:v>104-2全球基礎建設有價證券型（續約）</x:v>
      </x:c>
      <x:c r="F49" s="40" t="n">
        <x:f>SUMIFS('國外委外明細'!$G$4:$G$167,'國外委外明細'!$A$4:$A$167,A49,'國外委外明細'!$C$4:$C$167,C49,'國外委外明細'!$E$4:$E$167,E49)</x:f>
        <x:v>2827776282</x:v>
      </x:c>
      <x:c r="G49" s="40" t="n">
        <x:f>SUMIFS('國外委外明細'!$H$4:$H$167,'國外委外明細'!$A$4:$A$167,A49,'國外委外明細'!$C$4:$C$167,C49,'國外委外明細'!$E$4:$E$167,E49)</x:f>
        <x:v>3151248865</x:v>
      </x:c>
      <x:c r="H49" s="43" t="n">
        <x:f>IFERROR(G49/F49-1,0)</x:f>
        <x:v>0.11439115076360196</x:v>
      </x:c>
      <x:c r="I49" s="43" t="e">
        <x:f>AVERAGEIFS('國外委外明細'!$J$4:$J$167,'國外委外明細'!$A$4:$A$167,A49,'國外委外明細'!$C$4:$C$167,C49,'國外委外明細'!$E$4:$E$167,E49)</x:f>
        <x:v>e.reduce is not a function</x:v>
      </x:c>
      <x:c r="J49" s="31" t="str">
        <x:v>美元</x:v>
      </x:c>
      <x:c r="K49" s="32" t="str">
        <x:v>勞工退休基金-115年6月.pdf</x:v>
      </x:c>
    </x:row>
    <x:row r="50">
      <x:c r="A50" s="37" t="n">
        <x:v>46174</x:v>
      </x:c>
      <x:c r="B50" s="31" t="str">
        <x:v>115年6月</x:v>
      </x:c>
      <x:c r="C50" s="31" t="str">
        <x:v>新制</x:v>
      </x:c>
      <x:c r="D50" s="31" t="str">
        <x:v>國外</x:v>
      </x:c>
      <x:c r="E50" s="31" t="str">
        <x:v>105-1全球多元資產型(續約)</x:v>
      </x:c>
      <x:c r="F50" s="40" t="n">
        <x:f>SUMIFS('國外委外明細'!$G$4:$G$167,'國外委外明細'!$A$4:$A$167,A50,'國外委外明細'!$C$4:$C$167,C50,'國外委外明細'!$E$4:$E$167,E50)</x:f>
        <x:v>4015451736</x:v>
      </x:c>
      <x:c r="G50" s="40" t="n">
        <x:f>SUMIFS('國外委外明細'!$H$4:$H$167,'國外委外明細'!$A$4:$A$167,A50,'國外委外明細'!$C$4:$C$167,C50,'國外委外明細'!$E$4:$E$167,E50)</x:f>
        <x:v>5199177445</x:v>
      </x:c>
      <x:c r="H50" s="43" t="n">
        <x:f>IFERROR(G50/F50-1,0)</x:f>
        <x:v>0.29479266265049686</x:v>
      </x:c>
      <x:c r="I50" s="43" t="e">
        <x:f>AVERAGEIFS('國外委外明細'!$J$4:$J$167,'國外委外明細'!$A$4:$A$167,A50,'國外委外明細'!$C$4:$C$167,C50,'國外委外明細'!$E$4:$E$167,E50)</x:f>
        <x:v>e.reduce is not a function</x:v>
      </x:c>
      <x:c r="J50" s="31" t="str">
        <x:v>美元</x:v>
      </x:c>
      <x:c r="K50" s="32" t="str">
        <x:v>勞工退休基金-115年6月.pdf</x:v>
      </x:c>
    </x:row>
    <x:row r="51">
      <x:c r="A51" s="37" t="n">
        <x:v>46174</x:v>
      </x:c>
      <x:c r="B51" s="31" t="str">
        <x:v>115年6月</x:v>
      </x:c>
      <x:c r="C51" s="31" t="str">
        <x:v>新制</x:v>
      </x:c>
      <x:c r="D51" s="31" t="str">
        <x:v>國外</x:v>
      </x:c>
      <x:c r="E51" s="31" t="str">
        <x:v>105-1亞太混合指數增值股票型(續約)</x:v>
      </x:c>
      <x:c r="F51" s="40" t="n">
        <x:f>SUMIFS('國外委外明細'!$G$4:$G$167,'國外委外明細'!$A$4:$A$167,A51,'國外委外明細'!$C$4:$C$167,C51,'國外委外明細'!$E$4:$E$167,E51)</x:f>
        <x:v>949175052</x:v>
      </x:c>
      <x:c r="G51" s="40" t="n">
        <x:f>SUMIFS('國外委外明細'!$H$4:$H$167,'國外委外明細'!$A$4:$A$167,A51,'國外委外明細'!$C$4:$C$167,C51,'國外委外明細'!$E$4:$E$167,E51)</x:f>
        <x:v>1718850535</x:v>
      </x:c>
      <x:c r="H51" s="43" t="n">
        <x:f>IFERROR(G51/F51-1,0)</x:f>
        <x:v>0.8108888675257764</x:v>
      </x:c>
      <x:c r="I51" s="43" t="e">
        <x:f>AVERAGEIFS('國外委外明細'!$J$4:$J$167,'國外委外明細'!$A$4:$A$167,A51,'國外委外明細'!$C$4:$C$167,C51,'國外委外明細'!$E$4:$E$167,E51)</x:f>
        <x:v>e.reduce is not a function</x:v>
      </x:c>
      <x:c r="J51" s="31" t="str">
        <x:v>美元</x:v>
      </x:c>
      <x:c r="K51" s="32" t="str">
        <x:v>勞工退休基金-115年6月.pdf</x:v>
      </x:c>
    </x:row>
    <x:row r="52">
      <x:c r="A52" s="37" t="n">
        <x:v>46174</x:v>
      </x:c>
      <x:c r="B52" s="31" t="str">
        <x:v>115年6月</x:v>
      </x:c>
      <x:c r="C52" s="31" t="str">
        <x:v>新制</x:v>
      </x:c>
      <x:c r="D52" s="31" t="str">
        <x:v>國外</x:v>
      </x:c>
      <x:c r="E52" s="31" t="str">
        <x:v>106-1全球ESG混合指數被動股票型(續約)</x:v>
      </x:c>
      <x:c r="F52" s="40" t="n">
        <x:f>SUMIFS('國外委外明細'!$G$4:$G$167,'國外委外明細'!$A$4:$A$167,A52,'國外委外明細'!$C$4:$C$167,C52,'國外委外明細'!$E$4:$E$167,E52)</x:f>
        <x:v>3101360175</x:v>
      </x:c>
      <x:c r="G52" s="40" t="n">
        <x:f>SUMIFS('國外委外明細'!$H$4:$H$167,'國外委外明細'!$A$4:$A$167,A52,'國外委外明細'!$C$4:$C$167,C52,'國外委外明細'!$E$4:$E$167,E52)</x:f>
        <x:v>5660177489</x:v>
      </x:c>
      <x:c r="H52" s="43" t="n">
        <x:f>IFERROR(G52/F52-1,0)</x:f>
        <x:v>0.8250629303318502</x:v>
      </x:c>
      <x:c r="I52" s="43" t="e">
        <x:f>AVERAGEIFS('國外委外明細'!$J$4:$J$167,'國外委外明細'!$A$4:$A$167,A52,'國外委外明細'!$C$4:$C$167,C52,'國外委外明細'!$E$4:$E$167,E52)</x:f>
        <x:v>e.reduce is not a function</x:v>
      </x:c>
      <x:c r="J52" s="31" t="str">
        <x:v>美元</x:v>
      </x:c>
      <x:c r="K52" s="32" t="str">
        <x:v>勞工退休基金-115年6月.pdf</x:v>
      </x:c>
    </x:row>
    <x:row r="53">
      <x:c r="A53" s="37" t="n">
        <x:v>46174</x:v>
      </x:c>
      <x:c r="B53" s="31" t="str">
        <x:v>115年6月</x:v>
      </x:c>
      <x:c r="C53" s="31" t="str">
        <x:v>新制</x:v>
      </x:c>
      <x:c r="D53" s="31" t="str">
        <x:v>國外</x:v>
      </x:c>
      <x:c r="E53" s="31" t="str">
        <x:v>106-1絕對報酬債券型(續約)</x:v>
      </x:c>
      <x:c r="F53" s="40" t="n">
        <x:f>SUMIFS('國外委外明細'!$G$4:$G$167,'國外委外明細'!$A$4:$A$167,A53,'國外委外明細'!$C$4:$C$167,C53,'國外委外明細'!$E$4:$E$167,E53)</x:f>
        <x:v>2372190430</x:v>
      </x:c>
      <x:c r="G53" s="40" t="n">
        <x:f>SUMIFS('國外委外明細'!$H$4:$H$167,'國外委外明細'!$A$4:$A$167,A53,'國外委外明細'!$C$4:$C$167,C53,'國外委外明細'!$E$4:$E$167,E53)</x:f>
        <x:v>2973735150</x:v>
      </x:c>
      <x:c r="H53" s="43" t="n">
        <x:f>IFERROR(G53/F53-1,0)</x:f>
        <x:v>0.2535819689652825</x:v>
      </x:c>
      <x:c r="I53" s="43" t="e">
        <x:f>AVERAGEIFS('國外委外明細'!$J$4:$J$167,'國外委外明細'!$A$4:$A$167,A53,'國外委外明細'!$C$4:$C$167,C53,'國外委外明細'!$E$4:$E$167,E53)</x:f>
        <x:v>e.reduce is not a function</x:v>
      </x:c>
      <x:c r="J53" s="31" t="str">
        <x:v>美元</x:v>
      </x:c>
      <x:c r="K53" s="32" t="str">
        <x:v>勞工退休基金-115年6月.pdf</x:v>
      </x:c>
    </x:row>
    <x:row r="54">
      <x:c r="A54" s="37" t="n">
        <x:v>46174</x:v>
      </x:c>
      <x:c r="B54" s="31" t="str">
        <x:v>115年6月</x:v>
      </x:c>
      <x:c r="C54" s="31" t="str">
        <x:v>新制</x:v>
      </x:c>
      <x:c r="D54" s="31" t="str">
        <x:v>國外</x:v>
      </x:c>
      <x:c r="E54" s="31" t="str">
        <x:v>107-1絕對報酬股票型（續約）</x:v>
      </x:c>
      <x:c r="F54" s="40" t="n">
        <x:f>SUMIFS('國外委外明細'!$G$4:$G$167,'國外委外明細'!$A$4:$A$167,A54,'國外委外明細'!$C$4:$C$167,C54,'國外委外明細'!$E$4:$E$167,E54)</x:f>
        <x:v>5127486283</x:v>
      </x:c>
      <x:c r="G54" s="40" t="n">
        <x:f>SUMIFS('國外委外明細'!$H$4:$H$167,'國外委外明細'!$A$4:$A$167,A54,'國外委外明細'!$C$4:$C$167,C54,'國外委外明細'!$E$4:$E$167,E54)</x:f>
        <x:v>7044221658</x:v>
      </x:c>
      <x:c r="H54" s="43" t="n">
        <x:f>IFERROR(G54/F54-1,0)</x:f>
        <x:v>0.3738157976852847</x:v>
      </x:c>
      <x:c r="I54" s="43" t="e">
        <x:f>AVERAGEIFS('國外委外明細'!$J$4:$J$167,'國外委外明細'!$A$4:$A$167,A54,'國外委外明細'!$C$4:$C$167,C54,'國外委外明細'!$E$4:$E$167,E54)</x:f>
        <x:v>e.reduce is not a function</x:v>
      </x:c>
      <x:c r="J54" s="31" t="str">
        <x:v>美元</x:v>
      </x:c>
      <x:c r="K54" s="32" t="str">
        <x:v>勞工退休基金-115年6月.pdf</x:v>
      </x:c>
    </x:row>
    <x:row r="55">
      <x:c r="A55" s="37" t="n">
        <x:v>46174</x:v>
      </x:c>
      <x:c r="B55" s="31" t="str">
        <x:v>115年6月</x:v>
      </x:c>
      <x:c r="C55" s="31" t="str">
        <x:v>新制</x:v>
      </x:c>
      <x:c r="D55" s="31" t="str">
        <x:v>國外</x:v>
      </x:c>
      <x:c r="E55" s="31" t="str">
        <x:v>109-1全球美元公司增值債券型（續約）</x:v>
      </x:c>
      <x:c r="F55" s="40" t="n">
        <x:f>SUMIFS('國外委外明細'!$G$4:$G$167,'國外委外明細'!$A$4:$A$167,A55,'國外委外明細'!$C$4:$C$167,C55,'國外委外明細'!$E$4:$E$167,E55)</x:f>
        <x:v>2292631829</x:v>
      </x:c>
      <x:c r="G55" s="40" t="n">
        <x:f>SUMIFS('國外委外明細'!$H$4:$H$167,'國外委外明細'!$A$4:$A$167,A55,'國外委外明細'!$C$4:$C$167,C55,'國外委外明細'!$E$4:$E$167,E55)</x:f>
        <x:v>2308646314</x:v>
      </x:c>
      <x:c r="H55" s="43" t="n">
        <x:f>IFERROR(G55/F55-1,0)</x:f>
        <x:v>0.006985197011325273</x:v>
      </x:c>
      <x:c r="I55" s="43" t="e">
        <x:f>AVERAGEIFS('國外委外明細'!$J$4:$J$167,'國外委外明細'!$A$4:$A$167,A55,'國外委外明細'!$C$4:$C$167,C55,'國外委外明細'!$E$4:$E$167,E55)</x:f>
        <x:v>e.reduce is not a function</x:v>
      </x:c>
      <x:c r="J55" s="31" t="str">
        <x:v>美元</x:v>
      </x:c>
      <x:c r="K55" s="32" t="str">
        <x:v>勞工退休基金-115年6月.pdf</x:v>
      </x:c>
    </x:row>
    <x:row r="56">
      <x:c r="A56" s="37" t="n">
        <x:v>46174</x:v>
      </x:c>
      <x:c r="B56" s="31" t="str">
        <x:v>115年6月</x:v>
      </x:c>
      <x:c r="C56" s="31" t="str">
        <x:v>新制</x:v>
      </x:c>
      <x:c r="D56" s="31" t="str">
        <x:v>國外</x:v>
      </x:c>
      <x:c r="E56" s="31" t="str">
        <x:v>110-1全球基礎建設有價證券型</x:v>
      </x:c>
      <x:c r="F56" s="40" t="n">
        <x:f>SUMIFS('國外委外明細'!$G$4:$G$167,'國外委外明細'!$A$4:$A$167,A56,'國外委外明細'!$C$4:$C$167,C56,'國外委外明細'!$E$4:$E$167,E56)</x:f>
        <x:v>1910000000</x:v>
      </x:c>
      <x:c r="G56" s="40" t="n">
        <x:f>SUMIFS('國外委外明細'!$H$4:$H$167,'國外委外明細'!$A$4:$A$167,A56,'國外委外明細'!$C$4:$C$167,C56,'國外委外明細'!$E$4:$E$167,E56)</x:f>
        <x:v>2610522572</x:v>
      </x:c>
      <x:c r="H56" s="43" t="n">
        <x:f>IFERROR(G56/F56-1,0)</x:f>
        <x:v>0.3667657445026178</x:v>
      </x:c>
      <x:c r="I56" s="43" t="e">
        <x:f>AVERAGEIFS('國外委外明細'!$J$4:$J$167,'國外委外明細'!$A$4:$A$167,A56,'國外委外明細'!$C$4:$C$167,C56,'國外委外明細'!$E$4:$E$167,E56)</x:f>
        <x:v>e.reduce is not a function</x:v>
      </x:c>
      <x:c r="J56" s="31" t="str">
        <x:v>美元</x:v>
      </x:c>
      <x:c r="K56" s="32" t="str">
        <x:v>勞工退休基金-115年6月.pdf</x:v>
      </x:c>
    </x:row>
    <x:row r="57">
      <x:c r="A57" s="37" t="n">
        <x:v>46174</x:v>
      </x:c>
      <x:c r="B57" s="31" t="str">
        <x:v>115年6月</x:v>
      </x:c>
      <x:c r="C57" s="31" t="str">
        <x:v>新制</x:v>
      </x:c>
      <x:c r="D57" s="31" t="str">
        <x:v>國外</x:v>
      </x:c>
      <x:c r="E57" s="31" t="str">
        <x:v>110-1全球多元資產型</x:v>
      </x:c>
      <x:c r="F57" s="40" t="n">
        <x:f>SUMIFS('國外委外明細'!$G$4:$G$167,'國外委外明細'!$A$4:$A$167,A57,'國外委外明細'!$C$4:$C$167,C57,'國外委外明細'!$E$4:$E$167,E57)</x:f>
        <x:v>2000000000</x:v>
      </x:c>
      <x:c r="G57" s="40" t="n">
        <x:f>SUMIFS('國外委外明細'!$H$4:$H$167,'國外委外明細'!$A$4:$A$167,A57,'國外委外明細'!$C$4:$C$167,C57,'國外委外明細'!$E$4:$E$167,E57)</x:f>
        <x:v>2564228615</x:v>
      </x:c>
      <x:c r="H57" s="43" t="n">
        <x:f>IFERROR(G57/F57-1,0)</x:f>
        <x:v>0.2821143075000001</x:v>
      </x:c>
      <x:c r="I57" s="43" t="e">
        <x:f>AVERAGEIFS('國外委外明細'!$J$4:$J$167,'國外委外明細'!$A$4:$A$167,A57,'國外委外明細'!$C$4:$C$167,C57,'國外委外明細'!$E$4:$E$167,E57)</x:f>
        <x:v>e.reduce is not a function</x:v>
      </x:c>
      <x:c r="J57" s="31" t="str">
        <x:v>美元</x:v>
      </x:c>
      <x:c r="K57" s="32" t="str">
        <x:v>勞工退休基金-115年6月.pdf</x:v>
      </x:c>
    </x:row>
    <x:row r="58">
      <x:c r="A58" s="37" t="n">
        <x:v>46174</x:v>
      </x:c>
      <x:c r="B58" s="31" t="str">
        <x:v>115年6月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40" t="n">
        <x:f>SUMIFS('國外委外明細'!$G$4:$G$167,'國外委外明細'!$A$4:$A$167,A58,'國外委外明細'!$C$4:$C$167,C58,'國外委外明細'!$E$4:$E$167,E58)</x:f>
        <x:v>2000000000</x:v>
      </x:c>
      <x:c r="G58" s="40" t="n">
        <x:f>SUMIFS('國外委外明細'!$H$4:$H$167,'國外委外明細'!$A$4:$A$167,A58,'國外委外明細'!$C$4:$C$167,C58,'國外委外明細'!$E$4:$E$167,E58)</x:f>
        <x:v>3032601930</x:v>
      </x:c>
      <x:c r="H58" s="43" t="n">
        <x:f>IFERROR(G58/F58-1,0)</x:f>
        <x:v>0.5163009649999999</x:v>
      </x:c>
      <x:c r="I58" s="43" t="e">
        <x:f>AVERAGEIFS('國外委外明細'!$J$4:$J$167,'國外委外明細'!$A$4:$A$167,A58,'國外委外明細'!$C$4:$C$167,C58,'國外委外明細'!$E$4:$E$167,E58)</x:f>
        <x:v>e.reduce is not a function</x:v>
      </x:c>
      <x:c r="J58" s="31" t="str">
        <x:v>美元</x:v>
      </x:c>
      <x:c r="K58" s="32" t="str">
        <x:v>勞工退休基金-115年6月.pdf</x:v>
      </x:c>
    </x:row>
    <x:row r="59">
      <x:c r="A59" s="37" t="n">
        <x:v>46174</x:v>
      </x:c>
      <x:c r="B59" s="31" t="str">
        <x:v>115年6月</x:v>
      </x:c>
      <x:c r="C59" s="31" t="str">
        <x:v>新制</x:v>
      </x:c>
      <x:c r="D59" s="31" t="str">
        <x:v>國外</x:v>
      </x:c>
      <x:c r="E59" s="31" t="str">
        <x:v>111-2絕對報酬債券型</x:v>
      </x:c>
      <x:c r="F59" s="40" t="n">
        <x:f>SUMIFS('國外委外明細'!$G$4:$G$167,'國外委外明細'!$A$4:$A$167,A59,'國外委外明細'!$C$4:$C$167,C59,'國外委外明細'!$E$4:$E$167,E59)</x:f>
        <x:v>3200000000</x:v>
      </x:c>
      <x:c r="G59" s="40" t="n">
        <x:f>SUMIFS('國外委外明細'!$H$4:$H$167,'國外委外明細'!$A$4:$A$167,A59,'國外委外明細'!$C$4:$C$167,C59,'國外委外明細'!$E$4:$E$167,E59)</x:f>
        <x:v>3687570085</x:v>
      </x:c>
      <x:c r="H59" s="43" t="n">
        <x:f>IFERROR(G59/F59-1,0)</x:f>
        <x:v>0.15236565156250004</x:v>
      </x:c>
      <x:c r="I59" s="43" t="e">
        <x:f>AVERAGEIFS('國外委外明細'!$J$4:$J$167,'國外委外明細'!$A$4:$A$167,A59,'國外委外明細'!$C$4:$C$167,C59,'國外委外明細'!$E$4:$E$167,E59)</x:f>
        <x:v>e.reduce is not a function</x:v>
      </x:c>
      <x:c r="J59" s="31" t="str">
        <x:v>美元</x:v>
      </x:c>
      <x:c r="K59" s="32" t="str">
        <x:v>勞工退休基金-115年6月.pdf</x:v>
      </x:c>
    </x:row>
    <x:row r="60">
      <x:c r="A60" s="37" t="n">
        <x:v>46174</x:v>
      </x:c>
      <x:c r="B60" s="31" t="str">
        <x:v>115年6月</x:v>
      </x:c>
      <x:c r="C60" s="31" t="str">
        <x:v>新制</x:v>
      </x:c>
      <x:c r="D60" s="31" t="str">
        <x:v>國外</x:v>
      </x:c>
      <x:c r="E60" s="31" t="str">
        <x:v>112-1全球被動股票型</x:v>
      </x:c>
      <x:c r="F60" s="40" t="n">
        <x:f>SUMIFS('國外委外明細'!$G$4:$G$167,'國外委外明細'!$A$4:$A$167,A60,'國外委外明細'!$C$4:$C$167,C60,'國外委外明細'!$E$4:$E$167,E60)</x:f>
        <x:v>1600000000</x:v>
      </x:c>
      <x:c r="G60" s="40" t="n">
        <x:f>SUMIFS('國外委外明細'!$H$4:$H$167,'國外委外明細'!$A$4:$A$167,A60,'國外委外明細'!$C$4:$C$167,C60,'國外委外明細'!$E$4:$E$167,E60)</x:f>
        <x:v>2167332715</x:v>
      </x:c>
      <x:c r="H60" s="43" t="n">
        <x:f>IFERROR(G60/F60-1,0)</x:f>
        <x:v>0.3545829468749999</x:v>
      </x:c>
      <x:c r="I60" s="43" t="e">
        <x:f>AVERAGEIFS('國外委外明細'!$J$4:$J$167,'國外委外明細'!$A$4:$A$167,A60,'國外委外明細'!$C$4:$C$167,C60,'國外委外明細'!$E$4:$E$167,E60)</x:f>
        <x:v>e.reduce is not a function</x:v>
      </x:c>
      <x:c r="J60" s="31" t="str">
        <x:v>美元</x:v>
      </x:c>
      <x:c r="K60" s="32" t="str">
        <x:v>勞工退休基金-115年6月.pdf</x:v>
      </x:c>
    </x:row>
    <x:row r="61">
      <x:c r="A61" s="37" t="n">
        <x:v>46174</x:v>
      </x:c>
      <x:c r="B61" s="31" t="str">
        <x:v>115年6月</x:v>
      </x:c>
      <x:c r="C61" s="31" t="str">
        <x:v>新制</x:v>
      </x:c>
      <x:c r="D61" s="31" t="str">
        <x:v>國外</x:v>
      </x:c>
      <x:c r="E61" s="31" t="str">
        <x:v>113-1全球永續不動產有價證券型</x:v>
      </x:c>
      <x:c r="F61" s="40" t="n">
        <x:f>SUMIFS('國外委外明細'!$G$4:$G$167,'國外委外明細'!$A$4:$A$167,A61,'國外委外明細'!$C$4:$C$167,C61,'國外委外明細'!$E$4:$E$167,E61)</x:f>
        <x:v>1600000000</x:v>
      </x:c>
      <x:c r="G61" s="40" t="n">
        <x:f>SUMIFS('國外委外明細'!$H$4:$H$167,'國外委外明細'!$A$4:$A$167,A61,'國外委外明細'!$C$4:$C$167,C61,'國外委外明細'!$E$4:$E$167,E61)</x:f>
        <x:v>1769860420</x:v>
      </x:c>
      <x:c r="H61" s="43" t="n">
        <x:f>IFERROR(G61/F61-1,0)</x:f>
        <x:v>0.1061627624999999</x:v>
      </x:c>
      <x:c r="I61" s="43" t="e">
        <x:f>AVERAGEIFS('國外委外明細'!$J$4:$J$167,'國外委外明細'!$A$4:$A$167,A61,'國外委外明細'!$C$4:$C$167,C61,'國外委外明細'!$E$4:$E$167,E61)</x:f>
        <x:v>e.reduce is not a function</x:v>
      </x:c>
      <x:c r="J61" s="31" t="str">
        <x:v>美元</x:v>
      </x:c>
      <x:c r="K61" s="32" t="str">
        <x:v>勞工退休基金-115年6月.pdf</x:v>
      </x:c>
    </x:row>
    <x:row r="62">
      <x:c r="A62" s="37" t="n">
        <x:v>46174</x:v>
      </x:c>
      <x:c r="B62" s="31" t="str">
        <x:v>115年6月</x:v>
      </x:c>
      <x:c r="C62" s="31" t="str">
        <x:v>新制</x:v>
      </x:c>
      <x:c r="D62" s="31" t="str">
        <x:v>國外</x:v>
      </x:c>
      <x:c r="E62" s="31" t="str">
        <x:v>114-1全球氣候轉型被動股票型</x:v>
      </x:c>
      <x:c r="F62" s="40" t="n">
        <x:f>SUMIFS('國外委外明細'!$G$4:$G$167,'國外委外明細'!$A$4:$A$167,A62,'國外委外明細'!$C$4:$C$167,C62,'國外委外明細'!$E$4:$E$167,E62)</x:f>
        <x:v>1600000000</x:v>
      </x:c>
      <x:c r="G62" s="40" t="n">
        <x:f>SUMIFS('國外委外明細'!$H$4:$H$167,'國外委外明細'!$A$4:$A$167,A62,'國外委外明細'!$C$4:$C$167,C62,'國外委外明細'!$E$4:$E$167,E62)</x:f>
        <x:v>1677399471</x:v>
      </x:c>
      <x:c r="H62" s="43" t="n">
        <x:f>IFERROR(G62/F62-1,0)</x:f>
        <x:v>0.04837466937500001</x:v>
      </x:c>
      <x:c r="I62" s="43" t="e">
        <x:f>AVERAGEIFS('國外委外明細'!$J$4:$J$167,'國外委外明細'!$A$4:$A$167,A62,'國外委外明細'!$C$4:$C$167,C62,'國外委外明細'!$E$4:$E$167,E62)</x:f>
        <x:v>e.reduce is not a function</x:v>
      </x:c>
      <x:c r="J62" s="31" t="str">
        <x:v>美元</x:v>
      </x:c>
      <x:c r="K62" s="32" t="str">
        <x:v>勞工退休基金-115年6月.pdf</x:v>
      </x:c>
    </x:row>
    <x:row r="63">
      <x:c r="A63" s="37" t="n">
        <x:v>46174</x:v>
      </x:c>
      <x:c r="B63" s="31" t="str">
        <x:v>115年6月</x:v>
      </x:c>
      <x:c r="C63" s="31" t="str">
        <x:v>舊制</x:v>
      </x:c>
      <x:c r="D63" s="31" t="str">
        <x:v>國外</x:v>
      </x:c>
      <x:c r="E63" s="31" t="str">
        <x:v>96國際平衡型(續約4)</x:v>
      </x:c>
      <x:c r="F63" s="40" t="n">
        <x:f>SUMIFS('國外委外明細'!$G$4:$G$167,'國外委外明細'!$A$4:$A$167,A63,'國外委外明細'!$C$4:$C$167,C63,'國外委外明細'!$E$4:$E$167,E63)</x:f>
        <x:v>753144454</x:v>
      </x:c>
      <x:c r="G63" s="40" t="n">
        <x:f>SUMIFS('國外委外明細'!$H$4:$H$167,'國外委外明細'!$A$4:$A$167,A63,'國外委外明細'!$C$4:$C$167,C63,'國外委外明細'!$E$4:$E$167,E63)</x:f>
        <x:v>1016210408</x:v>
      </x:c>
      <x:c r="H63" s="43" t="n">
        <x:f>IFERROR(G63/F63-1,0)</x:f>
        <x:v>0.3492901695057824</x:v>
      </x:c>
      <x:c r="I63" s="43" t="e">
        <x:f>AVERAGEIFS('國外委外明細'!$J$4:$J$167,'國外委外明細'!$A$4:$A$167,A63,'國外委外明細'!$C$4:$C$167,C63,'國外委外明細'!$E$4:$E$167,E63)</x:f>
        <x:v>e.reduce is not a function</x:v>
      </x:c>
      <x:c r="J63" s="31" t="str">
        <x:v>美元</x:v>
      </x:c>
      <x:c r="K63" s="32" t="str">
        <x:v>勞工退休基金-115年6月.pdf</x:v>
      </x:c>
    </x:row>
    <x:row r="64">
      <x:c r="A64" s="37" t="n">
        <x:v>46174</x:v>
      </x:c>
      <x:c r="B64" s="31" t="str">
        <x:v>115年6月</x:v>
      </x:c>
      <x:c r="C64" s="31" t="str">
        <x:v>舊制</x:v>
      </x:c>
      <x:c r="D64" s="31" t="str">
        <x:v>國外</x:v>
      </x:c>
      <x:c r="E64" s="31" t="str">
        <x:v>97-1全球增值債券型(續約3)</x:v>
      </x:c>
      <x:c r="F64" s="40" t="n">
        <x:f>SUMIFS('國外委外明細'!$G$4:$G$167,'國外委外明細'!$A$4:$A$167,A64,'國外委外明細'!$C$4:$C$167,C64,'國外委外明細'!$E$4:$E$167,E64)</x:f>
        <x:v>2022418498</x:v>
      </x:c>
      <x:c r="G64" s="40" t="n">
        <x:f>SUMIFS('國外委外明細'!$H$4:$H$167,'國外委外明細'!$A$4:$A$167,A64,'國外委外明細'!$C$4:$C$167,C64,'國外委外明細'!$E$4:$E$167,E64)</x:f>
        <x:v>1924506169</x:v>
      </x:c>
      <x:c r="H64" s="43" t="n">
        <x:f>IFERROR(G64/F64-1,0)</x:f>
        <x:v>-0.04841348568401005</x:v>
      </x:c>
      <x:c r="I64" s="43" t="e">
        <x:f>AVERAGEIFS('國外委外明細'!$J$4:$J$167,'國外委外明細'!$A$4:$A$167,A64,'國外委外明細'!$C$4:$C$167,C64,'國外委外明細'!$E$4:$E$167,E64)</x:f>
        <x:v>e.reduce is not a function</x:v>
      </x:c>
      <x:c r="J64" s="31" t="str">
        <x:v>美元</x:v>
      </x:c>
      <x:c r="K64" s="32" t="str">
        <x:v>勞工退休基金-115年6月.pdf</x:v>
      </x:c>
    </x:row>
    <x:row r="65">
      <x:c r="A65" s="37" t="n">
        <x:v>46174</x:v>
      </x:c>
      <x:c r="B65" s="31" t="str">
        <x:v>115年6月</x:v>
      </x:c>
      <x:c r="C65" s="31" t="str">
        <x:v>舊制</x:v>
      </x:c>
      <x:c r="D65" s="31" t="str">
        <x:v>國外</x:v>
      </x:c>
      <x:c r="E65" s="31" t="str">
        <x:v>97-1全球增值股票型(續約3)</x:v>
      </x:c>
      <x:c r="F65" s="40" t="n">
        <x:f>SUMIFS('國外委外明細'!$G$4:$G$167,'國外委外明細'!$A$4:$A$167,A65,'國外委外明細'!$C$4:$C$167,C65,'國外委外明細'!$E$4:$E$167,E65)</x:f>
        <x:v>956987544</x:v>
      </x:c>
      <x:c r="G65" s="40" t="n">
        <x:f>SUMIFS('國外委外明細'!$H$4:$H$167,'國外委外明細'!$A$4:$A$167,A65,'國外委外明細'!$C$4:$C$167,C65,'國外委外明細'!$E$4:$E$167,E65)</x:f>
        <x:v>1997179617</x:v>
      </x:c>
      <x:c r="H65" s="43" t="n">
        <x:f>IFERROR(G65/F65-1,0)</x:f>
        <x:v>1.0869442131422349</x:v>
      </x:c>
      <x:c r="I65" s="43" t="e">
        <x:f>AVERAGEIFS('國外委外明細'!$J$4:$J$167,'國外委外明細'!$A$4:$A$167,A65,'國外委外明細'!$C$4:$C$167,C65,'國外委外明細'!$E$4:$E$167,E65)</x:f>
        <x:v>e.reduce is not a function</x:v>
      </x:c>
      <x:c r="J65" s="31" t="str">
        <x:v>美元</x:v>
      </x:c>
      <x:c r="K65" s="32" t="str">
        <x:v>勞工退休基金-115年6月.pdf</x:v>
      </x:c>
    </x:row>
    <x:row r="66">
      <x:c r="A66" s="37" t="n">
        <x:v>46174</x:v>
      </x:c>
      <x:c r="B66" s="31" t="str">
        <x:v>115年6月</x:v>
      </x:c>
      <x:c r="C66" s="31" t="str">
        <x:v>舊制</x:v>
      </x:c>
      <x:c r="D66" s="31" t="str">
        <x:v>國外</x:v>
      </x:c>
      <x:c r="E66" s="31" t="str">
        <x:v>98-1亞太(日本除外)主動股票型(續約3)</x:v>
      </x:c>
      <x:c r="F66" s="40" t="n">
        <x:f>SUMIFS('國外委外明細'!$G$4:$G$167,'國外委外明細'!$A$4:$A$167,A66,'國外委外明細'!$C$4:$C$167,C66,'國外委外明細'!$E$4:$E$167,E66)</x:f>
        <x:v>181124998</x:v>
      </x:c>
      <x:c r="G66" s="40" t="n">
        <x:f>SUMIFS('國外委外明細'!$H$4:$H$167,'國外委外明細'!$A$4:$A$167,A66,'國外委外明細'!$C$4:$C$167,C66,'國外委外明細'!$E$4:$E$167,E66)</x:f>
        <x:v>385583924</x:v>
      </x:c>
      <x:c r="H66" s="43" t="n">
        <x:f>IFERROR(G66/F66-1,0)</x:f>
        <x:v>1.1288277612568973</x:v>
      </x:c>
      <x:c r="I66" s="43" t="e">
        <x:f>AVERAGEIFS('國外委外明細'!$J$4:$J$167,'國外委外明細'!$A$4:$A$167,A66,'國外委外明細'!$C$4:$C$167,C66,'國外委外明細'!$E$4:$E$167,E66)</x:f>
        <x:v>e.reduce is not a function</x:v>
      </x:c>
      <x:c r="J66" s="31" t="str">
        <x:v>美元</x:v>
      </x:c>
      <x:c r="K66" s="32" t="str">
        <x:v>勞工退休基金-115年6月.pdf</x:v>
      </x:c>
    </x:row>
    <x:row r="67">
      <x:c r="A67" s="37" t="n">
        <x:v>46174</x:v>
      </x:c>
      <x:c r="B67" s="31" t="str">
        <x:v>115年6月</x:v>
      </x:c>
      <x:c r="C67" s="31" t="str">
        <x:v>舊制</x:v>
      </x:c>
      <x:c r="D67" s="31" t="str">
        <x:v>國外</x:v>
      </x:c>
      <x:c r="E67" s="31" t="str">
        <x:v>100-1全球基本面指數被動股票型(續約2)</x:v>
      </x:c>
      <x:c r="F67" s="40" t="n">
        <x:f>SUMIFS('國外委外明細'!$G$4:$G$167,'國外委外明細'!$A$4:$A$167,A67,'國外委外明細'!$C$4:$C$167,C67,'國外委外明細'!$E$4:$E$167,E67)</x:f>
        <x:v>434460824</x:v>
      </x:c>
      <x:c r="G67" s="40" t="n">
        <x:f>SUMIFS('國外委外明細'!$H$4:$H$167,'國外委外明細'!$A$4:$A$167,A67,'國外委外明細'!$C$4:$C$167,C67,'國外委外明細'!$E$4:$E$167,E67)</x:f>
        <x:v>1526913244</x:v>
      </x:c>
      <x:c r="H67" s="43" t="n">
        <x:f>IFERROR(G67/F67-1,0)</x:f>
        <x:v>2.514501560674663</x:v>
      </x:c>
      <x:c r="I67" s="43" t="e">
        <x:f>AVERAGEIFS('國外委外明細'!$J$4:$J$167,'國外委外明細'!$A$4:$A$167,A67,'國外委外明細'!$C$4:$C$167,C67,'國外委外明細'!$E$4:$E$167,E67)</x:f>
        <x:v>e.reduce is not a function</x:v>
      </x:c>
      <x:c r="J67" s="31" t="str">
        <x:v>美元</x:v>
      </x:c>
      <x:c r="K67" s="32" t="str">
        <x:v>勞工退休基金-115年6月.pdf</x:v>
      </x:c>
    </x:row>
    <x:row r="68">
      <x:c r="A68" s="37" t="n">
        <x:v>46174</x:v>
      </x:c>
      <x:c r="B68" s="31" t="str">
        <x:v>115年6月</x:v>
      </x:c>
      <x:c r="C68" s="31" t="str">
        <x:v>舊制</x:v>
      </x:c>
      <x:c r="D68" s="31" t="str">
        <x:v>國外</x:v>
      </x:c>
      <x:c r="E68" s="31" t="str">
        <x:v>101-1全球低波動指數被動股票型(續約2)</x:v>
      </x:c>
      <x:c r="F68" s="40" t="n">
        <x:f>SUMIFS('國外委外明細'!$G$4:$G$167,'國外委外明細'!$A$4:$A$167,A68,'國外委外明細'!$C$4:$C$167,C68,'國外委外明細'!$E$4:$E$167,E68)</x:f>
        <x:v>751993706</x:v>
      </x:c>
      <x:c r="G68" s="40" t="n">
        <x:f>SUMIFS('國外委外明細'!$H$4:$H$167,'國外委外明細'!$A$4:$A$167,A68,'國外委外明細'!$C$4:$C$167,C68,'國外委外明細'!$E$4:$E$167,E68)</x:f>
        <x:v>985141909</x:v>
      </x:c>
      <x:c r="H68" s="43" t="n">
        <x:f>IFERROR(G68/F68-1,0)</x:f>
        <x:v>0.3100400989260408</x:v>
      </x:c>
      <x:c r="I68" s="43" t="e">
        <x:f>AVERAGEIFS('國外委外明細'!$J$4:$J$167,'國外委外明細'!$A$4:$A$167,A68,'國外委外明細'!$C$4:$C$167,C68,'國外委外明細'!$E$4:$E$167,E68)</x:f>
        <x:v>e.reduce is not a function</x:v>
      </x:c>
      <x:c r="J68" s="31" t="str">
        <x:v>美元</x:v>
      </x:c>
      <x:c r="K68" s="32" t="str">
        <x:v>勞工退休基金-115年6月.pdf</x:v>
      </x:c>
    </x:row>
    <x:row r="69">
      <x:c r="A69" s="37" t="n">
        <x:v>46174</x:v>
      </x:c>
      <x:c r="B69" s="31" t="str">
        <x:v>115年6月</x:v>
      </x:c>
      <x:c r="C69" s="31" t="str">
        <x:v>舊制</x:v>
      </x:c>
      <x:c r="D69" s="31" t="str">
        <x:v>國外</x:v>
      </x:c>
      <x:c r="E69" s="31" t="str">
        <x:v>102-1年全球高股利增值股票型(續約2)</x:v>
      </x:c>
      <x:c r="F69" s="40" t="n">
        <x:f>SUMIFS('國外委外明細'!$G$4:$G$167,'國外委外明細'!$A$4:$A$167,A69,'國外委外明細'!$C$4:$C$167,C69,'國外委外明細'!$E$4:$E$167,E69)</x:f>
        <x:v>1433855129</x:v>
      </x:c>
      <x:c r="G69" s="40" t="n">
        <x:f>SUMIFS('國外委外明細'!$H$4:$H$167,'國外委外明細'!$A$4:$A$167,A69,'國外委外明細'!$C$4:$C$167,C69,'國外委外明細'!$E$4:$E$167,E69)</x:f>
        <x:v>1994442671</x:v>
      </x:c>
      <x:c r="H69" s="43" t="n">
        <x:f>IFERROR(G69/F69-1,0)</x:f>
        <x:v>0.3909652590851109</x:v>
      </x:c>
      <x:c r="I69" s="43" t="e">
        <x:f>AVERAGEIFS('國外委外明細'!$J$4:$J$167,'國外委外明細'!$A$4:$A$167,A69,'國外委外明細'!$C$4:$C$167,C69,'國外委外明細'!$E$4:$E$167,E69)</x:f>
        <x:v>e.reduce is not a function</x:v>
      </x:c>
      <x:c r="J69" s="31" t="str">
        <x:v>美元</x:v>
      </x:c>
      <x:c r="K69" s="32" t="str">
        <x:v>勞工退休基金-115年6月.pdf</x:v>
      </x:c>
    </x:row>
    <x:row r="70">
      <x:c r="A70" s="37" t="n">
        <x:v>46174</x:v>
      </x:c>
      <x:c r="B70" s="31" t="str">
        <x:v>115年6月</x:v>
      </x:c>
      <x:c r="C70" s="31" t="str">
        <x:v>舊制</x:v>
      </x:c>
      <x:c r="D70" s="31" t="str">
        <x:v>國外</x:v>
      </x:c>
      <x:c r="E70" s="31" t="str">
        <x:v>102-2全球基礎建設有價證券型(續約2)</x:v>
      </x:c>
      <x:c r="F70" s="40" t="n">
        <x:f>SUMIFS('國外委外明細'!$G$4:$G$167,'國外委外明細'!$A$4:$A$167,A70,'國外委外明細'!$C$4:$C$167,C70,'國外委外明細'!$E$4:$E$167,E70)</x:f>
        <x:v>954418976</x:v>
      </x:c>
      <x:c r="G70" s="40" t="n">
        <x:f>SUMIFS('國外委外明細'!$H$4:$H$167,'國外委外明細'!$A$4:$A$167,A70,'國外委外明細'!$C$4:$C$167,C70,'國外委外明細'!$E$4:$E$167,E70)</x:f>
        <x:v>1392892642</x:v>
      </x:c>
      <x:c r="H70" s="43" t="n">
        <x:f>IFERROR(G70/F70-1,0)</x:f>
        <x:v>0.45941423737995746</x:v>
      </x:c>
      <x:c r="I70" s="43" t="e">
        <x:f>AVERAGEIFS('國外委外明細'!$J$4:$J$167,'國外委外明細'!$A$4:$A$167,A70,'國外委外明細'!$C$4:$C$167,C70,'國外委外明細'!$E$4:$E$167,E70)</x:f>
        <x:v>e.reduce is not a function</x:v>
      </x:c>
      <x:c r="J70" s="31" t="str">
        <x:v>美元</x:v>
      </x:c>
      <x:c r="K70" s="32" t="str">
        <x:v>勞工退休基金-115年6月.pdf</x:v>
      </x:c>
    </x:row>
    <x:row r="71">
      <x:c r="A71" s="37" t="n">
        <x:v>46174</x:v>
      </x:c>
      <x:c r="B71" s="31" t="str">
        <x:v>115年6月</x:v>
      </x:c>
      <x:c r="C71" s="31" t="str">
        <x:v>舊制</x:v>
      </x:c>
      <x:c r="D71" s="31" t="str">
        <x:v>國外</x:v>
      </x:c>
      <x:c r="E71" s="31" t="str">
        <x:v>102-2全球不動產有價證券型(續約2)</x:v>
      </x:c>
      <x:c r="F71" s="40" t="n">
        <x:f>SUMIFS('國外委外明細'!$G$4:$G$167,'國外委外明細'!$A$4:$A$167,A71,'國外委外明細'!$C$4:$C$167,C71,'國外委外明細'!$E$4:$E$167,E71)</x:f>
        <x:v>708888643</x:v>
      </x:c>
      <x:c r="G71" s="40" t="n">
        <x:f>SUMIFS('國外委外明細'!$H$4:$H$167,'國外委外明細'!$A$4:$A$167,A71,'國外委外明細'!$C$4:$C$167,C71,'國外委外明細'!$E$4:$E$167,E71)</x:f>
        <x:v>783215005</x:v>
      </x:c>
      <x:c r="H71" s="43" t="n">
        <x:f>IFERROR(G71/F71-1,0)</x:f>
        <x:v>0.10484913636851712</x:v>
      </x:c>
      <x:c r="I71" s="43" t="e">
        <x:f>AVERAGEIFS('國外委外明細'!$J$4:$J$167,'國外委外明細'!$A$4:$A$167,A71,'國外委外明細'!$C$4:$C$167,C71,'國外委外明細'!$E$4:$E$167,E71)</x:f>
        <x:v>e.reduce is not a function</x:v>
      </x:c>
      <x:c r="J71" s="31" t="str">
        <x:v>美元</x:v>
      </x:c>
      <x:c r="K71" s="32" t="str">
        <x:v>勞工退休基金-115年6月.pdf</x:v>
      </x:c>
    </x:row>
    <x:row r="72">
      <x:c r="A72" s="37" t="n">
        <x:v>46174</x:v>
      </x:c>
      <x:c r="B72" s="31" t="str">
        <x:v>115年6月</x:v>
      </x:c>
      <x:c r="C72" s="31" t="str">
        <x:v>舊制</x:v>
      </x:c>
      <x:c r="D72" s="31" t="str">
        <x:v>國外</x:v>
      </x:c>
      <x:c r="E72" s="31" t="str">
        <x:v>105-1全球多元資產型(續約)</x:v>
      </x:c>
      <x:c r="F72" s="40" t="n">
        <x:f>SUMIFS('國外委外明細'!$G$4:$G$167,'國外委外明細'!$A$4:$A$167,A72,'國外委外明細'!$C$4:$C$167,C72,'國外委外明細'!$E$4:$E$167,E72)</x:f>
        <x:v>1316251021</x:v>
      </x:c>
      <x:c r="G72" s="40" t="n">
        <x:f>SUMIFS('國外委外明細'!$H$4:$H$167,'國外委外明細'!$A$4:$A$167,A72,'國外委外明細'!$C$4:$C$167,C72,'國外委外明細'!$E$4:$E$167,E72)</x:f>
        <x:v>1687860321</x:v>
      </x:c>
      <x:c r="H72" s="43" t="n">
        <x:f>IFERROR(G72/F72-1,0)</x:f>
        <x:v>0.2823240355154111</x:v>
      </x:c>
      <x:c r="I72" s="43" t="e">
        <x:f>AVERAGEIFS('國外委外明細'!$J$4:$J$167,'國外委外明細'!$A$4:$A$167,A72,'國外委外明細'!$C$4:$C$167,C72,'國外委外明細'!$E$4:$E$167,E72)</x:f>
        <x:v>e.reduce is not a function</x:v>
      </x:c>
      <x:c r="J72" s="31" t="str">
        <x:v>美元</x:v>
      </x:c>
      <x:c r="K72" s="32" t="str">
        <x:v>勞工退休基金-115年6月.pdf</x:v>
      </x:c>
    </x:row>
    <x:row r="73">
      <x:c r="A73" s="37" t="n">
        <x:v>46174</x:v>
      </x:c>
      <x:c r="B73" s="31" t="str">
        <x:v>115年6月</x:v>
      </x:c>
      <x:c r="C73" s="31" t="str">
        <x:v>舊制</x:v>
      </x:c>
      <x:c r="D73" s="31" t="str">
        <x:v>國外</x:v>
      </x:c>
      <x:c r="E73" s="31" t="str">
        <x:v>106-1全球ESG混合指數被動股票型(續約)</x:v>
      </x:c>
      <x:c r="F73" s="40" t="n">
        <x:f>SUMIFS('國外委外明細'!$G$4:$G$167,'國外委外明細'!$A$4:$A$167,A73,'國外委外明細'!$C$4:$C$167,C73,'國外委外明細'!$E$4:$E$167,E73)</x:f>
        <x:v>591299260</x:v>
      </x:c>
      <x:c r="G73" s="40" t="n">
        <x:f>SUMIFS('國外委外明細'!$H$4:$H$167,'國外委外明細'!$A$4:$A$167,A73,'國外委外明細'!$C$4:$C$167,C73,'國外委外明細'!$E$4:$E$167,E73)</x:f>
        <x:v>1150173506</x:v>
      </x:c>
      <x:c r="H73" s="43" t="n">
        <x:f>IFERROR(G73/F73-1,0)</x:f>
        <x:v>0.9451631074255022</x:v>
      </x:c>
      <x:c r="I73" s="43" t="e">
        <x:f>AVERAGEIFS('國外委外明細'!$J$4:$J$167,'國外委外明細'!$A$4:$A$167,A73,'國外委外明細'!$C$4:$C$167,C73,'國外委外明細'!$E$4:$E$167,E73)</x:f>
        <x:v>e.reduce is not a function</x:v>
      </x:c>
      <x:c r="J73" s="31" t="str">
        <x:v>美元</x:v>
      </x:c>
      <x:c r="K73" s="32" t="str">
        <x:v>勞工退休基金-115年6月.pdf</x:v>
      </x:c>
    </x:row>
    <x:row r="74">
      <x:c r="A74" s="37" t="n">
        <x:v>46174</x:v>
      </x:c>
      <x:c r="B74" s="31" t="str">
        <x:v>115年6月</x:v>
      </x:c>
      <x:c r="C74" s="31" t="str">
        <x:v>舊制</x:v>
      </x:c>
      <x:c r="D74" s="31" t="str">
        <x:v>國外</x:v>
      </x:c>
      <x:c r="E74" s="31" t="str">
        <x:v>106-1絕對報酬債券型(續約)</x:v>
      </x:c>
      <x:c r="F74" s="40" t="n">
        <x:f>SUMIFS('國外委外明細'!$G$4:$G$167,'國外委外明細'!$A$4:$A$167,A74,'國外委外明細'!$C$4:$C$167,C74,'國外委外明細'!$E$4:$E$167,E74)</x:f>
        <x:v>927421608</x:v>
      </x:c>
      <x:c r="G74" s="40" t="n">
        <x:f>SUMIFS('國外委外明細'!$H$4:$H$167,'國外委外明細'!$A$4:$A$167,A74,'國外委外明細'!$C$4:$C$167,C74,'國外委外明細'!$E$4:$E$167,E74)</x:f>
        <x:v>1161093262</x:v>
      </x:c>
      <x:c r="H74" s="43" t="n">
        <x:f>IFERROR(G74/F74-1,0)</x:f>
        <x:v>0.2519583887029728</x:v>
      </x:c>
      <x:c r="I74" s="43" t="e">
        <x:f>AVERAGEIFS('國外委外明細'!$J$4:$J$167,'國外委外明細'!$A$4:$A$167,A74,'國外委外明細'!$C$4:$C$167,C74,'國外委外明細'!$E$4:$E$167,E74)</x:f>
        <x:v>e.reduce is not a function</x:v>
      </x:c>
      <x:c r="J74" s="31" t="str">
        <x:v>美元</x:v>
      </x:c>
      <x:c r="K74" s="32" t="str">
        <x:v>勞工退休基金-115年6月.pdf</x:v>
      </x:c>
    </x:row>
    <x:row r="75">
      <x:c r="A75" s="37" t="n">
        <x:v>46174</x:v>
      </x:c>
      <x:c r="B75" s="31" t="str">
        <x:v>115年6月</x:v>
      </x:c>
      <x:c r="C75" s="31" t="str">
        <x:v>舊制</x:v>
      </x:c>
      <x:c r="D75" s="31" t="str">
        <x:v>國外</x:v>
      </x:c>
      <x:c r="E75" s="31" t="str">
        <x:v>107-1絕對報酬股票型(續約)</x:v>
      </x:c>
      <x:c r="F75" s="40" t="n">
        <x:f>SUMIFS('國外委外明細'!$G$4:$G$167,'國外委外明細'!$A$4:$A$167,A75,'國外委外明細'!$C$4:$C$167,C75,'國外委外明細'!$E$4:$E$167,E75)</x:f>
        <x:v>339564550</x:v>
      </x:c>
      <x:c r="G75" s="40" t="n">
        <x:f>SUMIFS('國外委外明細'!$H$4:$H$167,'國外委外明細'!$A$4:$A$167,A75,'國外委外明細'!$C$4:$C$167,C75,'國外委外明細'!$E$4:$E$167,E75)</x:f>
        <x:v>495255142</x:v>
      </x:c>
      <x:c r="H75" s="43" t="n">
        <x:f>IFERROR(G75/F75-1,0)</x:f>
        <x:v>0.4585007239418839</x:v>
      </x:c>
      <x:c r="I75" s="43" t="e">
        <x:f>AVERAGEIFS('國外委外明細'!$J$4:$J$167,'國外委外明細'!$A$4:$A$167,A75,'國外委外明細'!$C$4:$C$167,C75,'國外委外明細'!$E$4:$E$167,E75)</x:f>
        <x:v>e.reduce is not a function</x:v>
      </x:c>
      <x:c r="J75" s="31" t="str">
        <x:v>美元</x:v>
      </x:c>
      <x:c r="K75" s="32" t="str">
        <x:v>勞工退休基金-115年6月.pdf</x:v>
      </x:c>
    </x:row>
    <x:row r="76">
      <x:c r="A76" s="37" t="n">
        <x:v>46174</x:v>
      </x:c>
      <x:c r="B76" s="31" t="str">
        <x:v>115年6月</x:v>
      </x:c>
      <x:c r="C76" s="31" t="str">
        <x:v>舊制</x:v>
      </x:c>
      <x:c r="D76" s="31" t="str">
        <x:v>國外</x:v>
      </x:c>
      <x:c r="E76" s="31" t="str">
        <x:v>110-1全球基礎建設有價證券型</x:v>
      </x:c>
      <x:c r="F76" s="40" t="n">
        <x:f>SUMIFS('國外委外明細'!$G$4:$G$167,'國外委外明細'!$A$4:$A$167,A76,'國外委外明細'!$C$4:$C$167,C76,'國外委外明細'!$E$4:$E$167,E76)</x:f>
        <x:v>240000000</x:v>
      </x:c>
      <x:c r="G76" s="40" t="n">
        <x:f>SUMIFS('國外委外明細'!$H$4:$H$167,'國外委外明細'!$A$4:$A$167,A76,'國外委外明細'!$C$4:$C$167,C76,'國外委外明細'!$E$4:$E$167,E76)</x:f>
        <x:v>330040018</x:v>
      </x:c>
      <x:c r="H76" s="43" t="n">
        <x:f>IFERROR(G76/F76-1,0)</x:f>
        <x:v>0.37516674166666664</x:v>
      </x:c>
      <x:c r="I76" s="43" t="e">
        <x:f>AVERAGEIFS('國外委外明細'!$J$4:$J$167,'國外委外明細'!$A$4:$A$167,A76,'國外委外明細'!$C$4:$C$167,C76,'國外委外明細'!$E$4:$E$167,E76)</x:f>
        <x:v>e.reduce is not a function</x:v>
      </x:c>
      <x:c r="J76" s="31" t="str">
        <x:v>美元</x:v>
      </x:c>
      <x:c r="K76" s="32" t="str">
        <x:v>勞工退休基金-115年6月.pdf</x:v>
      </x:c>
    </x:row>
    <x:row r="77">
      <x:c r="A77" s="37" t="n">
        <x:v>46174</x:v>
      </x:c>
      <x:c r="B77" s="31" t="str">
        <x:v>115年6月</x:v>
      </x:c>
      <x:c r="C77" s="31" t="str">
        <x:v>勞工保險</x:v>
      </x:c>
      <x:c r="D77" s="31" t="str">
        <x:v>國外</x:v>
      </x:c>
      <x:c r="E77" s="31" t="str">
        <x:v>100年全球主動股票型(續約2)</x:v>
      </x:c>
      <x:c r="F77" s="40" t="n">
        <x:f>SUMIFS('國外委外明細'!$G$4:$G$167,'國外委外明細'!$A$4:$A$167,A77,'國外委外明細'!$C$4:$C$167,C77,'國外委外明細'!$E$4:$E$167,E77)</x:f>
        <x:v>946084601</x:v>
      </x:c>
      <x:c r="G77" s="40" t="n">
        <x:f>SUMIFS('國外委外明細'!$H$4:$H$167,'國外委外明細'!$A$4:$A$167,A77,'國外委外明細'!$C$4:$C$167,C77,'國外委外明細'!$E$4:$E$167,E77)</x:f>
        <x:v>1169142378</x:v>
      </x:c>
      <x:c r="H77" s="43" t="n">
        <x:f>IFERROR(G77/F77-1,0)</x:f>
        <x:v>0.2357693770348135</x:v>
      </x:c>
      <x:c r="I77" s="43" t="e">
        <x:f>AVERAGEIFS('國外委外明細'!$J$4:$J$167,'國外委外明細'!$A$4:$A$167,A77,'國外委外明細'!$C$4:$C$167,C77,'國外委外明細'!$E$4:$E$167,E77)</x:f>
        <x:v>e.reduce is not a function</x:v>
      </x:c>
      <x:c r="J77" s="31" t="str">
        <x:v>美元</x:v>
      </x:c>
      <x:c r="K77" s="32" t="str">
        <x:v>勞工保險基金-115年6月.pdf</x:v>
      </x:c>
    </x:row>
    <x:row r="78">
      <x:c r="A78" s="37" t="n">
        <x:v>46174</x:v>
      </x:c>
      <x:c r="B78" s="31" t="str">
        <x:v>115年6月</x:v>
      </x:c>
      <x:c r="C78" s="31" t="str">
        <x:v>勞工保險</x:v>
      </x:c>
      <x:c r="D78" s="31" t="str">
        <x:v>國外</x:v>
      </x:c>
      <x:c r="E78" s="31" t="str">
        <x:v>101年全球新興市場主動債券型(續約2)</x:v>
      </x:c>
      <x:c r="F78" s="40" t="n">
        <x:f>SUMIFS('國外委外明細'!$G$4:$G$167,'國外委外明細'!$A$4:$A$167,A78,'國外委外明細'!$C$4:$C$167,C78,'國外委外明細'!$E$4:$E$167,E78)</x:f>
        <x:v>274323144</x:v>
      </x:c>
      <x:c r="G78" s="40" t="n">
        <x:f>SUMIFS('國外委外明細'!$H$4:$H$167,'國外委外明細'!$A$4:$A$167,A78,'國外委外明細'!$C$4:$C$167,C78,'國外委外明細'!$E$4:$E$167,E78)</x:f>
        <x:v>375820731</x:v>
      </x:c>
      <x:c r="H78" s="43" t="n">
        <x:f>IFERROR(G78/F78-1,0)</x:f>
        <x:v>0.36999279579560373</x:v>
      </x:c>
      <x:c r="I78" s="43" t="e">
        <x:f>AVERAGEIFS('國外委外明細'!$J$4:$J$167,'國外委外明細'!$A$4:$A$167,A78,'國外委外明細'!$C$4:$C$167,C78,'國外委外明細'!$E$4:$E$167,E78)</x:f>
        <x:v>e.reduce is not a function</x:v>
      </x:c>
      <x:c r="J78" s="31" t="str">
        <x:v>美元</x:v>
      </x:c>
      <x:c r="K78" s="32" t="str">
        <x:v>勞工保險基金-115年6月.pdf</x:v>
      </x:c>
    </x:row>
    <x:row r="79">
      <x:c r="A79" s="37" t="n">
        <x:v>46174</x:v>
      </x:c>
      <x:c r="B79" s="31" t="str">
        <x:v>115年6月</x:v>
      </x:c>
      <x:c r="C79" s="31" t="str">
        <x:v>勞工保險</x:v>
      </x:c>
      <x:c r="D79" s="31" t="str">
        <x:v>國外</x:v>
      </x:c>
      <x:c r="E79" s="31" t="str">
        <x:v>104年全球主動債券型(續約3)</x:v>
      </x:c>
      <x:c r="F79" s="40" t="n">
        <x:f>SUMIFS('國外委外明細'!$G$4:$G$167,'國外委外明細'!$A$4:$A$167,A79,'國外委外明細'!$C$4:$C$167,C79,'國外委外明細'!$E$4:$E$167,E79)</x:f>
        <x:v>1466614615</x:v>
      </x:c>
      <x:c r="G79" s="40" t="n">
        <x:f>SUMIFS('國外委外明細'!$H$4:$H$167,'國外委外明細'!$A$4:$A$167,A79,'國外委外明細'!$C$4:$C$167,C79,'國外委外明細'!$E$4:$E$167,E79)</x:f>
        <x:v>1566566807</x:v>
      </x:c>
      <x:c r="H79" s="43" t="n">
        <x:f>IFERROR(G79/F79-1,0)</x:f>
        <x:v>0.06815164050441425</x:v>
      </x:c>
      <x:c r="I79" s="43" t="e">
        <x:f>AVERAGEIFS('國外委外明細'!$J$4:$J$167,'國外委外明細'!$A$4:$A$167,A79,'國外委外明細'!$C$4:$C$167,C79,'國外委外明細'!$E$4:$E$167,E79)</x:f>
        <x:v>e.reduce is not a function</x:v>
      </x:c>
      <x:c r="J79" s="31" t="str">
        <x:v>美元</x:v>
      </x:c>
      <x:c r="K79" s="32" t="str">
        <x:v>勞工保險基金-115年6月.pdf</x:v>
      </x:c>
    </x:row>
    <x:row r="80">
      <x:c r="A80" s="37" t="n">
        <x:v>46174</x:v>
      </x:c>
      <x:c r="B80" s="31" t="str">
        <x:v>115年6月</x:v>
      </x:c>
      <x:c r="C80" s="31" t="str">
        <x:v>勞工保險</x:v>
      </x:c>
      <x:c r="D80" s="31" t="str">
        <x:v>國外</x:v>
      </x:c>
      <x:c r="E80" s="31" t="str">
        <x:v>104-1全球高品質被動股票型(續約2)</x:v>
      </x:c>
      <x:c r="F80" s="40" t="n">
        <x:f>SUMIFS('國外委外明細'!$G$4:$G$167,'國外委外明細'!$A$4:$A$167,A80,'國外委外明細'!$C$4:$C$167,C80,'國外委外明細'!$E$4:$E$167,E80)</x:f>
        <x:v>2466947683</x:v>
      </x:c>
      <x:c r="G80" s="40" t="n">
        <x:f>SUMIFS('國外委外明細'!$H$4:$H$167,'國外委外明細'!$A$4:$A$167,A80,'國外委外明細'!$C$4:$C$167,C80,'國外委外明細'!$E$4:$E$167,E80)</x:f>
        <x:v>3030771277</x:v>
      </x:c>
      <x:c r="H80" s="43" t="n">
        <x:f>IFERROR(G80/F80-1,0)</x:f>
        <x:v>0.2285510948956755</x:v>
      </x:c>
      <x:c r="I80" s="43" t="e">
        <x:f>AVERAGEIFS('國外委外明細'!$J$4:$J$167,'國外委外明細'!$A$4:$A$167,A80,'國外委外明細'!$C$4:$C$167,C80,'國外委外明細'!$E$4:$E$167,E80)</x:f>
        <x:v>e.reduce is not a function</x:v>
      </x:c>
      <x:c r="J80" s="31" t="str">
        <x:v>美元</x:v>
      </x:c>
      <x:c r="K80" s="32" t="str">
        <x:v>勞工保險基金-115年6月.pdf</x:v>
      </x:c>
    </x:row>
    <x:row r="81">
      <x:c r="A81" s="37" t="n">
        <x:v>46174</x:v>
      </x:c>
      <x:c r="B81" s="31" t="str">
        <x:v>115年6月</x:v>
      </x:c>
      <x:c r="C81" s="31" t="str">
        <x:v>勞工保險</x:v>
      </x:c>
      <x:c r="D81" s="31" t="str">
        <x:v>國外</x:v>
      </x:c>
      <x:c r="E81" s="31" t="str">
        <x:v>104-2全球基礎建設有價證券型(續約2)</x:v>
      </x:c>
      <x:c r="F81" s="40" t="n">
        <x:f>SUMIFS('國外委外明細'!$G$4:$G$167,'國外委外明細'!$A$4:$A$167,A81,'國外委外明細'!$C$4:$C$167,C81,'國外委外明細'!$E$4:$E$167,E81)</x:f>
        <x:v>1398439582</x:v>
      </x:c>
      <x:c r="G81" s="40" t="n">
        <x:f>SUMIFS('國外委外明細'!$H$4:$H$167,'國外委外明細'!$A$4:$A$167,A81,'國外委外明細'!$C$4:$C$167,C81,'國外委外明細'!$E$4:$E$167,E81)</x:f>
        <x:v>1553744508</x:v>
      </x:c>
      <x:c r="H81" s="43" t="n">
        <x:f>IFERROR(G81/F81-1,0)</x:f>
        <x:v>0.11105587112879656</x:v>
      </x:c>
      <x:c r="I81" s="43" t="e">
        <x:f>AVERAGEIFS('國外委外明細'!$J$4:$J$167,'國外委外明細'!$A$4:$A$167,A81,'國外委外明細'!$C$4:$C$167,C81,'國外委外明細'!$E$4:$E$167,E81)</x:f>
        <x:v>e.reduce is not a function</x:v>
      </x:c>
      <x:c r="J81" s="31" t="str">
        <x:v>美元</x:v>
      </x:c>
      <x:c r="K81" s="32" t="str">
        <x:v>勞工保險基金-115年6月.pdf</x:v>
      </x:c>
    </x:row>
    <x:row r="82">
      <x:c r="A82" s="37" t="n">
        <x:v>46174</x:v>
      </x:c>
      <x:c r="B82" s="31" t="str">
        <x:v>115年6月</x:v>
      </x:c>
      <x:c r="C82" s="31" t="str">
        <x:v>勞工保險</x:v>
      </x:c>
      <x:c r="D82" s="31" t="str">
        <x:v>國外</x:v>
      </x:c>
      <x:c r="E82" s="31" t="str">
        <x:v>104-2全球不動產有價證券型(續約2)</x:v>
      </x:c>
      <x:c r="F82" s="40" t="n">
        <x:f>SUMIFS('國外委外明細'!$G$4:$G$167,'國外委外明細'!$A$4:$A$167,A82,'國外委外明細'!$C$4:$C$167,C82,'國外委外明細'!$E$4:$E$167,E82)</x:f>
        <x:v>1052282753</x:v>
      </x:c>
      <x:c r="G82" s="40" t="n">
        <x:f>SUMIFS('國外委外明細'!$H$4:$H$167,'國外委外明細'!$A$4:$A$167,A82,'國外委外明細'!$C$4:$C$167,C82,'國外委外明細'!$E$4:$E$167,E82)</x:f>
        <x:v>1163946609</x:v>
      </x:c>
      <x:c r="H82" s="43" t="n">
        <x:f>IFERROR(G82/F82-1,0)</x:f>
        <x:v>0.10611582835663946</x:v>
      </x:c>
      <x:c r="I82" s="43" t="e">
        <x:f>AVERAGEIFS('國外委外明細'!$J$4:$J$167,'國外委外明細'!$A$4:$A$167,A82,'國外委外明細'!$C$4:$C$167,C82,'國外委外明細'!$E$4:$E$167,E82)</x:f>
        <x:v>e.reduce is not a function</x:v>
      </x:c>
      <x:c r="J82" s="31" t="str">
        <x:v>美元</x:v>
      </x:c>
      <x:c r="K82" s="32" t="str">
        <x:v>勞工保險基金-115年6月.pdf</x:v>
      </x:c>
    </x:row>
    <x:row r="83">
      <x:c r="A83" s="37" t="n">
        <x:v>46174</x:v>
      </x:c>
      <x:c r="B83" s="31" t="str">
        <x:v>115年6月</x:v>
      </x:c>
      <x:c r="C83" s="31" t="str">
        <x:v>勞工保險</x:v>
      </x:c>
      <x:c r="D83" s="31" t="str">
        <x:v>國外</x:v>
      </x:c>
      <x:c r="E83" s="31" t="str">
        <x:v>105-1全球多元資產型(續約)</x:v>
      </x:c>
      <x:c r="F83" s="40" t="n">
        <x:f>SUMIFS('國外委外明細'!$G$4:$G$167,'國外委外明細'!$A$4:$A$167,A83,'國外委外明細'!$C$4:$C$167,C83,'國外委外明細'!$E$4:$E$167,E83)</x:f>
        <x:v>783105741</x:v>
      </x:c>
      <x:c r="G83" s="40" t="n">
        <x:f>SUMIFS('國外委外明細'!$H$4:$H$167,'國外委外明細'!$A$4:$A$167,A83,'國外委外明細'!$C$4:$C$167,C83,'國外委外明細'!$E$4:$E$167,E83)</x:f>
        <x:v>996349240</x:v>
      </x:c>
      <x:c r="H83" s="43" t="n">
        <x:f>IFERROR(G83/F83-1,0)</x:f>
        <x:v>0.2723048597852127</x:v>
      </x:c>
      <x:c r="I83" s="43" t="e">
        <x:f>AVERAGEIFS('國外委外明細'!$J$4:$J$167,'國外委外明細'!$A$4:$A$167,A83,'國外委外明細'!$C$4:$C$167,C83,'國外委外明細'!$E$4:$E$167,E83)</x:f>
        <x:v>e.reduce is not a function</x:v>
      </x:c>
      <x:c r="J83" s="31" t="str">
        <x:v>美元</x:v>
      </x:c>
      <x:c r="K83" s="32" t="str">
        <x:v>勞工保險基金-115年6月.pdf</x:v>
      </x:c>
    </x:row>
    <x:row r="84">
      <x:c r="A84" s="37" t="n">
        <x:v>46174</x:v>
      </x:c>
      <x:c r="B84" s="31" t="str">
        <x:v>115年6月</x:v>
      </x:c>
      <x:c r="C84" s="31" t="str">
        <x:v>勞工保險</x:v>
      </x:c>
      <x:c r="D84" s="31" t="str">
        <x:v>國外</x:v>
      </x:c>
      <x:c r="E84" s="31" t="str">
        <x:v>105-1亞太混合指數增值股票型(續約)</x:v>
      </x:c>
      <x:c r="F84" s="40" t="n">
        <x:f>SUMIFS('國外委外明細'!$G$4:$G$167,'國外委外明細'!$A$4:$A$167,A84,'國外委外明細'!$C$4:$C$167,C84,'國外委外明細'!$E$4:$E$167,E84)</x:f>
        <x:v>151969815</x:v>
      </x:c>
      <x:c r="G84" s="40" t="n">
        <x:f>SUMIFS('國外委外明細'!$H$4:$H$167,'國外委外明細'!$A$4:$A$167,A84,'國外委外明細'!$C$4:$C$167,C84,'國外委外明細'!$E$4:$E$167,E84)</x:f>
        <x:v>276713571</x:v>
      </x:c>
      <x:c r="H84" s="43" t="n">
        <x:f>IFERROR(G84/F84-1,0)</x:f>
        <x:v>0.8208456133213033</x:v>
      </x:c>
      <x:c r="I84" s="43" t="e">
        <x:f>AVERAGEIFS('國外委外明細'!$J$4:$J$167,'國外委外明細'!$A$4:$A$167,A84,'國外委外明細'!$C$4:$C$167,C84,'國外委外明細'!$E$4:$E$167,E84)</x:f>
        <x:v>e.reduce is not a function</x:v>
      </x:c>
      <x:c r="J84" s="31" t="str">
        <x:v>美元</x:v>
      </x:c>
      <x:c r="K84" s="32" t="str">
        <x:v>勞工保險基金-115年6月.pdf</x:v>
      </x:c>
    </x:row>
    <x:row r="85">
      <x:c r="A85" s="37" t="n">
        <x:v>46174</x:v>
      </x:c>
      <x:c r="B85" s="31" t="str">
        <x:v>115年6月</x:v>
      </x:c>
      <x:c r="C85" s="31" t="str">
        <x:v>勞工保險</x:v>
      </x:c>
      <x:c r="D85" s="31" t="str">
        <x:v>國外</x:v>
      </x:c>
      <x:c r="E85" s="31" t="str">
        <x:v>106-1絕對報酬債券型(續約)</x:v>
      </x:c>
      <x:c r="F85" s="40" t="n">
        <x:f>SUMIFS('國外委外明細'!$G$4:$G$167,'國外委外明細'!$A$4:$A$167,A85,'國外委外明細'!$C$4:$C$167,C85,'國外委外明細'!$E$4:$E$167,E85)</x:f>
        <x:v>663400522</x:v>
      </x:c>
      <x:c r="G85" s="40" t="n">
        <x:f>SUMIFS('國外委外明細'!$H$4:$H$167,'國外委外明細'!$A$4:$A$167,A85,'國外委外明細'!$C$4:$C$167,C85,'國外委外明細'!$E$4:$E$167,E85)</x:f>
        <x:v>836000017</x:v>
      </x:c>
      <x:c r="H85" s="43" t="n">
        <x:f>IFERROR(G85/F85-1,0)</x:f>
        <x:v>0.26017389084900366</x:v>
      </x:c>
      <x:c r="I85" s="43" t="e">
        <x:f>AVERAGEIFS('國外委外明細'!$J$4:$J$167,'國外委外明細'!$A$4:$A$167,A85,'國外委外明細'!$C$4:$C$167,C85,'國外委外明細'!$E$4:$E$167,E85)</x:f>
        <x:v>e.reduce is not a function</x:v>
      </x:c>
      <x:c r="J85" s="31" t="str">
        <x:v>美元</x:v>
      </x:c>
      <x:c r="K85" s="32" t="str">
        <x:v>勞工保險基金-115年6月.pdf</x:v>
      </x:c>
    </x:row>
    <x:row r="86">
      <x:c r="A86" s="37" t="n">
        <x:v>46174</x:v>
      </x:c>
      <x:c r="B86" s="31" t="str">
        <x:v>115年6月</x:v>
      </x:c>
      <x:c r="C86" s="31" t="str">
        <x:v>國民年金</x:v>
      </x:c>
      <x:c r="D86" s="31" t="str">
        <x:v>國外</x:v>
      </x:c>
      <x:c r="E86" s="31" t="str">
        <x:v>104-1全球高品質被動股票型(續約2)</x:v>
      </x:c>
      <x:c r="F86" s="40" t="n">
        <x:f>SUMIFS('國外委外明細'!$G$4:$G$167,'國外委外明細'!$A$4:$A$167,A86,'國外委外明細'!$C$4:$C$167,C86,'國外委外明細'!$E$4:$E$167,E86)</x:f>
        <x:v>1019222527</x:v>
      </x:c>
      <x:c r="G86" s="40" t="n">
        <x:f>SUMIFS('國外委外明細'!$H$4:$H$167,'國外委外明細'!$A$4:$A$167,A86,'國外委外明細'!$C$4:$C$167,C86,'國外委外明細'!$E$4:$E$167,E86)</x:f>
        <x:v>1252731325</x:v>
      </x:c>
      <x:c r="H86" s="43" t="n">
        <x:f>IFERROR(G86/F86-1,0)</x:f>
        <x:v>0.22910482432851476</x:v>
      </x:c>
      <x:c r="I86" s="43" t="e">
        <x:f>AVERAGEIFS('國外委外明細'!$J$4:$J$167,'國外委外明細'!$A$4:$A$167,A86,'國外委外明細'!$C$4:$C$167,C86,'國外委外明細'!$E$4:$E$167,E86)</x:f>
        <x:v>e.reduce is not a function</x:v>
      </x:c>
      <x:c r="J86" s="31" t="str">
        <x:v>美元</x:v>
      </x:c>
      <x:c r="K86" s="32" t="str">
        <x:v>國民年金保險基金-115年6月.pdf</x:v>
      </x:c>
    </x:row>
    <x:row r="87">
      <x:c r="A87" s="37" t="n">
        <x:v>46174</x:v>
      </x:c>
      <x:c r="B87" s="31" t="str">
        <x:v>115年6月</x:v>
      </x:c>
      <x:c r="C87" s="31" t="str">
        <x:v>國民年金</x:v>
      </x:c>
      <x:c r="D87" s="31" t="str">
        <x:v>國外</x:v>
      </x:c>
      <x:c r="E87" s="31" t="str">
        <x:v>104-2全球不動產有價證券型(續約2)</x:v>
      </x:c>
      <x:c r="F87" s="40" t="n">
        <x:f>SUMIFS('國外委外明細'!$G$4:$G$167,'國外委外明細'!$A$4:$A$167,A87,'國外委外明細'!$C$4:$C$167,C87,'國外委外明細'!$E$4:$E$167,E87)</x:f>
        <x:v>378735074</x:v>
      </x:c>
      <x:c r="G87" s="40" t="n">
        <x:f>SUMIFS('國外委外明細'!$H$4:$H$167,'國外委外明細'!$A$4:$A$167,A87,'國外委外明細'!$C$4:$C$167,C87,'國外委外明細'!$E$4:$E$167,E87)</x:f>
        <x:v>419989262</x:v>
      </x:c>
      <x:c r="H87" s="43" t="n">
        <x:f>IFERROR(G87/F87-1,0)</x:f>
        <x:v>0.10892624114343308</x:v>
      </x:c>
      <x:c r="I87" s="43" t="e">
        <x:f>AVERAGEIFS('國外委外明細'!$J$4:$J$167,'國外委外明細'!$A$4:$A$167,A87,'國外委外明細'!$C$4:$C$167,C87,'國外委外明細'!$E$4:$E$167,E87)</x:f>
        <x:v>e.reduce is not a function</x:v>
      </x:c>
      <x:c r="J87" s="31" t="str">
        <x:v>美元</x:v>
      </x:c>
      <x:c r="K87" s="32" t="str">
        <x:v>國民年金保險基金-115年6月.pdf</x:v>
      </x:c>
    </x:row>
    <x:row r="88">
      <x:c r="A88" s="37" t="n">
        <x:v>46174</x:v>
      </x:c>
      <x:c r="B88" s="31" t="str">
        <x:v>115年6月</x:v>
      </x:c>
      <x:c r="C88" s="31" t="str">
        <x:v>國民年金</x:v>
      </x:c>
      <x:c r="D88" s="31" t="str">
        <x:v>國外</x:v>
      </x:c>
      <x:c r="E88" s="31" t="str">
        <x:v>104-1全球主權信用增值債券型(續約2)</x:v>
      </x:c>
      <x:c r="F88" s="40" t="n">
        <x:f>SUMIFS('國外委外明細'!$G$4:$G$167,'國外委外明細'!$A$4:$A$167,A88,'國外委外明細'!$C$4:$C$167,C88,'國外委外明細'!$E$4:$E$167,E88)</x:f>
        <x:v>339081835</x:v>
      </x:c>
      <x:c r="G88" s="40" t="n">
        <x:f>SUMIFS('國外委外明細'!$H$4:$H$167,'國外委外明細'!$A$4:$A$167,A88,'國外委外明細'!$C$4:$C$167,C88,'國外委外明細'!$E$4:$E$167,E88)</x:f>
        <x:v>333967279</x:v>
      </x:c>
      <x:c r="H88" s="43" t="n">
        <x:f>IFERROR(G88/F88-1,0)</x:f>
        <x:v>-0.01508354465523054</x:v>
      </x:c>
      <x:c r="I88" s="43" t="e">
        <x:f>AVERAGEIFS('國外委外明細'!$J$4:$J$167,'國外委外明細'!$A$4:$A$167,A88,'國外委外明細'!$C$4:$C$167,C88,'國外委外明細'!$E$4:$E$167,E88)</x:f>
        <x:v>e.reduce is not a function</x:v>
      </x:c>
      <x:c r="J88" s="31" t="str">
        <x:v>美元</x:v>
      </x:c>
      <x:c r="K88" s="32" t="str">
        <x:v>國民年金保險基金-115年6月.pdf</x:v>
      </x:c>
    </x:row>
    <x:row r="89">
      <x:c r="A89" s="37" t="n">
        <x:v>46174</x:v>
      </x:c>
      <x:c r="B89" s="31" t="str">
        <x:v>115年6月</x:v>
      </x:c>
      <x:c r="C89" s="31" t="str">
        <x:v>國民年金</x:v>
      </x:c>
      <x:c r="D89" s="31" t="str">
        <x:v>國外</x:v>
      </x:c>
      <x:c r="E89" s="31" t="str">
        <x:v>105-1亞太混合指數增值股票型(續約)</x:v>
      </x:c>
      <x:c r="F89" s="40" t="n">
        <x:f>SUMIFS('國外委外明細'!$G$4:$G$167,'國外委外明細'!$A$4:$A$167,A89,'國外委外明細'!$C$4:$C$167,C89,'國外委外明細'!$E$4:$E$167,E89)</x:f>
        <x:v>151227051</x:v>
      </x:c>
      <x:c r="G89" s="40" t="n">
        <x:f>SUMIFS('國外委外明細'!$H$4:$H$167,'國外委外明細'!$A$4:$A$167,A89,'國外委外明細'!$C$4:$C$167,C89,'國外委外明細'!$E$4:$E$167,E89)</x:f>
        <x:v>274997024</x:v>
      </x:c>
      <x:c r="H89" s="43" t="n">
        <x:f>IFERROR(G89/F89-1,0)</x:f>
        <x:v>0.8184380518006662</x:v>
      </x:c>
      <x:c r="I89" s="43" t="e">
        <x:f>AVERAGEIFS('國外委外明細'!$J$4:$J$167,'國外委外明細'!$A$4:$A$167,A89,'國外委外明細'!$C$4:$C$167,C89,'國外委外明細'!$E$4:$E$167,E89)</x:f>
        <x:v>e.reduce is not a function</x:v>
      </x:c>
      <x:c r="J89" s="31" t="str">
        <x:v>美元</x:v>
      </x:c>
      <x:c r="K89" s="32" t="str">
        <x:v>國民年金保險基金-115年6月.pdf</x:v>
      </x:c>
    </x:row>
    <x:row r="90">
      <x:c r="A90" s="37" t="n">
        <x:v>46174</x:v>
      </x:c>
      <x:c r="B90" s="31" t="str">
        <x:v>115年6月</x:v>
      </x:c>
      <x:c r="C90" s="31" t="str">
        <x:v>國民年金</x:v>
      </x:c>
      <x:c r="D90" s="31" t="str">
        <x:v>國外</x:v>
      </x:c>
      <x:c r="E90" s="31" t="str">
        <x:v>106-1全球ESG混合指數被動股票型(續約)</x:v>
      </x:c>
      <x:c r="F90" s="40" t="n">
        <x:f>SUMIFS('國外委外明細'!$G$4:$G$167,'國外委外明細'!$A$4:$A$167,A90,'國外委外明細'!$C$4:$C$167,C90,'國外委外明細'!$E$4:$E$167,E90)</x:f>
        <x:v>637470261</x:v>
      </x:c>
      <x:c r="G90" s="40" t="n">
        <x:f>SUMIFS('國外委外明細'!$H$4:$H$167,'國外委外明細'!$A$4:$A$167,A90,'國外委外明細'!$C$4:$C$167,C90,'國外委外明細'!$E$4:$E$167,E90)</x:f>
        <x:v>1240702417</x:v>
      </x:c>
      <x:c r="H90" s="43" t="n">
        <x:f>IFERROR(G90/F90-1,0)</x:f>
        <x:v>0.9462906631184791</x:v>
      </x:c>
      <x:c r="I90" s="43" t="e">
        <x:f>AVERAGEIFS('國外委外明細'!$J$4:$J$167,'國外委外明細'!$A$4:$A$167,A90,'國外委外明細'!$C$4:$C$167,C90,'國外委外明細'!$E$4:$E$167,E90)</x:f>
        <x:v>e.reduce is not a function</x:v>
      </x:c>
      <x:c r="J90" s="31" t="str">
        <x:v>美元</x:v>
      </x:c>
      <x:c r="K90" s="32" t="str">
        <x:v>國民年金保險基金-115年6月.pdf</x:v>
      </x:c>
    </x:row>
    <x:row r="91">
      <x:c r="A91" s="37" t="n">
        <x:v>46174</x:v>
      </x:c>
      <x:c r="B91" s="31" t="str">
        <x:v>115年6月</x:v>
      </x:c>
      <x:c r="C91" s="31" t="str">
        <x:v>國民年金</x:v>
      </x:c>
      <x:c r="D91" s="31" t="str">
        <x:v>國外</x:v>
      </x:c>
      <x:c r="E91" s="31" t="str">
        <x:v>106-1絕對報酬債券型(續約)</x:v>
      </x:c>
      <x:c r="F91" s="40" t="n">
        <x:f>SUMIFS('國外委外明細'!$G$4:$G$167,'國外委外明細'!$A$4:$A$167,A91,'國外委外明細'!$C$4:$C$167,C91,'國外委外明細'!$E$4:$E$167,E91)</x:f>
        <x:v>497978842</x:v>
      </x:c>
      <x:c r="G91" s="40" t="n">
        <x:f>SUMIFS('國外委外明細'!$H$4:$H$167,'國外委外明細'!$A$4:$A$167,A91,'國外委外明細'!$C$4:$C$167,C91,'國外委外明細'!$E$4:$E$167,E91)</x:f>
        <x:v>624501199</x:v>
      </x:c>
      <x:c r="H91" s="43" t="n">
        <x:f>IFERROR(G91/F91-1,0)</x:f>
        <x:v>0.25407175230950885</x:v>
      </x:c>
      <x:c r="I91" s="43" t="e">
        <x:f>AVERAGEIFS('國外委外明細'!$J$4:$J$167,'國外委外明細'!$A$4:$A$167,A91,'國外委外明細'!$C$4:$C$167,C91,'國外委外明細'!$E$4:$E$167,E91)</x:f>
        <x:v>e.reduce is not a function</x:v>
      </x:c>
      <x:c r="J91" s="31" t="str">
        <x:v>美元</x:v>
      </x:c>
      <x:c r="K91" s="32" t="str">
        <x:v>國民年金保險基金-115年6月.pdf</x:v>
      </x:c>
    </x:row>
    <x:row r="92">
      <x:c r="A92" s="37" t="n">
        <x:v>46174</x:v>
      </x:c>
      <x:c r="B92" s="31" t="str">
        <x:v>115年6月</x:v>
      </x:c>
      <x:c r="C92" s="31" t="str">
        <x:v>國民年金</x:v>
      </x:c>
      <x:c r="D92" s="31" t="str">
        <x:v>國外</x:v>
      </x:c>
      <x:c r="E92" s="31" t="str">
        <x:v>107-1絕對報酬股票型(續約)</x:v>
      </x:c>
      <x:c r="F92" s="40" t="n">
        <x:f>SUMIFS('國外委外明細'!$G$4:$G$167,'國外委外明細'!$A$4:$A$167,A92,'國外委外明細'!$C$4:$C$167,C92,'國外委外明細'!$E$4:$E$167,E92)</x:f>
        <x:v>635202868</x:v>
      </x:c>
      <x:c r="G92" s="40" t="n">
        <x:f>SUMIFS('國外委外明細'!$H$4:$H$167,'國外委外明細'!$A$4:$A$167,A92,'國外委外明細'!$C$4:$C$167,C92,'國外委外明細'!$E$4:$E$167,E92)</x:f>
        <x:v>916386389</x:v>
      </x:c>
      <x:c r="H92" s="43" t="n">
        <x:f>IFERROR(G92/F92-1,0)</x:f>
        <x:v>0.4426672724028067</x:v>
      </x:c>
      <x:c r="I92" s="43" t="e">
        <x:f>AVERAGEIFS('國外委外明細'!$J$4:$J$167,'國外委外明細'!$A$4:$A$167,A92,'國外委外明細'!$C$4:$C$167,C92,'國外委外明細'!$E$4:$E$167,E92)</x:f>
        <x:v>e.reduce is not a function</x:v>
      </x:c>
      <x:c r="J92" s="31" t="str">
        <x:v>美元</x:v>
      </x:c>
      <x:c r="K92" s="32" t="str">
        <x:v>國民年金保險基金-115年6月.pdf</x:v>
      </x:c>
    </x:row>
    <x:row r="93">
      <x:c r="A93" s="37" t="n">
        <x:v>46174</x:v>
      </x:c>
      <x:c r="B93" s="31" t="str">
        <x:v>115年6月</x:v>
      </x:c>
      <x:c r="C93" s="31" t="str">
        <x:v>國民年金</x:v>
      </x:c>
      <x:c r="D93" s="31" t="str">
        <x:v>國外</x:v>
      </x:c>
      <x:c r="E93" s="31" t="str">
        <x:v>109-1全球美元公司增值債券型(續約)</x:v>
      </x:c>
      <x:c r="F93" s="40" t="n">
        <x:f>SUMIFS('國外委外明細'!$G$4:$G$167,'國外委外明細'!$A$4:$A$167,A93,'國外委外明細'!$C$4:$C$167,C93,'國外委外明細'!$E$4:$E$167,E93)</x:f>
        <x:v>380152423</x:v>
      </x:c>
      <x:c r="G93" s="40" t="n">
        <x:f>SUMIFS('國外委外明細'!$H$4:$H$167,'國外委外明細'!$A$4:$A$167,A93,'國外委外明細'!$C$4:$C$167,C93,'國外委外明細'!$E$4:$E$167,E93)</x:f>
        <x:v>382813078</x:v>
      </x:c>
      <x:c r="H93" s="43" t="n">
        <x:f>IFERROR(G93/F93-1,0)</x:f>
        <x:v>0.006998916326780957</x:v>
      </x:c>
      <x:c r="I93" s="43" t="e">
        <x:f>AVERAGEIFS('國外委外明細'!$J$4:$J$167,'國外委外明細'!$A$4:$A$167,A93,'國外委外明細'!$C$4:$C$167,C93,'國外委外明細'!$E$4:$E$167,E93)</x:f>
        <x:v>e.reduce is not a function</x:v>
      </x:c>
      <x:c r="J93" s="31" t="str">
        <x:v>美元</x:v>
      </x:c>
      <x:c r="K93" s="32" t="str">
        <x:v>國民年金保險基金-115年6月.pdf</x:v>
      </x:c>
    </x:row>
    <x:row r="94">
      <x:c r="A94" s="37" t="n">
        <x:v>46174</x:v>
      </x:c>
      <x:c r="B94" s="31" t="str">
        <x:v>115年6月</x:v>
      </x:c>
      <x:c r="C94" s="31" t="str">
        <x:v>國民年金</x:v>
      </x:c>
      <x:c r="D94" s="31" t="str">
        <x:v>國外</x:v>
      </x:c>
      <x:c r="E94" s="31" t="str">
        <x:v>110-1全球多元資產型</x:v>
      </x:c>
      <x:c r="F94" s="40" t="n">
        <x:f>SUMIFS('國外委外明細'!$G$4:$G$167,'國外委外明細'!$A$4:$A$167,A94,'國外委外明細'!$C$4:$C$167,C94,'國外委外明細'!$E$4:$E$167,E94)</x:f>
        <x:v>400000000</x:v>
      </x:c>
      <x:c r="G94" s="40" t="n">
        <x:f>SUMIFS('國外委外明細'!$H$4:$H$167,'國外委外明細'!$A$4:$A$167,A94,'國外委外明細'!$C$4:$C$167,C94,'國外委外明細'!$E$4:$E$167,E94)</x:f>
        <x:v>508659949</x:v>
      </x:c>
      <x:c r="H94" s="43" t="n">
        <x:f>IFERROR(G94/F94-1,0)</x:f>
        <x:v>0.27164987250000006</x:v>
      </x:c>
      <x:c r="I94" s="43" t="e">
        <x:f>AVERAGEIFS('國外委外明細'!$J$4:$J$167,'國外委外明細'!$A$4:$A$167,A94,'國外委外明細'!$C$4:$C$167,C94,'國外委外明細'!$E$4:$E$167,E94)</x:f>
        <x:v>e.reduce is not a function</x:v>
      </x:c>
      <x:c r="J94" s="31" t="str">
        <x:v>美元</x:v>
      </x:c>
      <x:c r="K94" s="32" t="str">
        <x:v>國民年金保險基金-115年6月.pdf</x:v>
      </x:c>
    </x:row>
    <x:row r="95">
      <x:c r="A95" s="37" t="n">
        <x:v>46174</x:v>
      </x:c>
      <x:c r="B95" s="31" t="str">
        <x:v>115年6月</x:v>
      </x:c>
      <x:c r="C95" s="31" t="str">
        <x:v>國民年金</x:v>
      </x:c>
      <x:c r="D95" s="31" t="str">
        <x:v>國外</x:v>
      </x:c>
      <x:c r="E95" s="31" t="str">
        <x:v>111-1全球氣候變遷股票型</x:v>
      </x:c>
      <x:c r="F95" s="40" t="n">
        <x:f>SUMIFS('國外委外明細'!$G$4:$G$167,'國外委外明細'!$A$4:$A$167,A95,'國外委外明細'!$C$4:$C$167,C95,'國外委外明細'!$E$4:$E$167,E95)</x:f>
        <x:v>300000000</x:v>
      </x:c>
      <x:c r="G95" s="40" t="n">
        <x:f>SUMIFS('國外委外明細'!$H$4:$H$167,'國外委外明細'!$A$4:$A$167,A95,'國外委外明細'!$C$4:$C$167,C95,'國外委外明細'!$E$4:$E$167,E95)</x:f>
        <x:v>438827381</x:v>
      </x:c>
      <x:c r="H95" s="43" t="n">
        <x:f>IFERROR(G95/F95-1,0)</x:f>
        <x:v>0.46275793666666676</x:v>
      </x:c>
      <x:c r="I95" s="43" t="e">
        <x:f>AVERAGEIFS('國外委外明細'!$J$4:$J$167,'國外委外明細'!$A$4:$A$167,A95,'國外委外明細'!$C$4:$C$167,C95,'國外委外明細'!$E$4:$E$167,E95)</x:f>
        <x:v>e.reduce is not a function</x:v>
      </x:c>
      <x:c r="J95" s="31" t="str">
        <x:v>美元</x:v>
      </x:c>
      <x:c r="K95" s="32" t="str">
        <x:v>國民年金保險基金-115年6月.pdf</x:v>
      </x:c>
    </x:row>
    <x:row r="96">
      <x:c r="A96" s="38" t="n">
        <x:v>46174</x:v>
      </x:c>
      <x:c r="B96" s="34" t="str">
        <x:v>115年6月</x:v>
      </x:c>
      <x:c r="C96" s="34" t="str">
        <x:v>國民年金</x:v>
      </x:c>
      <x:c r="D96" s="34" t="str">
        <x:v>國外</x:v>
      </x:c>
      <x:c r="E96" s="34" t="str">
        <x:v>112-1全球被動股票型</x:v>
      </x:c>
      <x:c r="F96" s="41" t="n">
        <x:f>SUMIFS('國外委外明細'!$G$4:$G$167,'國外委外明細'!$A$4:$A$167,A96,'國外委外明細'!$C$4:$C$167,C96,'國外委外明細'!$E$4:$E$167,E96)</x:f>
        <x:v>400000000</x:v>
      </x:c>
      <x:c r="G96" s="41" t="n">
        <x:f>SUMIFS('國外委外明細'!$H$4:$H$167,'國外委外明細'!$A$4:$A$167,A96,'國外委外明細'!$C$4:$C$167,C96,'國外委外明細'!$E$4:$E$167,E96)</x:f>
        <x:v>544354160</x:v>
      </x:c>
      <x:c r="H96" s="44" t="n">
        <x:f>IFERROR(G96/F96-1,0)</x:f>
        <x:v>0.3608853999999999</x:v>
      </x:c>
      <x:c r="I96" s="44" t="e">
        <x:f>AVERAGEIFS('國外委外明細'!$J$4:$J$167,'國外委外明細'!$A$4:$A$167,A96,'國外委外明細'!$C$4:$C$167,C96,'國外委外明細'!$E$4:$E$167,E96)</x:f>
        <x:v>e.reduce is not a function</x:v>
      </x:c>
      <x:c r="J96" s="34" t="str">
        <x:v>美元</x:v>
      </x:c>
      <x:c r="K96" s="35" t="str">
        <x:v>國民年金保險基金-115年6月.pdf</x:v>
      </x:c>
    </x:row>
    <x:row r="98">
      <x:c r="A98" s="46" t="str">
        <x:v>* 投資報酬率採「目前淨資產 ÷ 委託金額 − 1」計算；目標／指標報酬率採同批次受託機構之平均，便於跨批次比較。</x:v>
      </x:c>
      <x:c r="B98" s="46"/>
      <x:c r="C98" s="46"/>
      <x:c r="D98" s="46"/>
      <x:c r="E98" s="46"/>
      <x:c r="F98" s="46"/>
      <x:c r="G98" s="46"/>
      <x:c r="H98" s="46"/>
      <x:c r="I98" s="46"/>
      <x:c r="J98" s="46"/>
      <x:c r="K98" s="46"/>
    </x:row>
  </x:sheetData>
  <x:mergeCells>
    <x:mergeCell ref="A1:K1"/>
    <x:mergeCell ref="A98:K98"/>
  </x:mergeCells>
  <x:pageMargins left="0.7" right="0.7" top="0.75" bottom="0.75" header="0.3" footer="0.3"/>
  <x:tableParts count="1">
    <x:tablePart xmlns:r="http://schemas.openxmlformats.org/officeDocument/2006/relationships" r:id="Rb1e24e89e4a74a2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5.109999656677246" hidden="0" customWidth="1"/>
    <x:col min="5" max="5" width="3.779999971389770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5.109999656677246" hidden="0" customWidth="1"/>
    <x:col min="11" max="11" width="3.779999971389770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46174</x:v>
      </x:c>
      <x:c r="C4" s="29" t="str">
        <x:v>可改為其他資料月份</x:v>
      </x:c>
      <x:c r="M4" t="str">
        <x:f>A9&amp;" "&amp;TEXT(D9,"0.0%")</x:f>
        <x:v>野村 22.6%</x:v>
      </x:c>
      <x:c r="N4" s="51" t="n">
        <x:f>B9</x:f>
        <x:v>233798388724</x:v>
      </x:c>
      <x:c r="O4" s="50" t="n">
        <x:f>N4/SUM($N$4:$N$14)</x:f>
        <x:v>0.22603412043602447</x:v>
      </x:c>
      <x:c r="P4" t="str">
        <x:f>G9&amp;" "&amp;TEXT(J9,"0.0%")</x:f>
        <x:v>貝萊德 11.0%</x:v>
      </x:c>
      <x:c r="Q4" s="51" t="n">
        <x:f>H9</x:f>
        <x:v>10862512457</x:v>
      </x:c>
      <x:c r="R4" s="50" t="n">
        <x:f>Q4/SUM($Q$4:$Q$14)</x:f>
        <x:v>0.11045017116445836</x:v>
      </x:c>
      <x:c r="S4" t="str">
        <x:f>M4</x:f>
        <x:v>野村 22.6%</x:v>
      </x:c>
      <x:c r="T4" s="50" t="n">
        <x:f>O4</x:f>
        <x:v>0.22603412043602447</x:v>
      </x:c>
      <x:c r="V4" t="str">
        <x:f>P4</x:f>
        <x:v>貝萊德 11.0%</x:v>
      </x:c>
      <x:c r="W4" s="50" t="n">
        <x:f>R4</x:f>
        <x:v>0.11045017116445836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M5" t="str">
        <x:f>A10&amp;" "&amp;TEXT(D10,"0.0%")</x:f>
        <x:v>安聯 14.8%</x:v>
      </x:c>
      <x:c r="N5" s="51" t="n">
        <x:f>B10</x:f>
        <x:v>153336870651</x:v>
      </x:c>
      <x:c r="O5" s="50" t="n">
        <x:f>N5/SUM($N$4:$N$14)</x:f>
        <x:v>0.14824466873861467</x:v>
      </x:c>
      <x:c r="P5" t="str">
        <x:f>G10&amp;" "&amp;TEXT(J10,"0.0%")</x:f>
        <x:v>道富 7.7%</x:v>
      </x:c>
      <x:c r="Q5" s="51" t="n">
        <x:f>H10</x:f>
        <x:v>7606597782</x:v>
      </x:c>
      <x:c r="R5" s="50" t="n">
        <x:f>Q5/SUM($Q$4:$Q$14)</x:f>
        <x:v>0.0773439874363211</x:v>
      </x:c>
      <x:c r="S5" t="str">
        <x:f>M5</x:f>
        <x:v>安聯 14.8%</x:v>
      </x:c>
      <x:c r="T5" s="50" t="n">
        <x:f>O5</x:f>
        <x:v>0.14824466873861467</x:v>
      </x:c>
      <x:c r="V5" t="str">
        <x:f>P5</x:f>
        <x:v>道富 7.7%</x:v>
      </x:c>
      <x:c r="W5" s="50" t="n">
        <x:f>R5</x:f>
        <x:v>0.0773439874363211</x:v>
      </x:c>
    </x:row>
    <x:row r="6">
      <x:c r="M6" t="str">
        <x:f>A11&amp;" "&amp;TEXT(D11,"0.0%")</x:f>
        <x:v>國泰 12.1%</x:v>
      </x:c>
      <x:c r="N6" s="51" t="n">
        <x:f>B11</x:f>
        <x:v>124755806236</x:v>
      </x:c>
      <x:c r="O6" s="50" t="n">
        <x:f>N6/SUM($N$4:$N$14)</x:f>
        <x:v>0.12061275993279183</x:v>
      </x:c>
      <x:c r="P6" t="str">
        <x:f>G11&amp;" "&amp;TEXT(J11,"0.0%")</x:f>
        <x:v>北美信託 6.2%</x:v>
      </x:c>
      <x:c r="Q6" s="51" t="n">
        <x:f>H11</x:f>
        <x:v>6137221459</x:v>
      </x:c>
      <x:c r="R6" s="50" t="n">
        <x:f>Q6/SUM($Q$4:$Q$14)</x:f>
        <x:v>0.06240334943725781</x:v>
      </x:c>
      <x:c r="S6" t="str">
        <x:f>M6</x:f>
        <x:v>國泰 12.1%</x:v>
      </x:c>
      <x:c r="T6" s="50" t="n">
        <x:f>O6</x:f>
        <x:v>0.12061275993279183</x:v>
      </x:c>
      <x:c r="V6" t="str">
        <x:f>P6</x:f>
        <x:v>北美信託 6.2%</x:v>
      </x:c>
      <x:c r="W6" s="50" t="n">
        <x:f>R6</x:f>
        <x:v>0.06240334943725781</x:v>
      </x:c>
    </x:row>
    <x:row r="7">
      <x:c r="M7" t="str">
        <x:f>A12&amp;" "&amp;TEXT(D12,"0.0%")</x:f>
        <x:v>統一 11.4%</x:v>
      </x:c>
      <x:c r="N7" s="51" t="n">
        <x:f>B12</x:f>
        <x:v>118408499183</x:v>
      </x:c>
      <x:c r="O7" s="50" t="n">
        <x:f>N7/SUM($N$4:$N$14)</x:f>
        <x:v>0.11447624216339049</x:v>
      </x:c>
      <x:c r="P7" t="str">
        <x:f>G12&amp;" "&amp;TEXT(J12,"0.0%")</x:f>
        <x:v>PIMCO 6.0%</x:v>
      </x:c>
      <x:c r="Q7" s="51" t="n">
        <x:f>H12</x:f>
        <x:v>5855623604</x:v>
      </x:c>
      <x:c r="R7" s="50" t="n">
        <x:f>Q7/SUM($Q$4:$Q$14)</x:f>
        <x:v>0.05954005870158171</x:v>
      </x:c>
      <x:c r="S7" t="str">
        <x:f>M7</x:f>
        <x:v>統一 11.4%</x:v>
      </x:c>
      <x:c r="T7" s="50" t="n">
        <x:f>O7</x:f>
        <x:v>0.11447624216339049</x:v>
      </x:c>
      <x:c r="V7" t="str">
        <x:f>P7</x:f>
        <x:v>PIMCO 6.0%</x:v>
      </x:c>
      <x:c r="W7" s="50" t="n">
        <x:f>R7</x:f>
        <x:v>0.05954005870158171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市占率（委託金額）</x:v>
      </x:c>
      <x:c r="E8" s="17" t="str">
        <x:v>排名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市占率（委託金額）</x:v>
      </x:c>
      <x:c r="K8" s="17" t="str">
        <x:v>排名</x:v>
      </x:c>
      <x:c r="M8" t="str">
        <x:f>A13&amp;" "&amp;TEXT(D13,"0.0%")</x:f>
        <x:v>復華 11.0%</x:v>
      </x:c>
      <x:c r="N8" s="51" t="n">
        <x:f>B13</x:f>
        <x:v>114269363585</x:v>
      </x:c>
      <x:c r="O8" s="50" t="n">
        <x:f>N8/SUM($N$4:$N$14)</x:f>
        <x:v>0.11047456413915127</x:v>
      </x:c>
      <x:c r="P8" t="str">
        <x:f>G13&amp;" "&amp;TEXT(J13,"0.0%")</x:f>
        <x:v>JPMorgan（國外） 5.5%</x:v>
      </x:c>
      <x:c r="Q8" s="51" t="n">
        <x:f>H13</x:f>
        <x:v>5423864675</x:v>
      </x:c>
      <x:c r="R8" s="50" t="n">
        <x:f>Q8/SUM($Q$4:$Q$14)</x:f>
        <x:v>0.05514992816791293</x:v>
      </x:c>
      <x:c r="S8" t="str">
        <x:f>M8</x:f>
        <x:v>復華 11.0%</x:v>
      </x:c>
      <x:c r="T8" s="50" t="n">
        <x:f>O8</x:f>
        <x:v>0.11047456413915127</x:v>
      </x:c>
      <x:c r="V8" t="str">
        <x:f>P8</x:f>
        <x:v>JPMorgan（國外） 5.5%</x:v>
      </x:c>
      <x:c r="W8" s="50" t="n">
        <x:f>R8</x:f>
        <x:v>0.05514992816791293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233798388724</x:v>
      </x:c>
      <x:c r="C9" s="39" t="n">
        <x:f>SUMIFS('國內委外明細'!$H$4:$H$116,'國內委外明細'!$F$4:$F$116,A9,'國內委外明細'!$A$4:$A$116,$B$4)</x:f>
        <x:v>577791297925</x:v>
      </x:c>
      <x:c r="D9" s="42" t="n">
        <x:f>IFERROR(B9/SUM($B$9:$B$26),0)</x:f>
        <x:v>0.22603412043602447</x:v>
      </x:c>
      <x:c r="E9" s="29" t="n">
        <x:f>RANK(B9,$B$9:$B$26,0)</x:f>
        <x:v>1</x:v>
      </x:c>
      <x:c r="G9" s="27" t="str">
        <x:v>貝萊德</x:v>
      </x:c>
      <x:c r="H9" s="39" t="n">
        <x:f>SUMIFS('國外委外明細'!$G$4:$G$167,'國外委外明細'!$F$4:$F$167,G9,'國外委外明細'!$A$4:$A$167,$B$4)</x:f>
        <x:v>10862512457</x:v>
      </x:c>
      <x:c r="I9" s="39" t="n">
        <x:f>SUMIFS('國外委外明細'!$H$4:$H$167,'國外委外明細'!$F$4:$F$167,G9,'國外委外明細'!$A$4:$A$167,$B$4)</x:f>
        <x:v>18069193180</x:v>
      </x:c>
      <x:c r="J9" s="42" t="n">
        <x:f>IFERROR(H9/SUM($H$9:$H$55),0)</x:f>
        <x:v>0.11045017116445836</x:v>
      </x:c>
      <x:c r="K9" s="29" t="n">
        <x:f>RANK(H9,$H$9:$H$55,0)</x:f>
        <x:v>1</x:v>
      </x:c>
      <x:c r="M9" t="str">
        <x:f>A14&amp;" "&amp;TEXT(D14,"0.0%")</x:f>
        <x:v>玉山 4.8%</x:v>
      </x:c>
      <x:c r="N9" s="51" t="n">
        <x:f>B14</x:f>
        <x:v>49410277565</x:v>
      </x:c>
      <x:c r="O9" s="50" t="n">
        <x:f>N9/SUM($N$4:$N$14)</x:f>
        <x:v>0.04776939948499372</x:v>
      </x:c>
      <x:c r="P9" t="str">
        <x:f>G14&amp;" "&amp;TEXT(J14,"0.0%")</x:f>
        <x:v>威靈頓 4.7%</x:v>
      </x:c>
      <x:c r="Q9" s="51" t="n">
        <x:f>H14</x:f>
        <x:v>4625550093</x:v>
      </x:c>
      <x:c r="R9" s="50" t="n">
        <x:f>Q9/SUM($Q$4:$Q$14)</x:f>
        <x:v>0.047032654878328604</x:v>
      </x:c>
      <x:c r="S9" t="str">
        <x:f>M9</x:f>
        <x:v>玉山 4.8%</x:v>
      </x:c>
      <x:c r="T9" s="50" t="n">
        <x:f>O9</x:f>
        <x:v>0.04776939948499372</x:v>
      </x:c>
      <x:c r="V9" t="str">
        <x:f>P9</x:f>
        <x:v>威靈頓 4.7%</x:v>
      </x:c>
      <x:c r="W9" s="50" t="n">
        <x:f>R9</x:f>
        <x:v>0.047032654878328604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153336870651</x:v>
      </x:c>
      <x:c r="C10" s="40" t="n">
        <x:f>SUMIFS('國內委外明細'!$H$4:$H$116,'國內委外明細'!$F$4:$F$116,A10,'國內委外明細'!$A$4:$A$116,$B$4)</x:f>
        <x:v>357673538046</x:v>
      </x:c>
      <x:c r="D10" s="43" t="n">
        <x:f>IFERROR(B10/SUM($B$9:$B$26),0)</x:f>
        <x:v>0.14824466873861467</x:v>
      </x:c>
      <x:c r="E10" s="32" t="n">
        <x:f>RANK(B10,$B$9:$B$26,0)</x:f>
        <x:v>2</x:v>
      </x:c>
      <x:c r="G10" s="30" t="str">
        <x:v>道富</x:v>
      </x:c>
      <x:c r="H10" s="40" t="n">
        <x:f>SUMIFS('國外委外明細'!$G$4:$G$167,'國外委外明細'!$F$4:$F$167,G10,'國外委外明細'!$A$4:$A$167,$B$4)</x:f>
        <x:v>7606597782</x:v>
      </x:c>
      <x:c r="I10" s="40" t="n">
        <x:f>SUMIFS('國外委外明細'!$H$4:$H$167,'國外委外明細'!$F$4:$F$167,G10,'國外委外明細'!$A$4:$A$167,$B$4)</x:f>
        <x:v>12081425660</x:v>
      </x:c>
      <x:c r="J10" s="43" t="n">
        <x:f>IFERROR(H10/SUM($H$9:$H$55),0)</x:f>
        <x:v>0.0773439874363211</x:v>
      </x:c>
      <x:c r="K10" s="32" t="n">
        <x:f>RANK(H10,$H$9:$H$55,0)</x:f>
        <x:v>2</x:v>
      </x:c>
      <x:c r="M10" t="str">
        <x:f>A15&amp;" "&amp;TEXT(D15,"0.0%")</x:f>
        <x:v>滙豐 4.6%</x:v>
      </x:c>
      <x:c r="N10" s="51" t="n">
        <x:f>B15</x:f>
        <x:v>47530015104</x:v>
      </x:c>
      <x:c r="O10" s="50" t="n">
        <x:f>N10/SUM($N$4:$N$14)</x:f>
        <x:v>0.04595157912326862</x:v>
      </x:c>
      <x:c r="P10" t="str">
        <x:f>G15&amp;" "&amp;TEXT(J15,"0.0%")</x:f>
        <x:v>Geode 4.1%</x:v>
      </x:c>
      <x:c r="Q10" s="51" t="n">
        <x:f>H15</x:f>
        <x:v>4011738367</x:v>
      </x:c>
      <x:c r="R10" s="50" t="n">
        <x:f>Q10/SUM($Q$4:$Q$14)</x:f>
        <x:v>0.04079140908295436</x:v>
      </x:c>
      <x:c r="S10" t="str">
        <x:f>M10</x:f>
        <x:v>滙豐 4.6%</x:v>
      </x:c>
      <x:c r="T10" s="50" t="n">
        <x:f>O10</x:f>
        <x:v>0.04595157912326862</x:v>
      </x:c>
      <x:c r="V10" t="str">
        <x:f>P10</x:f>
        <x:v>Geode 4.1%</x:v>
      </x:c>
      <x:c r="W10" s="50" t="n">
        <x:f>R10</x:f>
        <x:v>0.04079140908295436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286214667961</x:v>
      </x:c>
      <x:c r="D11" s="43" t="n">
        <x:f>IFERROR(B11/SUM($B$9:$B$26),0)</x:f>
        <x:v>0.12061275993279183</x:v>
      </x:c>
      <x:c r="E11" s="32" t="n">
        <x:f>RANK(B11,$B$9:$B$26,0)</x:f>
        <x:v>3</x:v>
      </x:c>
      <x:c r="G11" s="30" t="str">
        <x:v>北美信託</x:v>
      </x:c>
      <x:c r="H11" s="40" t="n">
        <x:f>SUMIFS('國外委外明細'!$G$4:$G$167,'國外委外明細'!$F$4:$F$167,G11,'國外委外明細'!$A$4:$A$167,$B$4)</x:f>
        <x:v>6137221459</x:v>
      </x:c>
      <x:c r="I11" s="40" t="n">
        <x:f>SUMIFS('國外委外明細'!$H$4:$H$167,'國外委外明細'!$F$4:$F$167,G11,'國外委外明細'!$A$4:$A$167,$B$4)</x:f>
        <x:v>8334588169</x:v>
      </x:c>
      <x:c r="J11" s="43" t="n">
        <x:f>IFERROR(H11/SUM($H$9:$H$55),0)</x:f>
        <x:v>0.06240334943725781</x:v>
      </x:c>
      <x:c r="K11" s="32" t="n">
        <x:f>RANK(H11,$H$9:$H$55,0)</x:f>
        <x:v>3</x:v>
      </x:c>
      <x:c r="M11" t="str">
        <x:f>A16&amp;" "&amp;TEXT(D16,"0.0%")</x:f>
        <x:v>台新 4.2%</x:v>
      </x:c>
      <x:c r="N11" s="51" t="n">
        <x:f>B16</x:f>
        <x:v>43351455547</x:v>
      </x:c>
      <x:c r="O11" s="50" t="n">
        <x:f>N11/SUM($N$4:$N$14)</x:f>
        <x:v>0.04191178637999603</x:v>
      </x:c>
      <x:c r="P11" t="str">
        <x:f>G16&amp;" "&amp;TEXT(J16,"0.0%")</x:f>
        <x:v>LGIM 4.1%</x:v>
      </x:c>
      <x:c r="Q11" s="51" t="n">
        <x:f>H16</x:f>
        <x:v>4008355339</x:v>
      </x:c>
      <x:c r="R11" s="50" t="n">
        <x:f>Q11/SUM($Q$4:$Q$14)</x:f>
        <x:v>0.04075701040924666</x:v>
      </x:c>
      <x:c r="S11" t="str">
        <x:f>M11</x:f>
        <x:v>台新 4.2%</x:v>
      </x:c>
      <x:c r="T11" s="50" t="n">
        <x:f>O11</x:f>
        <x:v>0.04191178637999603</x:v>
      </x:c>
      <x:c r="V11" t="str">
        <x:f>P11</x:f>
        <x:v>LGIM 4.1%</x:v>
      </x:c>
      <x:c r="W11" s="50" t="n">
        <x:f>R11</x:f>
        <x:v>0.04075701040924666</x:v>
      </x:c>
    </x:row>
    <x:row r="12">
      <x:c r="A12" s="30" t="str">
        <x:v>統一</x:v>
      </x:c>
      <x:c r="B12" s="40" t="n">
        <x:f>SUMIFS('國內委外明細'!$G$4:$G$116,'國內委外明細'!$F$4:$F$116,A12,'國內委外明細'!$A$4:$A$116,$B$4)</x:f>
        <x:v>118408499183</x:v>
      </x:c>
      <x:c r="C12" s="40" t="n">
        <x:f>SUMIFS('國內委外明細'!$H$4:$H$116,'國內委外明細'!$F$4:$F$116,A12,'國內委外明細'!$A$4:$A$116,$B$4)</x:f>
        <x:v>250541373579</x:v>
      </x:c>
      <x:c r="D12" s="43" t="n">
        <x:f>IFERROR(B12/SUM($B$9:$B$26),0)</x:f>
        <x:v>0.11447624216339049</x:v>
      </x:c>
      <x:c r="E12" s="32" t="n">
        <x:f>RANK(B12,$B$9:$B$26,0)</x:f>
        <x:v>4</x:v>
      </x:c>
      <x:c r="G12" s="30" t="str">
        <x:v>PIMCO</x:v>
      </x:c>
      <x:c r="H12" s="40" t="n">
        <x:f>SUMIFS('國外委外明細'!$G$4:$G$167,'國外委外明細'!$F$4:$F$167,G12,'國外委外明細'!$A$4:$A$167,$B$4)</x:f>
        <x:v>5855623604</x:v>
      </x:c>
      <x:c r="I12" s="40" t="n">
        <x:f>SUMIFS('國外委外明細'!$H$4:$H$167,'國外委外明細'!$F$4:$F$167,G12,'國外委外明細'!$A$4:$A$167,$B$4)</x:f>
        <x:v>5969355836</x:v>
      </x:c>
      <x:c r="J12" s="43" t="n">
        <x:f>IFERROR(H12/SUM($H$9:$H$55),0)</x:f>
        <x:v>0.05954005870158171</x:v>
      </x:c>
      <x:c r="K12" s="32" t="n">
        <x:f>RANK(H12,$H$9:$H$55,0)</x:f>
        <x:v>4</x:v>
      </x:c>
      <x:c r="M12" t="str">
        <x:f>A17&amp;" "&amp;TEXT(D17,"0.0%")</x:f>
        <x:v>施羅德 3.8%</x:v>
      </x:c>
      <x:c r="N12" s="51" t="n">
        <x:f>B17</x:f>
        <x:v>39300361947</x:v>
      </x:c>
      <x:c r="O12" s="50" t="n">
        <x:f>N12/SUM($N$4:$N$14)</x:f>
        <x:v>0.03799522654535585</x:v>
      </x:c>
      <x:c r="P12" t="str">
        <x:f>G17&amp;" "&amp;TEXT(J17,"0.0%")</x:f>
        <x:v>景順 3.6%</x:v>
      </x:c>
      <x:c r="Q12" s="51" t="n">
        <x:f>H17</x:f>
        <x:v>3539309945</x:v>
      </x:c>
      <x:c r="R12" s="50" t="n">
        <x:f>Q12/SUM($Q$4:$Q$14)</x:f>
        <x:v>0.035987750603444</x:v>
      </x:c>
      <x:c r="S12" t="str">
        <x:f>M12</x:f>
        <x:v>施羅德 3.8%</x:v>
      </x:c>
      <x:c r="T12" s="50" t="n">
        <x:f>O12</x:f>
        <x:v>0.03799522654535585</x:v>
      </x:c>
      <x:c r="V12" t="str">
        <x:f>P12</x:f>
        <x:v>景順 3.6%</x:v>
      </x:c>
      <x:c r="W12" s="50" t="n">
        <x:f>R12</x:f>
        <x:v>0.035987750603444</x:v>
      </x:c>
    </x:row>
    <x:row r="13">
      <x:c r="A13" s="30" t="str">
        <x:v>復華</x:v>
      </x:c>
      <x:c r="B13" s="40" t="n">
        <x:f>SUMIFS('國內委外明細'!$G$4:$G$116,'國內委外明細'!$F$4:$F$116,A13,'國內委外明細'!$A$4:$A$116,$B$4)</x:f>
        <x:v>114269363585</x:v>
      </x:c>
      <x:c r="C13" s="40" t="n">
        <x:f>SUMIFS('國內委外明細'!$H$4:$H$116,'國內委外明細'!$F$4:$F$116,A13,'國內委外明細'!$A$4:$A$116,$B$4)</x:f>
        <x:v>265198460141</x:v>
      </x:c>
      <x:c r="D13" s="43" t="n">
        <x:f>IFERROR(B13/SUM($B$9:$B$26),0)</x:f>
        <x:v>0.11047456413915127</x:v>
      </x:c>
      <x:c r="E13" s="32" t="n">
        <x:f>RANK(B13,$B$9:$B$26,0)</x:f>
        <x:v>5</x:v>
      </x:c>
      <x:c r="G13" s="30" t="str">
        <x:v>JPMorgan（國外）</x:v>
      </x:c>
      <x:c r="H13" s="40" t="n">
        <x:f>SUMIFS('國外委外明細'!$G$4:$G$167,'國外委外明細'!$F$4:$F$167,G13,'國外委外明細'!$A$4:$A$167,$B$4)</x:f>
        <x:v>5423864675</x:v>
      </x:c>
      <x:c r="I13" s="40" t="n">
        <x:f>SUMIFS('國外委外明細'!$H$4:$H$167,'國外委外明細'!$F$4:$F$167,G13,'國外委外明細'!$A$4:$A$167,$B$4)</x:f>
        <x:v>7276491843</x:v>
      </x:c>
      <x:c r="J13" s="43" t="n">
        <x:f>IFERROR(H13/SUM($H$9:$H$55),0)</x:f>
        <x:v>0.05514992816791293</x:v>
      </x:c>
      <x:c r="K13" s="32" t="n">
        <x:f>RANK(H13,$H$9:$H$55,0)</x:f>
        <x:v>5</x:v>
      </x:c>
      <x:c r="M13" t="str">
        <x:f>A18&amp;" "&amp;TEXT(D18,"0.0%")</x:f>
        <x:v>富邦 2.7%</x:v>
      </x:c>
      <x:c r="N13" s="51" t="n">
        <x:f>B18</x:f>
        <x:v>27603507854</x:v>
      </x:c>
      <x:c r="O13" s="50" t="n">
        <x:f>N13/SUM($N$4:$N$14)</x:f>
        <x:v>0.02668681616148067</x:v>
      </x:c>
      <x:c r="P13" t="str">
        <x:f>G18&amp;" "&amp;TEXT(J18,"0.0%")</x:f>
        <x:v>富達 3.2%</x:v>
      </x:c>
      <x:c r="Q13" s="51" t="n">
        <x:f>H18</x:f>
        <x:v>3190338807</x:v>
      </x:c>
      <x:c r="R13" s="50" t="n">
        <x:f>Q13/SUM($Q$4:$Q$14)</x:f>
        <x:v>0.03243940742997151</x:v>
      </x:c>
      <x:c r="S13" t="str">
        <x:f>M13</x:f>
        <x:v>富邦 2.7%</x:v>
      </x:c>
      <x:c r="T13" s="50" t="n">
        <x:f>O13</x:f>
        <x:v>0.02668681616148067</x:v>
      </x:c>
      <x:c r="V13" t="str">
        <x:f>P13</x:f>
        <x:v>富達 3.2%</x:v>
      </x:c>
      <x:c r="W13" s="50" t="n">
        <x:f>R13</x:f>
        <x:v>0.03243940742997151</x:v>
      </x:c>
    </x:row>
    <x:row r="14">
      <x:c r="A14" s="30" t="str">
        <x:v>玉山</x:v>
      </x:c>
      <x:c r="B14" s="40" t="n">
        <x:f>SUMIFS('國內委外明細'!$G$4:$G$116,'國內委外明細'!$F$4:$F$116,A14,'國內委外明細'!$A$4:$A$116,$B$4)</x:f>
        <x:v>49410277565</x:v>
      </x:c>
      <x:c r="C14" s="40" t="n">
        <x:f>SUMIFS('國內委外明細'!$H$4:$H$116,'國內委外明細'!$F$4:$F$116,A14,'國內委外明細'!$A$4:$A$116,$B$4)</x:f>
        <x:v>103186108725</x:v>
      </x:c>
      <x:c r="D14" s="43" t="n">
        <x:f>IFERROR(B14/SUM($B$9:$B$26),0)</x:f>
        <x:v>0.04776939948499372</x:v>
      </x:c>
      <x:c r="E14" s="32" t="n">
        <x:f>RANK(B14,$B$9:$B$26,0)</x:f>
        <x:v>6</x:v>
      </x:c>
      <x:c r="G14" s="30" t="str">
        <x:v>威靈頓</x:v>
      </x:c>
      <x:c r="H14" s="40" t="n">
        <x:f>SUMIFS('國外委外明細'!$G$4:$G$167,'國外委外明細'!$F$4:$F$167,G14,'國外委外明細'!$A$4:$A$167,$B$4)</x:f>
        <x:v>4625550093</x:v>
      </x:c>
      <x:c r="I14" s="40" t="n">
        <x:f>SUMIFS('國外委外明細'!$H$4:$H$167,'國外委外明細'!$F$4:$F$167,G14,'國外委外明細'!$A$4:$A$167,$B$4)</x:f>
        <x:v>6382647431</x:v>
      </x:c>
      <x:c r="J14" s="43" t="n">
        <x:f>IFERROR(H14/SUM($H$9:$H$55),0)</x:f>
        <x:v>0.047032654878328604</x:v>
      </x:c>
      <x:c r="K14" s="32" t="n">
        <x:f>RANK(H14,$H$9:$H$55,0)</x:f>
        <x:v>6</x:v>
      </x:c>
      <x:c r="M14" t="str">
        <x:v>其他</x:v>
      </x:c>
      <x:c r="N14" s="51" t="n">
        <x:f>SUM(B19:B26)</x:f>
        <x:v>82585437018</x:v>
      </x:c>
      <x:c r="O14" s="50" t="n">
        <x:f>N14/SUM($N$4:$N$14)</x:f>
        <x:v>0.07984283689493236</x:v>
      </x:c>
      <x:c r="P14" t="str">
        <x:v>其他</x:v>
      </x:c>
      <x:c r="Q14" s="51" t="n">
        <x:f>SUM(H19:H55)</x:f>
        <x:v>43086516475</x:v>
      </x:c>
      <x:c r="R14" s="50" t="n">
        <x:f>Q14/SUM($Q$4:$Q$14)</x:f>
        <x:v>0.4381042726885229</x:v>
      </x:c>
      <x:c r="S14" t="str">
        <x:f>M14</x:f>
        <x:v>其他</x:v>
      </x:c>
      <x:c r="T14" s="50" t="n">
        <x:f>O14</x:f>
        <x:v>0.07984283689493236</x:v>
      </x:c>
      <x:c r="V14" t="str">
        <x:f>P14</x:f>
        <x:v>其他</x:v>
      </x:c>
      <x:c r="W14" s="50" t="n">
        <x:f>R14</x:f>
        <x:v>0.4381042726885229</x:v>
      </x:c>
    </x:row>
    <x:row r="15">
      <x:c r="A15" s="30" t="str">
        <x:v>滙豐</x:v>
      </x:c>
      <x:c r="B15" s="40" t="n">
        <x:f>SUMIFS('國內委外明細'!$G$4:$G$116,'國內委外明細'!$F$4:$F$116,A15,'國內委外明細'!$A$4:$A$116,$B$4)</x:f>
        <x:v>47530015104</x:v>
      </x:c>
      <x:c r="C15" s="40" t="n">
        <x:f>SUMIFS('國內委外明細'!$H$4:$H$116,'國內委外明細'!$F$4:$F$116,A15,'國內委外明細'!$A$4:$A$116,$B$4)</x:f>
        <x:v>106919554084</x:v>
      </x:c>
      <x:c r="D15" s="43" t="n">
        <x:f>IFERROR(B15/SUM($B$9:$B$26),0)</x:f>
        <x:v>0.04595157912326862</x:v>
      </x:c>
      <x:c r="E15" s="32" t="n">
        <x:f>RANK(B15,$B$9:$B$26,0)</x:f>
        <x:v>7</x:v>
      </x:c>
      <x:c r="G15" s="30" t="str">
        <x:v>Geode</x:v>
      </x:c>
      <x:c r="H15" s="40" t="n">
        <x:f>SUMIFS('國外委外明細'!$G$4:$G$167,'國外委外明細'!$F$4:$F$167,G15,'國外委外明細'!$A$4:$A$167,$B$4)</x:f>
        <x:v>4011738367</x:v>
      </x:c>
      <x:c r="I15" s="40" t="n">
        <x:f>SUMIFS('國外委外明細'!$H$4:$H$167,'國外委外明細'!$F$4:$F$167,G15,'國外委外明細'!$A$4:$A$167,$B$4)</x:f>
        <x:v>4934292092</x:v>
      </x:c>
      <x:c r="J15" s="43" t="n">
        <x:f>IFERROR(H15/SUM($H$9:$H$55),0)</x:f>
        <x:v>0.04079140908295436</x:v>
      </x:c>
      <x:c r="K15" s="32" t="n">
        <x:f>RANK(H15,$H$9:$H$55,0)</x:f>
        <x:v>7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95674974078</x:v>
      </x:c>
      <x:c r="D16" s="43" t="n">
        <x:f>IFERROR(B16/SUM($B$9:$B$26),0)</x:f>
        <x:v>0.04191178637999603</x:v>
      </x:c>
      <x:c r="E16" s="32" t="n">
        <x:f>RANK(B16,$B$9:$B$26,0)</x:f>
        <x:v>8</x:v>
      </x:c>
      <x:c r="G16" s="30" t="str">
        <x:v>LGIM</x:v>
      </x:c>
      <x:c r="H16" s="40" t="n">
        <x:f>SUMIFS('國外委外明細'!$G$4:$G$167,'國外委外明細'!$F$4:$F$167,G16,'國外委外明細'!$A$4:$A$167,$B$4)</x:f>
        <x:v>4008355339</x:v>
      </x:c>
      <x:c r="I16" s="40" t="n">
        <x:f>SUMIFS('國外委外明細'!$H$4:$H$167,'國外委外明細'!$F$4:$F$167,G16,'國外委外明細'!$A$4:$A$167,$B$4)</x:f>
        <x:v>5068312010</x:v>
      </x:c>
      <x:c r="J16" s="43" t="n">
        <x:f>IFERROR(H16/SUM($H$9:$H$55),0)</x:f>
        <x:v>0.04075701040924666</x:v>
      </x:c>
      <x:c r="K16" s="32" t="n">
        <x:f>RANK(H16,$H$9:$H$55,0)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39300361947</x:v>
      </x:c>
      <x:c r="C17" s="40" t="n">
        <x:f>SUMIFS('國內委外明細'!$H$4:$H$116,'國內委外明細'!$F$4:$F$116,A17,'國內委外明細'!$A$4:$A$116,$B$4)</x:f>
        <x:v>95092170081</x:v>
      </x:c>
      <x:c r="D17" s="43" t="n">
        <x:f>IFERROR(B17/SUM($B$9:$B$26),0)</x:f>
        <x:v>0.03799522654535585</x:v>
      </x:c>
      <x:c r="E17" s="32" t="n">
        <x:f>RANK(B17,$B$9:$B$26,0)</x:f>
        <x:v>9</x:v>
      </x:c>
      <x:c r="G17" s="30" t="str">
        <x:v>景順</x:v>
      </x:c>
      <x:c r="H17" s="40" t="n">
        <x:f>SUMIFS('國外委外明細'!$G$4:$G$167,'國外委外明細'!$F$4:$F$167,G17,'國外委外明細'!$A$4:$A$167,$B$4)</x:f>
        <x:v>3539309945</x:v>
      </x:c>
      <x:c r="I17" s="40" t="n">
        <x:f>SUMIFS('國外委外明細'!$H$4:$H$167,'國外委外明細'!$F$4:$F$167,G17,'國外委外明細'!$A$4:$A$167,$B$4)</x:f>
        <x:v>5125662125</x:v>
      </x:c>
      <x:c r="J17" s="43" t="n">
        <x:f>IFERROR(H17/SUM($H$9:$H$55),0)</x:f>
        <x:v>0.035987750603444</x:v>
      </x:c>
      <x:c r="K17" s="32" t="n">
        <x:f>RANK(H17,$H$9:$H$55,0)</x:f>
        <x:v>9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74116779771</x:v>
      </x:c>
      <x:c r="D18" s="43" t="n">
        <x:f>IFERROR(B18/SUM($B$9:$B$26),0)</x:f>
        <x:v>0.02668681616148067</x:v>
      </x:c>
      <x:c r="E18" s="32" t="n">
        <x:f>RANK(B18,$B$9:$B$26,0)</x:f>
        <x:v>10</x:v>
      </x:c>
      <x:c r="G18" s="30" t="str">
        <x:v>富達</x:v>
      </x:c>
      <x:c r="H18" s="40" t="n">
        <x:f>SUMIFS('國外委外明細'!$G$4:$G$167,'國外委外明細'!$F$4:$F$167,G18,'國外委外明細'!$A$4:$A$167,$B$4)</x:f>
        <x:v>3190338807</x:v>
      </x:c>
      <x:c r="I18" s="40" t="n">
        <x:f>SUMIFS('國外委外明細'!$H$4:$H$167,'國外委外明細'!$F$4:$F$167,G18,'國外委外明細'!$A$4:$A$167,$B$4)</x:f>
        <x:v>4101228709</x:v>
      </x:c>
      <x:c r="J18" s="43" t="n">
        <x:f>IFERROR(H18/SUM($H$9:$H$55),0)</x:f>
        <x:v>0.03243940742997151</x:v>
      </x:c>
      <x:c r="K18" s="32" t="n">
        <x:f>RANK(H18,$H$9:$H$55,0)</x:f>
        <x:v>10</x:v>
      </x:c>
    </x:row>
    <x:row r="19">
      <x:c r="A19" s="30" t="str">
        <x:v>第一金</x:v>
      </x:c>
      <x:c r="B19" s="40" t="n">
        <x:f>SUMIFS('國內委外明細'!$G$4:$G$116,'國內委外明細'!$F$4:$F$116,A19,'國內委外明細'!$A$4:$A$116,$B$4)</x:f>
        <x:v>18000000000</x:v>
      </x:c>
      <x:c r="C19" s="40" t="n">
        <x:f>SUMIFS('國內委外明細'!$H$4:$H$116,'國內委外明細'!$F$4:$F$116,A19,'國內委外明細'!$A$4:$A$116,$B$4)</x:f>
        <x:v>47958668439</x:v>
      </x:c>
      <x:c r="D19" s="43" t="n">
        <x:f>IFERROR(B19/SUM($B$9:$B$26),0)</x:f>
        <x:v>0.017402233565653256</x:v>
      </x:c>
      <x:c r="E19" s="32" t="n">
        <x:f>RANK(B19,$B$9:$B$26,0)</x:f>
        <x:v>11</x:v>
      </x:c>
      <x:c r="G19" s="30" t="str">
        <x:v>DWS</x:v>
      </x:c>
      <x:c r="H19" s="40" t="n">
        <x:f>SUMIFS('國外委外明細'!$G$4:$G$167,'國外委外明細'!$F$4:$F$167,G19,'國外委外明細'!$A$4:$A$167,$B$4)</x:f>
        <x:v>3028782612</x:v>
      </x:c>
      <x:c r="I19" s="40" t="n">
        <x:f>SUMIFS('國外委外明細'!$H$4:$H$167,'國外委外明細'!$F$4:$F$167,G19,'國外委外明細'!$A$4:$A$167,$B$4)</x:f>
        <x:v>4535580434</x:v>
      </x:c>
      <x:c r="J19" s="43" t="n">
        <x:f>IFERROR(H19/SUM($H$9:$H$55),0)</x:f>
        <x:v>0.030796701890063966</x:v>
      </x:c>
      <x:c r="K19" s="32" t="n">
        <x:f>RANK(H19,$H$9:$H$55,0)</x:f>
        <x:v>11</x:v>
      </x:c>
    </x:row>
    <x:row r="20">
      <x:c r="A20" s="30" t="str">
        <x:v>群益</x:v>
      </x:c>
      <x:c r="B20" s="40" t="n">
        <x:f>SUMIFS('國內委外明細'!$G$4:$G$116,'國內委外明細'!$F$4:$F$116,A20,'國內委外明細'!$A$4:$A$116,$B$4)</x:f>
        <x:v>16685437018</x:v>
      </x:c>
      <x:c r="C20" s="40" t="n">
        <x:f>SUMIFS('國內委外明細'!$H$4:$H$116,'國內委外明細'!$F$4:$F$116,A20,'國內委外明細'!$A$4:$A$116,$B$4)</x:f>
        <x:v>48601404749</x:v>
      </x:c>
      <x:c r="D20" s="43" t="n">
        <x:f>IFERROR(B20/SUM($B$9:$B$26),0)</x:f>
        <x:v>0.016131326229568498</x:v>
      </x:c>
      <x:c r="E20" s="32" t="n">
        <x:f>RANK(B20,$B$9:$B$26,0)</x:f>
        <x:v>12</x:v>
      </x:c>
      <x:c r="G20" s="30" t="str">
        <x:v>RREEF</x:v>
      </x:c>
      <x:c r="H20" s="40" t="n">
        <x:f>SUMIFS('國外委外明細'!$G$4:$G$167,'國外委外明細'!$F$4:$F$167,G20,'國外委外明細'!$A$4:$A$167,$B$4)</x:f>
        <x:v>3022950104</x:v>
      </x:c>
      <x:c r="I20" s="40" t="n">
        <x:f>SUMIFS('國外委外明細'!$H$4:$H$167,'國外委外明細'!$F$4:$F$167,G20,'國外委外明細'!$A$4:$A$167,$B$4)</x:f>
        <x:v>3450166800</x:v>
      </x:c>
      <x:c r="J20" s="43" t="n">
        <x:f>IFERROR(H20/SUM($H$9:$H$55),0)</x:f>
        <x:v>0.03073739687113136</x:v>
      </x:c>
      <x:c r="K20" s="32" t="n">
        <x:f>RANK(H20,$H$9:$H$55,0)</x:f>
        <x:v>12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16000000000</x:v>
      </x:c>
      <x:c r="C21" s="40" t="n">
        <x:f>SUMIFS('國內委外明細'!$H$4:$H$116,'國內委外明細'!$F$4:$F$116,A21,'國內委外明細'!$A$4:$A$116,$B$4)</x:f>
        <x:v>26256887328</x:v>
      </x:c>
      <x:c r="D21" s="43" t="n">
        <x:f>IFERROR(B21/SUM($B$9:$B$26),0)</x:f>
        <x:v>0.01546865205835845</x:v>
      </x:c>
      <x:c r="E21" s="32" t="n">
        <x:f>RANK(B21,$B$9:$B$26,0)</x:f>
        <x:v>13</x:v>
      </x:c>
      <x:c r="G21" s="30" t="str">
        <x:v>盧米斯</x:v>
      </x:c>
      <x:c r="H21" s="40" t="n">
        <x:f>SUMIFS('國外委外明細'!$G$4:$G$167,'國外委外明細'!$F$4:$F$167,G21,'國外委外明細'!$A$4:$A$167,$B$4)</x:f>
        <x:v>2899337139</x:v>
      </x:c>
      <x:c r="I21" s="40" t="n">
        <x:f>SUMIFS('國外委外明細'!$H$4:$H$167,'國外委外明細'!$F$4:$F$167,G21,'國外委外明細'!$A$4:$A$167,$B$4)</x:f>
        <x:v>3060552731</x:v>
      </x:c>
      <x:c r="J21" s="43" t="n">
        <x:f>IFERROR(H21/SUM($H$9:$H$55),0)</x:f>
        <x:v>0.0294804985986145</x:v>
      </x:c>
      <x:c r="K21" s="32" t="n">
        <x:f>RANK(H21,$H$9:$H$55,0)</x:f>
        <x:v>13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17470939989</x:v>
      </x:c>
      <x:c r="D22" s="43" t="n">
        <x:f>IFERROR(B22/SUM($B$9:$B$26),0)</x:f>
        <x:v>0.009667907536474032</x:v>
      </x:c>
      <x:c r="E22" s="32" t="n">
        <x:f>RANK(B22,$B$9:$B$26,0)</x:f>
        <x:v>14</x:v>
      </x:c>
      <x:c r="G22" s="30" t="str">
        <x:v>Cohen &amp;Steers</x:v>
      </x:c>
      <x:c r="H22" s="40" t="n">
        <x:f>SUMIFS('國外委外明細'!$G$4:$G$167,'國外委外明細'!$F$4:$F$167,G22,'國外委外明細'!$A$4:$A$167,$B$4)</x:f>
        <x:v>2555932432</x:v>
      </x:c>
      <x:c r="I22" s="40" t="n">
        <x:f>SUMIFS('國外委外明細'!$H$4:$H$167,'國外委外明細'!$F$4:$F$167,G22,'國外委外明細'!$A$4:$A$167,$B$4)</x:f>
        <x:v>2862400816</x:v>
      </x:c>
      <x:c r="J22" s="43" t="n">
        <x:f>IFERROR(H22/SUM($H$9:$H$55),0)</x:f>
        <x:v>0.02598875496959905</x:v>
      </x:c>
      <x:c r="K22" s="32" t="n">
        <x:f>RANK(H22,$H$9:$H$55,0)</x:f>
        <x:v>14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14863361502</x:v>
      </x:c>
      <x:c r="D23" s="43" t="n">
        <x:f>IFERROR(B23/SUM($B$9:$B$26),0)</x:f>
        <x:v>0.008701116782826628</x:v>
      </x:c>
      <x:c r="E23" s="32" t="n">
        <x:f>RANK(B23,$B$9:$B$26,0)</x:f>
        <x:v>15</x:v>
      </x:c>
      <x:c r="G23" s="30" t="str">
        <x:v>MFS</x:v>
      </x:c>
      <x:c r="H23" s="40" t="n">
        <x:f>SUMIFS('國外委外明細'!$G$4:$G$167,'國外委外明細'!$F$4:$F$167,G23,'國外委外明細'!$A$4:$A$167,$B$4)</x:f>
        <x:v>2425862154</x:v>
      </x:c>
      <x:c r="I23" s="40" t="n">
        <x:f>SUMIFS('國外委外明細'!$H$4:$H$167,'國外委外明細'!$F$4:$F$167,G23,'國外委外明細'!$A$4:$A$167,$B$4)</x:f>
        <x:v>3354327095</x:v>
      </x:c>
      <x:c r="J23" s="43" t="n">
        <x:f>IFERROR(H23/SUM($H$9:$H$55),0)</x:f>
        <x:v>0.024666198652597934</x:v>
      </x:c>
      <x:c r="K23" s="32" t="n">
        <x:f>RANK(H23,$H$9:$H$55,0)</x:f>
        <x:v>15</x:v>
      </x:c>
    </x:row>
    <x:row r="24">
      <x:c r="A24" s="30" t="str">
        <x:v>兆豐國際</x:v>
      </x:c>
      <x:c r="B24" s="40" t="n">
        <x:f>SUMIFS('國內委外明細'!$G$4:$G$116,'國內委外明細'!$F$4:$F$116,A24,'國內委外明細'!$A$4:$A$116,$B$4)</x:f>
        <x:v>5500000000</x:v>
      </x:c>
      <x:c r="C24" s="40" t="n">
        <x:f>SUMIFS('國內委外明細'!$H$4:$H$116,'國內委外明細'!$F$4:$F$116,A24,'國內委外明細'!$A$4:$A$116,$B$4)</x:f>
        <x:v>9736490954</x:v>
      </x:c>
      <x:c r="D24" s="43" t="n">
        <x:f>IFERROR(B24/SUM($B$9:$B$26),0)</x:f>
        <x:v>0.005317349145060718</x:v>
      </x:c>
      <x:c r="E24" s="32" t="n">
        <x:f>RANK(B24,$B$9:$B$26,0)</x:f>
        <x:v>16</x:v>
      </x:c>
      <x:c r="G24" s="30" t="str">
        <x:v>瑞萬通博</x:v>
      </x:c>
      <x:c r="H24" s="40" t="n">
        <x:f>SUMIFS('國外委外明細'!$G$4:$G$167,'國外委外明細'!$F$4:$F$167,G24,'國外委外明細'!$A$4:$A$167,$B$4)</x:f>
        <x:v>2210056902</x:v>
      </x:c>
      <x:c r="I24" s="40" t="n">
        <x:f>SUMIFS('國外委外明細'!$H$4:$H$167,'國外委外明細'!$F$4:$F$167,G24,'國外委外明細'!$A$4:$A$167,$B$4)</x:f>
        <x:v>2590275421</x:v>
      </x:c>
      <x:c r="J24" s="43" t="n">
        <x:f>IFERROR(H24/SUM($H$9:$H$55),0)</x:f>
        <x:v>0.022471887979450773</x:v>
      </x:c>
      <x:c r="K24" s="32" t="n">
        <x:f>RANK(H24,$H$9:$H$55,0)</x:f>
        <x:v>16</x:v>
      </x:c>
    </x:row>
    <x:row r="25">
      <x:c r="A25" s="30" t="str">
        <x:v>宏利</x:v>
      </x:c>
      <x:c r="B25" s="40" t="n">
        <x:f>SUMIFS('國內委外明細'!$G$4:$G$116,'國內委外明細'!$F$4:$F$116,A25,'國內委外明細'!$A$4:$A$116,$B$4)</x:f>
        <x:v>5500000000</x:v>
      </x:c>
      <x:c r="C25" s="40" t="n">
        <x:f>SUMIFS('國內委外明細'!$H$4:$H$116,'國內委外明細'!$F$4:$F$116,A25,'國內委外明細'!$A$4:$A$116,$B$4)</x:f>
        <x:v>10202284557</x:v>
      </x:c>
      <x:c r="D25" s="43" t="n">
        <x:f>IFERROR(B25/SUM($B$9:$B$26),0)</x:f>
        <x:v>0.005317349145060718</x:v>
      </x:c>
      <x:c r="E25" s="32" t="n">
        <x:f>RANK(B25,$B$9:$B$26,0)</x:f>
        <x:v>16</x:v>
      </x:c>
      <x:c r="G25" s="30" t="str">
        <x:v>Magellan</x:v>
      </x:c>
      <x:c r="H25" s="40" t="n">
        <x:f>SUMIFS('國外委外明細'!$G$4:$G$167,'國外委外明細'!$F$4:$F$167,G25,'國外委外明細'!$A$4:$A$167,$B$4)</x:f>
        <x:v>2077876409</x:v>
      </x:c>
      <x:c r="I25" s="40" t="n">
        <x:f>SUMIFS('國外委外明細'!$H$4:$H$167,'國外委外明細'!$F$4:$F$167,G25,'國外委外明細'!$A$4:$A$167,$B$4)</x:f>
        <x:v>2458983372</x:v>
      </x:c>
      <x:c r="J25" s="43" t="n">
        <x:f>IFERROR(H25/SUM($H$9:$H$55),0)</x:f>
        <x:v>0.021127874968257916</x:v>
      </x:c>
      <x:c r="K25" s="32" t="n">
        <x:f>RANK(H25,$H$9:$H$55,0)</x:f>
        <x:v>17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1900000000</x:v>
      </x:c>
      <x:c r="C26" s="41" t="n">
        <x:f>SUMIFS('國內委外明細'!$H$4:$H$116,'國內委外明細'!$F$4:$F$116,A26,'國內委外明細'!$A$4:$A$116,$B$4)</x:f>
        <x:v>1956312049</x:v>
      </x:c>
      <x:c r="D26" s="44" t="n">
        <x:f>IFERROR(B26/SUM($B$9:$B$26),0)</x:f>
        <x:v>0.001836902431930066</x:v>
      </x:c>
      <x:c r="E26" s="35" t="n">
        <x:f>RANK(B26,$B$9:$B$26,0)</x:f>
        <x:v>18</x:v>
      </x:c>
      <x:c r="G26" s="30" t="str">
        <x:v>TCW</x:v>
      </x:c>
      <x:c r="H26" s="40" t="n">
        <x:f>SUMIFS('國外委外明細'!$G$4:$G$167,'國外委外明細'!$F$4:$F$167,G26,'國外委外明細'!$A$4:$A$167,$B$4)</x:f>
        <x:v>1923959035</x:v>
      </x:c>
      <x:c r="I26" s="40" t="n">
        <x:f>SUMIFS('國外委外明細'!$H$4:$H$167,'國外委外明細'!$F$4:$F$167,G26,'國外委外明細'!$A$4:$A$167,$B$4)</x:f>
        <x:v>2389423604</x:v>
      </x:c>
      <x:c r="J26" s="43" t="n">
        <x:f>IFERROR(H26/SUM($H$9:$H$55),0)</x:f>
        <x:v>0.019562841061895975</x:v>
      </x:c>
      <x:c r="K26" s="32" t="n">
        <x:f>RANK(H26,$H$9:$H$55,0)</x:f>
        <x:v>18</x:v>
      </x:c>
    </x:row>
    <x:row r="27">
      <x:c r="G27" s="30" t="str">
        <x:v>富蘭克林坦伯頓</x:v>
      </x:c>
      <x:c r="H27" s="40" t="n">
        <x:f>SUMIFS('國外委外明細'!$G$4:$G$167,'國外委外明細'!$F$4:$F$167,G27,'國外委外明細'!$A$4:$A$167,$B$4)</x:f>
        <x:v>1612981102</x:v>
      </x:c>
      <x:c r="I27" s="40" t="n">
        <x:f>SUMIFS('國外委外明細'!$H$4:$H$167,'國外委外明細'!$F$4:$F$167,G27,'國外委外明細'!$A$4:$A$167,$B$4)</x:f>
        <x:v>1717641141</x:v>
      </x:c>
      <x:c r="J27" s="43" t="n">
        <x:f>IFERROR(H27/SUM($H$9:$H$55),0)</x:f>
        <x:v>0.016400813302278976</x:v>
      </x:c>
      <x:c r="K27" s="32" t="n">
        <x:f>RANK(H27,$H$9:$H$55,0)</x:f>
        <x:v>19</x:v>
      </x:c>
    </x:row>
    <x:row r="28">
      <x:c r="G28" s="30" t="str">
        <x:v>CBRE</x:v>
      </x:c>
      <x:c r="H28" s="40" t="n">
        <x:f>SUMIFS('國外委外明細'!$G$4:$G$167,'國外委外明細'!$F$4:$F$167,G28,'國外委外明細'!$A$4:$A$167,$B$4)</x:f>
        <x:v>1495926365</x:v>
      </x:c>
      <x:c r="I28" s="40" t="n">
        <x:f>SUMIFS('國外委外明細'!$H$4:$H$167,'國外委外明細'!$F$4:$F$167,G28,'國外委外明細'!$A$4:$A$167,$B$4)</x:f>
        <x:v>1779522243</x:v>
      </x:c>
      <x:c r="J28" s="43" t="n">
        <x:f>IFERROR(H28/SUM($H$9:$H$55),0)</x:f>
        <x:v>0.01521059917930882</x:v>
      </x:c>
      <x:c r="K28" s="32" t="n">
        <x:f>RANK(H28,$H$9:$H$55,0)</x:f>
        <x:v>20</x:v>
      </x:c>
    </x:row>
    <x:row r="29">
      <x:c r="G29" s="30" t="str">
        <x:v>L&amp;G</x:v>
      </x:c>
      <x:c r="H29" s="40" t="n">
        <x:f>SUMIFS('國外委外明細'!$G$4:$G$167,'國外委外明細'!$F$4:$F$167,G29,'國外委外明細'!$A$4:$A$167,$B$4)</x:f>
        <x:v>1488771785</x:v>
      </x:c>
      <x:c r="I29" s="40" t="n">
        <x:f>SUMIFS('國外委外明細'!$H$4:$H$167,'國外委外明細'!$F$4:$F$167,G29,'國外委外明細'!$A$4:$A$167,$B$4)</x:f>
        <x:v>1848437792</x:v>
      </x:c>
      <x:c r="J29" s="43" t="n">
        <x:f>IFERROR(H29/SUM($H$9:$H$55),0)</x:f>
        <x:v>0.01513785131469297</x:v>
      </x:c>
      <x:c r="K29" s="32" t="n">
        <x:f>RANK(H29,$H$9:$H$55,0)</x:f>
        <x:v>21</x:v>
      </x:c>
    </x:row>
    <x:row r="30">
      <x:c r="G30" s="30" t="str">
        <x:v>Insight</x:v>
      </x:c>
      <x:c r="H30" s="40" t="n">
        <x:f>SUMIFS('國外委外明細'!$G$4:$G$167,'國外委外明細'!$F$4:$F$167,G30,'國外委外明細'!$A$4:$A$167,$B$4)</x:f>
        <x:v>1229834121</x:v>
      </x:c>
      <x:c r="I30" s="40" t="n">
        <x:f>SUMIFS('國外委外明細'!$H$4:$H$167,'國外委外明細'!$F$4:$F$167,G30,'國外委外明細'!$A$4:$A$167,$B$4)</x:f>
        <x:v>1238020229</x:v>
      </x:c>
      <x:c r="J30" s="43" t="n">
        <x:f>IFERROR(H30/SUM($H$9:$H$55),0)</x:f>
        <x:v>0.01250496970254855</x:v>
      </x:c>
      <x:c r="K30" s="32" t="n">
        <x:f>RANK(H30,$H$9:$H$55,0)</x:f>
        <x:v>22</x:v>
      </x:c>
    </x:row>
    <x:row r="31">
      <x:c r="G31" s="30" t="str">
        <x:v>CPR</x:v>
      </x:c>
      <x:c r="H31" s="40" t="n">
        <x:f>SUMIFS('國外委外明細'!$G$4:$G$167,'國外委外明細'!$F$4:$F$167,G31,'國外委外明細'!$A$4:$A$167,$B$4)</x:f>
        <x:v>1215115365</x:v>
      </x:c>
      <x:c r="I31" s="40" t="n">
        <x:f>SUMIFS('國外委外明細'!$H$4:$H$167,'國外委外明細'!$F$4:$F$167,G31,'國外委外明細'!$A$4:$A$167,$B$4)</x:f>
        <x:v>1706008827</x:v>
      </x:c>
      <x:c r="J31" s="43" t="n">
        <x:f>IFERROR(H31/SUM($H$9:$H$55),0)</x:f>
        <x:v>0.012355309195740084</x:v>
      </x:c>
      <x:c r="K31" s="32" t="n">
        <x:f>RANK(H31,$H$9:$H$55,0)</x:f>
        <x:v>23</x:v>
      </x:c>
    </x:row>
    <x:row r="32">
      <x:c r="G32" s="30" t="str">
        <x:v>RBC</x:v>
      </x:c>
      <x:c r="H32" s="40" t="n">
        <x:f>SUMIFS('國外委外明細'!$G$4:$G$167,'國外委外明細'!$F$4:$F$167,G32,'國外委外明細'!$A$4:$A$167,$B$4)</x:f>
        <x:v>1186559371</x:v>
      </x:c>
      <x:c r="I32" s="40" t="n">
        <x:f>SUMIFS('國外委外明細'!$H$4:$H$167,'國外委外明細'!$F$4:$F$167,G32,'國外委外明細'!$A$4:$A$167,$B$4)</x:f>
        <x:v>1368088535</x:v>
      </x:c>
      <x:c r="J32" s="43" t="n">
        <x:f>IFERROR(H32/SUM($H$9:$H$55),0)</x:f>
        <x:v>0.012064951468873797</x:v>
      </x:c>
      <x:c r="K32" s="32" t="n">
        <x:f>RANK(H32,$H$9:$H$55,0)</x:f>
        <x:v>24</x:v>
      </x:c>
    </x:row>
    <x:row r="33">
      <x:c r="G33" s="30" t="str">
        <x:v>Nomura</x:v>
      </x:c>
      <x:c r="H33" s="40" t="n">
        <x:f>SUMIFS('國外委外明細'!$G$4:$G$167,'國外委外明細'!$F$4:$F$167,G33,'國外委外明細'!$A$4:$A$167,$B$4)</x:f>
        <x:v>1095402944</x:v>
      </x:c>
      <x:c r="I33" s="40" t="n">
        <x:f>SUMIFS('國外委外明細'!$H$4:$H$167,'國外委外明細'!$F$4:$F$167,G33,'國外委外明細'!$A$4:$A$167,$B$4)</x:f>
        <x:v>1626650087</x:v>
      </x:c>
      <x:c r="J33" s="43" t="n">
        <x:f>IFERROR(H33/SUM($H$9:$H$55),0)</x:f>
        <x:v>0.011138071706503324</x:v>
      </x:c>
      <x:c r="K33" s="32" t="n">
        <x:f>RANK(H33,$H$9:$H$55,0)</x:f>
        <x:v>25</x:v>
      </x:c>
    </x:row>
    <x:row r="34">
      <x:c r="G34" s="30" t="str">
        <x:v>Allianz</x:v>
      </x:c>
      <x:c r="H34" s="40" t="n">
        <x:f>SUMIFS('國外委外明細'!$G$4:$G$167,'國外委外明細'!$F$4:$F$167,G34,'國外委外明細'!$A$4:$A$167,$B$4)</x:f>
        <x:v>1084146253</x:v>
      </x:c>
      <x:c r="I34" s="40" t="n">
        <x:f>SUMIFS('國外委外明細'!$H$4:$H$167,'國外委外明細'!$F$4:$F$167,G34,'國外委外明細'!$A$4:$A$167,$B$4)</x:f>
        <x:v>1499703183</x:v>
      </x:c>
      <x:c r="J34" s="43" t="n">
        <x:f>IFERROR(H34/SUM($H$9:$H$55),0)</x:f>
        <x:v>0.011023613522669968</x:v>
      </x:c>
      <x:c r="K34" s="32" t="n">
        <x:f>RANK(H34,$H$9:$H$55,0)</x:f>
        <x:v>26</x:v>
      </x:c>
    </x:row>
    <x:row r="35">
      <x:c r="G35" s="30" t="str">
        <x:v>Ninety One</x:v>
      </x:c>
      <x:c r="H35" s="40" t="n">
        <x:f>SUMIFS('國外委外明細'!$G$4:$G$167,'國外委外明細'!$F$4:$F$167,G35,'國外委外明細'!$A$4:$A$167,$B$4)</x:f>
        <x:v>960000000</x:v>
      </x:c>
      <x:c r="I35" s="40" t="n">
        <x:f>SUMIFS('國外委外明細'!$H$4:$H$167,'國外委外明細'!$F$4:$F$167,G35,'國外委外明細'!$A$4:$A$167,$B$4)</x:f>
        <x:v>1151997472</x:v>
      </x:c>
      <x:c r="J35" s="43" t="n">
        <x:f>IFERROR(H35/SUM($H$9:$H$55),0)</x:f>
        <x:v>0.00976129277067489</x:v>
      </x:c>
      <x:c r="K35" s="32" t="n">
        <x:f>RANK(H35,$H$9:$H$55,0)</x:f>
        <x:v>27</x:v>
      </x:c>
    </x:row>
    <x:row r="36">
      <x:c r="G36" s="30" t="str">
        <x:v>Schroders</x:v>
      </x:c>
      <x:c r="H36" s="40" t="n">
        <x:f>SUMIFS('國外委外明細'!$G$4:$G$167,'國外委外明細'!$F$4:$F$167,G36,'國外委外明細'!$A$4:$A$167,$B$4)</x:f>
        <x:v>960000000</x:v>
      </x:c>
      <x:c r="I36" s="40" t="n">
        <x:f>SUMIFS('國外委外明細'!$H$4:$H$167,'國外委外明細'!$F$4:$F$167,G36,'國外委外明細'!$A$4:$A$167,$B$4)</x:f>
        <x:v>1335508982</x:v>
      </x:c>
      <x:c r="J36" s="43" t="n">
        <x:f>IFERROR(H36/SUM($H$9:$H$55),0)</x:f>
        <x:v>0.00976129277067489</x:v>
      </x:c>
      <x:c r="K36" s="32" t="n">
        <x:f>RANK(H36,$H$9:$H$55,0)</x:f>
        <x:v>27</x:v>
      </x:c>
    </x:row>
    <x:row r="37">
      <x:c r="G37" s="30" t="str">
        <x:v>T. Rowe Price</x:v>
      </x:c>
      <x:c r="H37" s="40" t="n">
        <x:f>SUMIFS('國外委外明細'!$G$4:$G$167,'國外委外明細'!$F$4:$F$167,G37,'國外委外明細'!$A$4:$A$167,$B$4)</x:f>
        <x:v>960000000</x:v>
      </x:c>
      <x:c r="I37" s="40" t="n">
        <x:f>SUMIFS('國外委外明細'!$H$4:$H$167,'國外委外明細'!$F$4:$F$167,G37,'國外委外明細'!$A$4:$A$167,$B$4)</x:f>
        <x:v>1146257701</x:v>
      </x:c>
      <x:c r="J37" s="43" t="n">
        <x:f>IFERROR(H37/SUM($H$9:$H$55),0)</x:f>
        <x:v>0.00976129277067489</x:v>
      </x:c>
      <x:c r="K37" s="32" t="n">
        <x:f>RANK(H37,$H$9:$H$55,0)</x:f>
        <x:v>27</x:v>
      </x:c>
    </x:row>
    <x:row r="38">
      <x:c r="G38" s="30" t="str">
        <x:v>American Century</x:v>
      </x:c>
      <x:c r="H38" s="40" t="n">
        <x:f>SUMIFS('國外委外明細'!$G$4:$G$167,'國外委外明細'!$F$4:$F$167,G38,'國外委外明細'!$A$4:$A$167,$B$4)</x:f>
        <x:v>959838014</x:v>
      </x:c>
      <x:c r="I38" s="40" t="n">
        <x:f>SUMIFS('國外委外明細'!$H$4:$H$167,'國外委外明細'!$F$4:$F$167,G38,'國外委外明細'!$A$4:$A$167,$B$4)</x:f>
        <x:v>1174264011</x:v>
      </x:c>
      <x:c r="J38" s="43" t="n">
        <x:f>IFERROR(H38/SUM($H$9:$H$55),0)</x:f>
        <x:v>0.009759645694872024</x:v>
      </x:c>
      <x:c r="K38" s="32" t="n">
        <x:f>RANK(H38,$H$9:$H$55,0)</x:f>
        <x:v>30</x:v>
      </x:c>
    </x:row>
    <x:row r="39">
      <x:c r="G39" s="30" t="str">
        <x:v>Lazard</x:v>
      </x:c>
      <x:c r="H39" s="40" t="n">
        <x:f>SUMIFS('國外委外明細'!$G$4:$G$167,'國外委外明細'!$F$4:$F$167,G39,'國外委外明細'!$A$4:$A$167,$B$4)</x:f>
        <x:v>954418976</x:v>
      </x:c>
      <x:c r="I39" s="40" t="n">
        <x:f>SUMIFS('國外委外明細'!$H$4:$H$167,'國外委外明細'!$F$4:$F$167,G39,'國外委外明細'!$A$4:$A$167,$B$4)</x:f>
        <x:v>1392892642</x:v>
      </x:c>
      <x:c r="J39" s="43" t="n">
        <x:f>IFERROR(H39/SUM($H$9:$H$55),0)</x:f>
        <x:v>0.00970454484439972</x:v>
      </x:c>
      <x:c r="K39" s="32" t="n">
        <x:f>RANK(H39,$H$9:$H$55,0)</x:f>
        <x:v>31</x:v>
      </x:c>
    </x:row>
    <x:row r="40">
      <x:c r="G40" s="30" t="str">
        <x:v>聯博</x:v>
      </x:c>
      <x:c r="H40" s="40" t="n">
        <x:f>SUMIFS('國外委外明細'!$G$4:$G$167,'國外委外明細'!$F$4:$F$167,G40,'國外委外明細'!$A$4:$A$167,$B$4)</x:f>
        <x:v>900495639</x:v>
      </x:c>
      <x:c r="I40" s="40" t="n">
        <x:f>SUMIFS('國外委外明細'!$H$4:$H$167,'國外委外明細'!$F$4:$F$167,G40,'國外委外明細'!$A$4:$A$167,$B$4)</x:f>
        <x:v>904273863</x:v>
      </x:c>
      <x:c r="J40" s="43" t="n">
        <x:f>IFERROR(H40/SUM($H$9:$H$55),0)</x:f>
        <x:v>0.009156251636453089</x:v>
      </x:c>
      <x:c r="K40" s="32" t="n">
        <x:f>RANK(H40,$H$9:$H$55,0)</x:f>
        <x:v>32</x:v>
      </x:c>
    </x:row>
    <x:row r="41">
      <x:c r="G41" s="30" t="str">
        <x:v>信安</x:v>
      </x:c>
      <x:c r="H41" s="40" t="n">
        <x:f>SUMIFS('國外委外明細'!$G$4:$G$167,'國外委外明細'!$F$4:$F$167,G41,'國外委外明細'!$A$4:$A$167,$B$4)</x:f>
        <x:v>708888643</x:v>
      </x:c>
      <x:c r="I41" s="40" t="n">
        <x:f>SUMIFS('國外委外明細'!$H$4:$H$167,'國外委外明細'!$F$4:$F$167,G41,'國外委外明細'!$A$4:$A$167,$B$4)</x:f>
        <x:v>783215005</x:v>
      </x:c>
      <x:c r="J41" s="43" t="n">
        <x:f>IFERROR(H41/SUM($H$9:$H$55),0)</x:f>
        <x:v>0.007207989152218159</x:v>
      </x:c>
      <x:c r="K41" s="32" t="n">
        <x:f>RANK(H41,$H$9:$H$55,0)</x:f>
        <x:v>33</x:v>
      </x:c>
    </x:row>
    <x:row r="42">
      <x:c r="G42" s="30" t="str">
        <x:v>Clearbridge</x:v>
      </x:c>
      <x:c r="H42" s="40" t="n">
        <x:f>SUMIFS('國外委外明細'!$G$4:$G$167,'國外委外明細'!$F$4:$F$167,G42,'國外委外明細'!$A$4:$A$167,$B$4)</x:f>
        <x:v>700000000</x:v>
      </x:c>
      <x:c r="I42" s="40" t="n">
        <x:f>SUMIFS('國外委外明細'!$H$4:$H$167,'國外委外明細'!$F$4:$F$167,G42,'國外委外明細'!$A$4:$A$167,$B$4)</x:f>
        <x:v>959489456</x:v>
      </x:c>
      <x:c r="J42" s="43" t="n">
        <x:f>IFERROR(H42/SUM($H$9:$H$55),0)</x:f>
        <x:v>0.007117609311950441</x:v>
      </x:c>
      <x:c r="K42" s="32" t="n">
        <x:f>RANK(H42,$H$9:$H$55,0)</x:f>
        <x:v>34</x:v>
      </x:c>
    </x:row>
    <x:row r="43">
      <x:c r="G43" s="30" t="str">
        <x:v>Pictet</x:v>
      </x:c>
      <x:c r="H43" s="40" t="n">
        <x:f>SUMIFS('國外委外明細'!$G$4:$G$167,'國外委外明細'!$F$4:$F$167,G43,'國外委外明細'!$A$4:$A$167,$B$4)</x:f>
        <x:v>618843493</x:v>
      </x:c>
      <x:c r="I43" s="40" t="n">
        <x:f>SUMIFS('國外委外明細'!$H$4:$H$167,'國外委外明細'!$F$4:$F$167,G43,'國外委外明細'!$A$4:$A$167,$B$4)</x:f>
        <x:v>777512698</x:v>
      </x:c>
      <x:c r="J43" s="43" t="n">
        <x:f>IFERROR(H43/SUM($H$9:$H$55),0)</x:f>
        <x:v>0.006292408869166767</x:v>
      </x:c>
      <x:c r="K43" s="32" t="n">
        <x:f>RANK(H43,$H$9:$H$55,0)</x:f>
        <x:v>35</x:v>
      </x:c>
    </x:row>
    <x:row r="44">
      <x:c r="G44" s="30" t="str">
        <x:v>PGIM</x:v>
      </x:c>
      <x:c r="H44" s="40" t="n">
        <x:f>SUMIFS('國外委外明細'!$G$4:$G$167,'國外委外明細'!$F$4:$F$167,G44,'國外委外明細'!$A$4:$A$167,$B$4)</x:f>
        <x:v>600000000</x:v>
      </x:c>
      <x:c r="I44" s="40" t="n">
        <x:f>SUMIFS('國外委外明細'!$H$4:$H$167,'國外委外明細'!$F$4:$F$167,G44,'國外委外明細'!$A$4:$A$167,$B$4)</x:f>
        <x:v>685961345</x:v>
      </x:c>
      <x:c r="J44" s="43" t="n">
        <x:f>IFERROR(H44/SUM($H$9:$H$55),0)</x:f>
        <x:v>0.006100807981671806</x:v>
      </x:c>
      <x:c r="K44" s="32" t="n">
        <x:f>RANK(H44,$H$9:$H$55,0)</x:f>
        <x:v>36</x:v>
      </x:c>
    </x:row>
    <x:row r="45">
      <x:c r="G45" s="30" t="str">
        <x:v>荷寶</x:v>
      </x:c>
      <x:c r="H45" s="40" t="n">
        <x:f>SUMIFS('國外委外明細'!$G$4:$G$167,'國外委外明細'!$F$4:$F$167,G45,'國外委外明細'!$A$4:$A$167,$B$4)</x:f>
        <x:v>506416368</x:v>
      </x:c>
      <x:c r="I45" s="40" t="n">
        <x:f>SUMIFS('國外委外明細'!$H$4:$H$167,'國外委外明細'!$F$4:$F$167,G45,'國外委外明細'!$A$4:$A$167,$B$4)</x:f>
        <x:v>666220874</x:v>
      </x:c>
      <x:c r="J45" s="43" t="n">
        <x:f>IFERROR(H45/SUM($H$9:$H$55),0)</x:f>
        <x:v>0.005149248366572744</x:v>
      </x:c>
      <x:c r="K45" s="32" t="n">
        <x:f>RANK(H45,$H$9:$H$55,0)</x:f>
        <x:v>37</x:v>
      </x:c>
    </x:row>
    <x:row r="46">
      <x:c r="G46" s="30" t="str">
        <x:v>Amundi</x:v>
      </x:c>
      <x:c r="H46" s="40" t="n">
        <x:f>SUMIFS('國外委外明細'!$G$4:$G$167,'國外委外明細'!$F$4:$F$167,G46,'國外委外明細'!$A$4:$A$167,$B$4)</x:f>
        <x:v>500000000</x:v>
      </x:c>
      <x:c r="I46" s="40" t="n">
        <x:f>SUMIFS('國外委外明細'!$H$4:$H$167,'國外委外明細'!$F$4:$F$167,G46,'國外委外明細'!$A$4:$A$167,$B$4)</x:f>
        <x:v>667262744</x:v>
      </x:c>
      <x:c r="J46" s="43" t="n">
        <x:f>IFERROR(H46/SUM($H$9:$H$55),0)</x:f>
        <x:v>0.0050840066513931715</x:v>
      </x:c>
      <x:c r="K46" s="32" t="n">
        <x:f>RANK(H46,$H$9:$H$55,0)</x:f>
        <x:v>38</x:v>
      </x:c>
    </x:row>
    <x:row r="47">
      <x:c r="G47" s="30" t="str">
        <x:v>柏瑞</x:v>
      </x:c>
      <x:c r="H47" s="40" t="n">
        <x:f>SUMIFS('國外委外明細'!$G$4:$G$167,'國外委外明細'!$F$4:$F$167,G47,'國外委外明細'!$A$4:$A$167,$B$4)</x:f>
        <x:v>490149951</x:v>
      </x:c>
      <x:c r="I47" s="40" t="n">
        <x:f>SUMIFS('國外委外明細'!$H$4:$H$167,'國外委外明細'!$F$4:$F$167,G47,'國外委外明細'!$A$4:$A$167,$B$4)</x:f>
        <x:v>638876166</x:v>
      </x:c>
      <x:c r="J47" s="43" t="n">
        <x:f>IFERROR(H47/SUM($H$9:$H$55),0)</x:f>
        <x:v>0.004983851222128075</x:v>
      </x:c>
      <x:c r="K47" s="32" t="n">
        <x:f>RANK(H47,$H$9:$H$55,0)</x:f>
        <x:v>39</x:v>
      </x:c>
    </x:row>
    <x:row r="48">
      <x:c r="G48" s="30" t="str">
        <x:v>滙豐</x:v>
      </x:c>
      <x:c r="H48" s="40" t="n">
        <x:f>SUMIFS('國外委外明細'!$G$4:$G$167,'國外委外明細'!$F$4:$F$167,G48,'國外委外明細'!$A$4:$A$167,$B$4)</x:f>
        <x:v>460000000</x:v>
      </x:c>
      <x:c r="I48" s="40" t="n">
        <x:f>SUMIFS('國外委外明細'!$H$4:$H$167,'國外委外明細'!$F$4:$F$167,G48,'國外委外明細'!$A$4:$A$167,$B$4)</x:f>
        <x:v>716253234</x:v>
      </x:c>
      <x:c r="J48" s="43" t="n">
        <x:f>IFERROR(H48/SUM($H$9:$H$55),0)</x:f>
        <x:v>0.004677286119281718</x:v>
      </x:c>
      <x:c r="K48" s="32" t="n">
        <x:f>RANK(H48,$H$9:$H$55,0)</x:f>
        <x:v>40</x:v>
      </x:c>
    </x:row>
    <x:row r="49">
      <x:c r="G49" s="30" t="str">
        <x:v>摩根士丹利</x:v>
      </x:c>
      <x:c r="H49" s="40" t="n">
        <x:f>SUMIFS('國外委外明細'!$G$4:$G$167,'國外委外明細'!$F$4:$F$167,G49,'國外委外明細'!$A$4:$A$167,$B$4)</x:f>
        <x:v>460000000</x:v>
      </x:c>
      <x:c r="I49" s="40" t="n">
        <x:f>SUMIFS('國外委外明細'!$H$4:$H$167,'國外委外明細'!$F$4:$F$167,G49,'國外委外明細'!$A$4:$A$167,$B$4)</x:f>
        <x:v>694282305</x:v>
      </x:c>
      <x:c r="J49" s="43" t="n">
        <x:f>IFERROR(H49/SUM($H$9:$H$55),0)</x:f>
        <x:v>0.004677286119281718</x:v>
      </x:c>
      <x:c r="K49" s="32" t="n">
        <x:f>RANK(H49,$H$9:$H$55,0)</x:f>
        <x:v>40</x:v>
      </x:c>
    </x:row>
    <x:row r="50">
      <x:c r="G50" s="30" t="str">
        <x:v>信安環球</x:v>
      </x:c>
      <x:c r="H50" s="40" t="n">
        <x:f>SUMIFS('國外委外明細'!$G$4:$G$167,'國外委外明細'!$F$4:$F$167,G50,'國外委外明細'!$A$4:$A$167,$B$4)</x:f>
        <x:v>425091462</x:v>
      </x:c>
      <x:c r="I50" s="40" t="n">
        <x:f>SUMIFS('國外委外明細'!$H$4:$H$167,'國外委外明細'!$F$4:$F$167,G50,'國外委外明細'!$A$4:$A$167,$B$4)</x:f>
        <x:v>467549834</x:v>
      </x:c>
      <x:c r="J50" s="43" t="n">
        <x:f>IFERROR(H50/SUM($H$9:$H$55),0)</x:f>
        <x:v>0.004322335640516896</x:v>
      </x:c>
      <x:c r="K50" s="32" t="n">
        <x:f>RANK(H50,$H$9:$H$55,0)</x:f>
        <x:v>42</x:v>
      </x:c>
    </x:row>
    <x:row r="51">
      <x:c r="G51" s="30" t="str">
        <x:v>Center Square</x:v>
      </x:c>
      <x:c r="H51" s="40" t="n">
        <x:f>SUMIFS('國外委外明細'!$G$4:$G$167,'國外委外明細'!$F$4:$F$167,G51,'國外委外明細'!$A$4:$A$167,$B$4)</x:f>
        <x:v>400000000</x:v>
      </x:c>
      <x:c r="I51" s="40" t="n">
        <x:f>SUMIFS('國外委外明細'!$H$4:$H$167,'國外委外明細'!$F$4:$F$167,G51,'國外委外明細'!$A$4:$A$167,$B$4)</x:f>
        <x:v>446072975</x:v>
      </x:c>
      <x:c r="J51" s="43" t="n">
        <x:f>IFERROR(H51/SUM($H$9:$H$55),0)</x:f>
        <x:v>0.004067205321114538</x:v>
      </x:c>
      <x:c r="K51" s="32" t="n">
        <x:f>RANK(H51,$H$9:$H$55,0)</x:f>
        <x:v>43</x:v>
      </x:c>
    </x:row>
    <x:row r="52">
      <x:c r="G52" s="30" t="str">
        <x:v>HSBC</x:v>
      </x:c>
      <x:c r="H52" s="40" t="n">
        <x:f>SUMIFS('國外委外明細'!$G$4:$G$167,'國外委外明細'!$F$4:$F$167,G52,'國外委外明細'!$A$4:$A$167,$B$4)</x:f>
        <x:v>400000000</x:v>
      </x:c>
      <x:c r="I52" s="40" t="n">
        <x:f>SUMIFS('國外委外明細'!$H$4:$H$167,'國外委外明細'!$F$4:$F$167,G52,'國外委外明細'!$A$4:$A$167,$B$4)</x:f>
        <x:v>418936760</x:v>
      </x:c>
      <x:c r="J52" s="43" t="n">
        <x:f>IFERROR(H52/SUM($H$9:$H$55),0)</x:f>
        <x:v>0.004067205321114538</x:v>
      </x:c>
      <x:c r="K52" s="32" t="n">
        <x:f>RANK(H52,$H$9:$H$55,0)</x:f>
        <x:v>43</x:v>
      </x:c>
    </x:row>
    <x:row r="53">
      <x:c r="G53" s="30" t="str">
        <x:v>UBS</x:v>
      </x:c>
      <x:c r="H53" s="40" t="n">
        <x:f>SUMIFS('國外委外明細'!$G$4:$G$167,'國外委外明細'!$F$4:$F$167,G53,'國外委外明細'!$A$4:$A$167,$B$4)</x:f>
        <x:v>400000000</x:v>
      </x:c>
      <x:c r="I53" s="40" t="n">
        <x:f>SUMIFS('國外委外明細'!$H$4:$H$167,'國外委外明細'!$F$4:$F$167,G53,'國外委外明細'!$A$4:$A$167,$B$4)</x:f>
        <x:v>419200289</x:v>
      </x:c>
      <x:c r="J53" s="43" t="n">
        <x:f>IFERROR(H53/SUM($H$9:$H$55),0)</x:f>
        <x:v>0.004067205321114538</x:v>
      </x:c>
      <x:c r="K53" s="32" t="n">
        <x:f>RANK(H53,$H$9:$H$55,0)</x:f>
        <x:v>43</x:v>
      </x:c>
    </x:row>
    <x:row r="54">
      <x:c r="G54" s="30" t="str">
        <x:v>瑞銀</x:v>
      </x:c>
      <x:c r="H54" s="40" t="n">
        <x:f>SUMIFS('國外委外明細'!$G$4:$G$167,'國外委外明細'!$F$4:$F$167,G54,'國外委外明細'!$A$4:$A$167,$B$4)</x:f>
        <x:v>108879836</x:v>
      </x:c>
      <x:c r="I54" s="40" t="n">
        <x:f>SUMIFS('國外委外明細'!$H$4:$H$167,'國外委外明細'!$F$4:$F$167,G54,'國外委外明細'!$A$4:$A$167,$B$4)</x:f>
        <x:v>361201485</x:v>
      </x:c>
      <x:c r="J54" s="43" t="n">
        <x:f>IFERROR(H54/SUM($H$9:$H$55),0)</x:f>
        <x:v>0.0011070916208531954</x:v>
      </x:c>
      <x:c r="K54" s="32" t="n">
        <x:f>RANK(H54,$H$9:$H$55,0)</x:f>
        <x:v>46</x:v>
      </x:c>
    </x:row>
    <x:row r="55">
      <x:c r="G55" s="33" t="str">
        <x:v>ClearBridge</x:v>
      </x:c>
      <x:c r="H55" s="41" t="n">
        <x:f>SUMIFS('國外委外明細'!$G$4:$G$167,'國外委外明細'!$F$4:$F$167,G55,'國外委外明細'!$A$4:$A$167,$B$4)</x:f>
        <x:v>60000000</x:v>
      </x:c>
      <x:c r="I55" s="41" t="n">
        <x:f>SUMIFS('國外委外明細'!$H$4:$H$167,'國外委外明細'!$F$4:$F$167,G55,'國外委外明細'!$A$4:$A$167,$B$4)</x:f>
        <x:v>90350775</x:v>
      </x:c>
      <x:c r="J55" s="44" t="n">
        <x:f>IFERROR(H55/SUM($H$9:$H$55),0)</x:f>
        <x:v>0.0006100807981671806</x:v>
      </x:c>
      <x:c r="K55" s="35" t="n">
        <x:f>RANK(H55,$H$9:$H$55,0)</x:f>
        <x:v>47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d9ded2b0d3c5422c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3.5600004196167" hidden="0" customWidth="1"/>
    <x:col min="7" max="7" width="36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83" t="str">
        <x:v>1</x:v>
      </x:c>
      <x:c r="B4" s="84" t="str">
        <x:v>月度資產配置</x:v>
      </x:c>
      <x:c r="C4" s="84" t="str">
        <x:v>新制、舊制各資產配置列</x:v>
      </x:c>
      <x:c r="D4" s="84" t="str">
        <x:v>日期、基金、項目、金額、比率、來源</x:v>
      </x:c>
      <x:c r="E4" s="84" t="str">
        <x:v>PDF「資產配置」</x:v>
      </x:c>
      <x:c r="F4" s="84" t="str">
        <x:v>最新配置與合計圖</x:v>
      </x:c>
      <x:c r="G4" s="85" t="str">
        <x:v>保留父項與子項（如委託經營-固定收益）</x:v>
      </x:c>
    </x:row>
    <x:row r="5">
      <x:c r="A5" s="86" t="str">
        <x:v>2</x:v>
      </x:c>
      <x:c r="B5" s="87" t="str">
        <x:v>國內委外明細</x:v>
      </x:c>
      <x:c r="C5" s="87" t="str">
        <x:v>各批次／業者一列</x:v>
      </x:c>
      <x:c r="D5" s="87" t="str">
        <x:v>日期、基金、批次、業者、金額、淨資產、兩種報酬率</x:v>
      </x:c>
      <x:c r="E5" s="87" t="str">
        <x:v>PDF「國內委外投資概況」</x:v>
      </x:c>
      <x:c r="F5" s="87" t="str">
        <x:v>國內業者彙總</x:v>
      </x:c>
      <x:c r="G5" s="88" t="str">
        <x:v>新增批次直接新增列</x:v>
      </x:c>
    </x:row>
    <x:row r="6">
      <x:c r="A6" s="86" t="str">
        <x:v>3</x:v>
      </x:c>
      <x:c r="B6" s="87" t="str">
        <x:v>國外委外明細</x:v>
      </x:c>
      <x:c r="C6" s="87" t="str">
        <x:v>各批次／業者一列</x:v>
      </x:c>
      <x:c r="D6" s="87" t="str">
        <x:v>日期、基金、批次、業者、金額、淨資產、兩種報酬率、單位</x:v>
      </x:c>
      <x:c r="E6" s="87" t="str">
        <x:v>PDF「國外委外投資概況」</x:v>
      </x:c>
      <x:c r="F6" s="87" t="str">
        <x:v>國外業者彙總</x:v>
      </x:c>
      <x:c r="G6" s="88" t="str">
        <x:v>保留美元／其他原始幣別，不自行換匯</x:v>
      </x:c>
    </x:row>
    <x:row r="7">
      <x:c r="A7" s="86" t="str">
        <x:v>4</x:v>
      </x:c>
      <x:c r="B7" s="87" t="str">
        <x:v>業者彙總</x:v>
      </x:c>
      <x:c r="C7" s="87" t="str">
        <x:v>不需手動新增</x:v>
      </x:c>
      <x:c r="D7" s="87" t="str">
        <x:v>調整控制項日期／基金</x:v>
      </x:c>
      <x:c r="E7" s="87" t="str">
        <x:v>工作表上方 B4、B5</x:v>
      </x:c>
      <x:c r="F7" s="87" t="str">
        <x:v>市占與排名</x:v>
      </x:c>
      <x:c r="G7" s="88" t="str">
        <x:v>若新增業者，於各區塊底部增加業者名稱與複製公式</x:v>
      </x:c>
    </x:row>
    <x:row r="8">
      <x:c r="A8" s="89" t="str">
        <x:v>5</x:v>
      </x:c>
      <x:c r="B8" s="90" t="str">
        <x:v>資料品質檢核</x:v>
      </x:c>
      <x:c r="C8" s="90" t="str">
        <x:v>不需手動新增</x:v>
      </x:c>
      <x:c r="D8" s="90" t="str">
        <x:v>確認狀態為 OK</x:v>
      </x:c>
      <x:c r="E8" s="90" t="str">
        <x:v>檢核頁</x:v>
      </x:c>
      <x:c r="F8" s="90" t="str">
        <x:v>驗證來源與總額</x:v>
      </x:c>
      <x:c r="G8" s="91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SUMIFS('月度資產配置'!$E$4:$E$231,'月度資產配置'!$A$4:$A$231,'儀表板'!$A$6,'月度資產配置'!$C$4:$C$231,"新制",'月度資產配置'!$D$4:$D$231,"合計")</x:f>
        <x:v>5796350429763</x:v>
      </x:c>
      <x:c r="C4" s="39" t="n">
        <x:f>'儀表板'!$B$6</x:f>
        <x:v>5796350429763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SUMIFS('月度資產配置'!$E$4:$E$231,'月度資產配置'!$A$4:$A$231,'儀表板'!$A$6,'月度資產配置'!$C$4:$C$231,"舊制",'月度資產配置'!$D$4:$D$231,"合計")</x:f>
        <x:v>1162258442448</x:v>
      </x:c>
      <x:c r="C5" s="40" t="n">
        <x:f>'儀表板'!$C$6</x:f>
        <x:v>1162258442448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164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