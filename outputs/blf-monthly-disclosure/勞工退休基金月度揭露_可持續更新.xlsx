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991e03e6a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儀表板" sheetId="1" r:id="R0189154c3f3645fa"/>
    <x:sheet xmlns:r="http://schemas.openxmlformats.org/officeDocument/2006/relationships" name="儀表板(美元)" sheetId="2" r:id="R800ab0c7a5344239"/>
    <x:sheet xmlns:r="http://schemas.openxmlformats.org/officeDocument/2006/relationships" name="月度資產配置" sheetId="3" r:id="Rd2d7a155021349ac"/>
    <x:sheet xmlns:r="http://schemas.openxmlformats.org/officeDocument/2006/relationships" name="國內委外明細" sheetId="4" r:id="Reeb6806096b841a4"/>
    <x:sheet xmlns:r="http://schemas.openxmlformats.org/officeDocument/2006/relationships" name="國外委外明細" sheetId="5" r:id="R1c5f179b58554809"/>
    <x:sheet xmlns:r="http://schemas.openxmlformats.org/officeDocument/2006/relationships" name="批次彙總" sheetId="6" r:id="R6c0ae04ef0194448"/>
    <x:sheet xmlns:r="http://schemas.openxmlformats.org/officeDocument/2006/relationships" name="業者彙總" sheetId="7" r:id="R6806ecb003b244e9"/>
    <x:sheet xmlns:r="http://schemas.openxmlformats.org/officeDocument/2006/relationships" name="更新說明" sheetId="8" r:id="Rd2a6abe838cf4346"/>
    <x:sheet xmlns:r="http://schemas.openxmlformats.org/officeDocument/2006/relationships" name="資料品質檢核" sheetId="9" r:id="R059f0dc7dede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"/>
    <x:numFmt numFmtId="202" formatCode="0.00%"/>
    <x:numFmt numFmtId="203" formatCode="0.0%"/>
    <x:numFmt numFmtId="204" formatCode="#,##0.0"/>
    <x:numFmt numFmtId="205" formatCode="$#,##0.0"/>
    <x:numFmt numFmtId="206" formatCode="0.000"/>
    <x:numFmt numFmtId="207" formatCode="yyyy-mm-dd hh:mm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i/>
      <x:sz val="11"/>
      <x:color rgb="FF1F4E78"/>
      <x:name val="Carlito"/>
    </x:font>
    <x:font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6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4" fontId="0" fillId="0" borderId="8" xfId="0" applyNumberFormat="1" applyFont="1" applyFill="1" applyBorder="1" applyAlignment="1">
      <x:alignment vertical="center"/>
    </x:xf>
    <x:xf numFmtId="204" fontId="0" fillId="0" borderId="9" xfId="0" applyNumberFormat="1" applyFont="1" applyFill="1" applyBorder="1" applyAlignment="1">
      <x:alignment vertical="center"/>
    </x:xf>
    <x:xf numFmtId="204" fontId="0" fillId="0" borderId="11" xfId="0" applyNumberFormat="1" applyFont="1" applyFill="1" applyBorder="1" applyAlignment="1">
      <x:alignment vertical="center"/>
    </x:xf>
    <x:xf numFmtId="204" fontId="0" fillId="0" borderId="1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205" fontId="0" fillId="0" borderId="14" xfId="0" applyNumberFormat="1" applyFont="1" applyFill="1" applyBorder="1" applyAlignment="1">
      <x:alignment vertical="center"/>
    </x:xf>
    <x:xf numFmtId="205" fontId="0" fillId="0" borderId="15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205" fontId="0" fillId="0" borderId="8" xfId="0" applyNumberFormat="1" applyFont="1" applyFill="1" applyBorder="1" applyAlignment="1">
      <x:alignment vertical="center"/>
    </x:xf>
    <x:xf numFmtId="205" fontId="0" fillId="0" borderId="9" xfId="0" applyNumberFormat="1" applyFont="1" applyFill="1" applyBorder="1" applyAlignment="1">
      <x:alignment vertical="center"/>
    </x:xf>
    <x:xf numFmtId="205" fontId="0" fillId="0" borderId="11" xfId="0" applyNumberFormat="1" applyFont="1" applyFill="1" applyBorder="1" applyAlignment="1">
      <x:alignment vertical="center"/>
    </x:xf>
    <x:xf numFmtId="205" fontId="0" fillId="0" borderId="12" xfId="0" applyNumberFormat="1" applyFont="1" applyFill="1" applyBorder="1" applyAlignment="1">
      <x:alignment vertical="center"/>
    </x:xf>
    <x:xf numFmtId="0" fontId="0" fillId="2" borderId="7" xfId="0" applyNumberFormat="1" applyFont="1" applyFill="1" applyBorder="1" applyAlignment="1">
      <x:alignment vertical="center"/>
    </x:xf>
    <x:xf numFmtId="205" fontId="0" fillId="2" borderId="8" xfId="0" applyNumberFormat="1" applyFont="1" applyFill="1" applyBorder="1" applyAlignment="1">
      <x:alignment vertical="center"/>
    </x:xf>
    <x:xf numFmtId="205" fontId="0" fillId="2" borderId="9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205" fontId="2" fillId="2" borderId="8" xfId="0" applyNumberFormat="1" applyFont="1" applyFill="1" applyBorder="1" applyAlignment="1">
      <x:alignment vertical="center"/>
    </x:xf>
    <x:xf numFmtId="205" fontId="2" fillId="2" borderId="9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205" fontId="0" fillId="4" borderId="8" xfId="0" applyNumberFormat="1" applyFont="1" applyFill="1" applyBorder="1" applyAlignment="1">
      <x:alignment vertical="center"/>
    </x:xf>
    <x:xf numFmtId="205" fontId="0" fillId="4" borderId="9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205" fontId="5" fillId="4" borderId="8" xfId="0" applyNumberFormat="1" applyFont="1" applyFill="1" applyBorder="1" applyAlignment="1">
      <x:alignment vertical="center"/>
    </x:xf>
    <x:xf numFmtId="205" fontId="5" fillId="4" borderId="9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 wrapText="1"/>
    </x:xf>
    <x:xf numFmtId="205" fontId="5" fillId="4" borderId="8" xfId="0" applyNumberFormat="1" applyFont="1" applyFill="1" applyBorder="1" applyAlignment="1">
      <x:alignment vertical="center" wrapText="1"/>
    </x:xf>
    <x:xf numFmtId="205" fontId="5" fillId="4" borderId="9" xfId="0" applyNumberFormat="1" applyFont="1" applyFill="1" applyBorder="1" applyAlignment="1">
      <x:alignment vertical="center" wrapText="1"/>
    </x:xf>
    <x:xf numFmtId="205" fontId="3" fillId="0" borderId="8" xfId="0" applyNumberFormat="1" applyFont="1" applyFill="1" applyBorder="1" applyAlignment="1">
      <x:alignment vertical="center"/>
    </x:xf>
    <x:xf numFmtId="206" fontId="3" fillId="0" borderId="8" xfId="0" applyNumberFormat="1" applyFont="1" applyFill="1" applyBorder="1" applyAlignment="1">
      <x:alignment vertical="center"/>
    </x:xf>
    <x:xf numFmtId="207" fontId="0" fillId="0" borderId="8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42317cf9f44ab" /><Relationship Type="http://schemas.openxmlformats.org/officeDocument/2006/relationships/theme" Target="/xl/theme/theme1.xml" Id="Rd31d3db96f3e4c3a" /><Relationship Type="http://schemas.openxmlformats.org/officeDocument/2006/relationships/sharedStrings" Target="/xl/sharedStrings.xml" Id="R44f70e19385a47fe" /><Relationship Type="http://schemas.openxmlformats.org/officeDocument/2006/relationships/worksheet" Target="/xl/worksheets/sheet1.xml" Id="R0189154c3f3645fa" /><Relationship Type="http://schemas.openxmlformats.org/officeDocument/2006/relationships/worksheet" Target="/xl/worksheets/sheet2.xml" Id="R800ab0c7a5344239" /><Relationship Type="http://schemas.openxmlformats.org/officeDocument/2006/relationships/worksheet" Target="/xl/worksheets/sheet3.xml" Id="Rd2d7a155021349ac" /><Relationship Type="http://schemas.openxmlformats.org/officeDocument/2006/relationships/worksheet" Target="/xl/worksheets/sheet4.xml" Id="Reeb6806096b841a4" /><Relationship Type="http://schemas.openxmlformats.org/officeDocument/2006/relationships/worksheet" Target="/xl/worksheets/sheet5.xml" Id="R1c5f179b58554809" /><Relationship Type="http://schemas.openxmlformats.org/officeDocument/2006/relationships/worksheet" Target="/xl/worksheets/sheet6.xml" Id="R6c0ae04ef0194448" /><Relationship Type="http://schemas.openxmlformats.org/officeDocument/2006/relationships/worksheet" Target="/xl/worksheets/sheet7.xml" Id="R6806ecb003b244e9" /><Relationship Type="http://schemas.openxmlformats.org/officeDocument/2006/relationships/worksheet" Target="/xl/worksheets/sheet8.xml" Id="Rd2a6abe838cf4346" /><Relationship Type="http://schemas.openxmlformats.org/officeDocument/2006/relationships/worksheet" Target="/xl/worksheets/sheet9.xml" Id="R059f0dc7dede4c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731da404f2482b" /><Relationship Type="http://schemas.openxmlformats.org/officeDocument/2006/relationships/chart" Target="/xl/drawings/charts/chart2.xml" Id="Rb532c68620754d29" /><Relationship Type="http://schemas.openxmlformats.org/officeDocument/2006/relationships/chart" Target="/xl/drawings/charts/chart3.xml" Id="R3f8eba250d8e4e3d" /><Relationship Type="http://schemas.openxmlformats.org/officeDocument/2006/relationships/chart" Target="/xl/drawings/charts/chart4.xml" Id="R8740102aeadf4191" /><Relationship Type="http://schemas.openxmlformats.org/officeDocument/2006/relationships/chart" Target="/xl/drawings/charts/chart5.xml" Id="Rde7658bffc6640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5246295eab0d4ada" /><Relationship Type="http://schemas.openxmlformats.org/officeDocument/2006/relationships/chart" Target="/xl/drawings/charts/chart7.xml" Id="R7936581d05e94d50" /><Relationship Type="http://schemas.openxmlformats.org/officeDocument/2006/relationships/chart" Target="/xl/drawings/charts/chart8.xml" Id="R3bfd37c8aaaa42fd" /><Relationship Type="http://schemas.openxmlformats.org/officeDocument/2006/relationships/chart" Target="/xl/drawings/charts/chart9.xml" Id="Rdef1920f5dd04061" /><Relationship Type="http://schemas.openxmlformats.org/officeDocument/2006/relationships/chart" Target="/xl/drawings/charts/chart10.xml" Id="R068855011ba24b8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caa3ee16ee8444b9" /><Relationship Type="http://schemas.openxmlformats.org/officeDocument/2006/relationships/chart" Target="/xl/drawings/charts/chart12.xml" Id="R22b07c69b4d644d4" /><Relationship Type="http://schemas.openxmlformats.org/officeDocument/2006/relationships/chart" Target="/xl/drawings/charts/chart13.xml" Id="R0852651fbbaf4936" /><Relationship Type="http://schemas.openxmlformats.org/officeDocument/2006/relationships/chart" Target="/xl/drawings/charts/chart14.xml" Id="R291e3a92fe774b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新制基金｜59,718.9 億元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'儀表板'!$V$12:$V$19</c:f>
              <c:strCache>
                <c:ptCount val="0"/>
              </c:strCache>
            </c:strRef>
          </c:cat>
          <c:val>
            <c:numRef>
              <c:f>'儀表板'!$W$12:$W$19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舊制基金｜12,013.9 億元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'儀表板'!$X$12:$X$19</c:f>
              <c:strCache>
                <c:ptCount val="0"/>
              </c:strCache>
            </c:strRef>
          </c:cat>
          <c:val>
            <c:numRef>
              <c:f>'儀表板'!$Y$12:$Y$19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勞工保險基金｜16,566.2 億元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'儀表板'!$Z$12:$Z$19</c:f>
              <c:strCache>
                <c:ptCount val="0"/>
              </c:strCache>
            </c:strRef>
          </c:cat>
          <c:val>
            <c:numRef>
              <c:f>'儀表板'!$AA$12:$AA$19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國民年金保險基金｜8,862.5 億元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'儀表板'!$AB$12:$AB$19</c:f>
              <c:strCache>
                <c:ptCount val="0"/>
              </c:strCache>
            </c:strRef>
          </c:cat>
          <c:val>
            <c:numRef>
              <c:f>'儀表板'!$AC$12:$AC$19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四大基金合計｜97,161.5 億元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'儀表板'!$AD$12:$AD$19</c:f>
              <c:strCache>
                <c:ptCount val="0"/>
              </c:strCache>
            </c:strRef>
          </c:cat>
          <c:val>
            <c:numRef>
              <c:f>'儀表板'!$AE$12:$AE$19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新制基金｜$186.9B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'儀表板(美元)'!$V$12:$V$19</c:f>
              <c:strCache>
                <c:ptCount val="0"/>
              </c:strCache>
            </c:strRef>
          </c:cat>
          <c:val>
            <c:numRef>
              <c:f>'儀表板(美元)'!$W$12:$W$19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舊制基金｜$37.6B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'儀表板(美元)'!$X$12:$X$19</c:f>
              <c:strCache>
                <c:ptCount val="0"/>
              </c:strCache>
            </c:strRef>
          </c:cat>
          <c:val>
            <c:numRef>
              <c:f>'儀表板(美元)'!$Y$12:$Y$19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勞工保險基金｜$51.9B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'儀表板(美元)'!$Z$12:$Z$19</c:f>
              <c:strCache>
                <c:ptCount val="0"/>
              </c:strCache>
            </c:strRef>
          </c:cat>
          <c:val>
            <c:numRef>
              <c:f>'儀表板(美元)'!$AA$12:$AA$19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國民年金保險基金｜$27.7B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'儀表板(美元)'!$AB$12:$AB$19</c:f>
              <c:strCache>
                <c:ptCount val="0"/>
              </c:strCache>
            </c:strRef>
          </c:cat>
          <c:val>
            <c:numRef>
              <c:f>'儀表板(美元)'!$AC$12:$AC$19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四大基金合計｜$304.2B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'儀表板(美元)'!$AD$12:$AD$19</c:f>
              <c:strCache>
                <c:ptCount val="0"/>
              </c:strCache>
            </c:strRef>
          </c:cat>
          <c:val>
            <c:numRef>
              <c:f>'儀表板(美元)'!$AE$12:$AE$19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國內委外｜前十名目前淨資產（業者名稱後附市占率）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委託金額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'業者彙總'!$M$4:$M$13</c:f>
              <c:strCache>
                <c:ptCount val="0"/>
              </c:strCache>
            </c:strRef>
          </c:cat>
          <c:val>
            <c:numRef>
              <c:f>'業者彙總'!$N$4:$N$13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國內委外｜市占率分布</a:t>
            </a:r>
          </a:p>
        </c:rich>
      </c:tx>
      <c:overlay val="0"/>
    </c:title>
    <c:plotArea>
      <c:doughnutChart>
        <c:ser>
          <c:idx val="0"/>
          <c:order val="0"/>
          <c:tx>
            <c:v>市占率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'業者彙總'!$S$4:$S$14</c:f>
              <c:strCache>
                <c:ptCount val="0"/>
              </c:strCache>
            </c:strRef>
          </c:cat>
          <c:val>
            <c:numRef>
              <c:f>'業者彙總'!$T$4:$T$14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國外委外｜前十名目前淨資產（業者名稱後附市占率）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委託金額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'業者彙總'!$P$4:$P$13</c:f>
              <c:strCache>
                <c:ptCount val="0"/>
              </c:strCache>
            </c:strRef>
          </c:cat>
          <c:val>
            <c:numRef>
              <c:f>'業者彙總'!$Q$4:$Q$13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國外委外｜市占率分布</a:t>
            </a:r>
          </a:p>
        </c:rich>
      </c:tx>
      <c:overlay val="0"/>
    </c:title>
    <c:plotArea>
      <c:doughnutChart>
        <c:ser>
          <c:idx val="0"/>
          <c:order val="0"/>
          <c:tx>
            <c:v>市占率</c:v>
          </c:tx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'業者彙總'!$V$4:$V$14</c:f>
              <c:strCache>
                <c:ptCount val="0"/>
              </c:strCache>
            </c:strRef>
          </c:cat>
          <c:val>
            <c:numRef>
              <c:f>'業者彙總'!$W$4:$W$14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731da404f2482b"/>
        </a:graphicData>
      </a:graphic>
    </xdr:graphicFrame>
    <xdr:clientData/>
  </xdr:twoCellAnchor>
  <xdr:twoCellAnchor>
    <xdr:from>
      <xdr:col>11</xdr:col>
      <xdr:colOff>0</xdr:colOff>
      <xdr:row>14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32c68620754d29"/>
        </a:graphicData>
      </a:graphic>
    </xdr:graphicFrame>
    <xdr:clientData/>
  </xdr:twoCellAnchor>
  <xdr:twoCellAnchor>
    <xdr:from>
      <xdr:col>15</xdr:col>
      <xdr:colOff>0</xdr:colOff>
      <xdr:row>14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8eba250d8e4e3d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11</xdr:col>
      <xdr:colOff>0</xdr:colOff>
      <xdr:row>44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40102aeadf4191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15</xdr:col>
      <xdr:colOff>0</xdr:colOff>
      <xdr:row>44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7658bffc6640c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46295eab0d4ada"/>
        </a:graphicData>
      </a:graphic>
    </xdr:graphicFrame>
    <xdr:clientData/>
  </xdr:twoCellAnchor>
  <xdr:twoCellAnchor>
    <xdr:from>
      <xdr:col>11</xdr:col>
      <xdr:colOff>0</xdr:colOff>
      <xdr:row>14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36581d05e94d50"/>
        </a:graphicData>
      </a:graphic>
    </xdr:graphicFrame>
    <xdr:clientData/>
  </xdr:twoCellAnchor>
  <xdr:twoCellAnchor>
    <xdr:from>
      <xdr:col>15</xdr:col>
      <xdr:colOff>0</xdr:colOff>
      <xdr:row>14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fd37c8aaaa42fd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11</xdr:col>
      <xdr:colOff>0</xdr:colOff>
      <xdr:row>44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f1920f5dd04061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15</xdr:col>
      <xdr:colOff>0</xdr:colOff>
      <xdr:row>44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8855011ba24b8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15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a3ee16ee8444b9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28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b07c69b4d644d4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20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52651fbbaf4936"/>
        </a:graphicData>
      </a:graphic>
    </xdr:graphicFrame>
    <xdr:clientData/>
  </xdr:twoCellAnchor>
  <xdr:twoCellAnchor>
    <xdr:from>
      <xdr:col>20</xdr:col>
      <xdr:colOff>0</xdr:colOff>
      <xdr:row>32</xdr:row>
      <xdr:rowOff>0</xdr:rowOff>
    </xdr:from>
    <xdr:to>
      <xdr:col>28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1e3a92fe774b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Assets" displayName="tblAssets" ref="A3:H263" headerRowCount="1" totalsRowCount="0" totalsRowShown="0">
  <x:tableColumns count="8">
    <x:tableColumn id="1" name="日期"/>
    <x:tableColumn id="2" name="期間"/>
    <x:tableColumn id="3" name="基金"/>
    <x:tableColumn id="4" name="資產配置項目"/>
    <x:tableColumn id="5" name="金額（元）"/>
    <x:tableColumn id="6" name="占基金運用比率"/>
    <x:tableColumn id="7" name="來源檔案"/>
    <x:tableColumn id="8" name="來源表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omestic" displayName="tblDomestic" ref="A3:N116" headerRowCount="1" totalsRowCount="0" totalsRowShown="0">
  <x:tableColumns count="14">
    <x:tableColumn id="1" name="日期"/>
    <x:tableColumn id="2" name="期間"/>
    <x:tableColumn id="3" name="基金"/>
    <x:tableColumn id="4" name="區域"/>
    <x:tableColumn id="5" name="批次／策略類型"/>
    <x:tableColumn id="6" name="業者"/>
    <x:tableColumn id="7" name="委託金額"/>
    <x:tableColumn id="8" name="目前淨資產"/>
    <x:tableColumn id="9" name="委外帳戶當期加/減"/>
    <x:tableColumn id="10" name="帳戶狀態"/>
    <x:tableColumn id="11" name="單位"/>
    <x:tableColumn id="12" name="委任至今投資報酬率"/>
    <x:tableColumn id="13" name="委任至今目標／指標報酬率"/>
    <x:tableColumn id="14" name="來源檔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Overseas" displayName="tblOverseas" ref="A3:N188" headerRowCount="1" totalsRowCount="0" totalsRowShown="0">
  <x:tableColumns count="14">
    <x:tableColumn id="1" name="日期"/>
    <x:tableColumn id="2" name="期間"/>
    <x:tableColumn id="3" name="基金"/>
    <x:tableColumn id="4" name="區域"/>
    <x:tableColumn id="5" name="批次／策略類型"/>
    <x:tableColumn id="6" name="業者"/>
    <x:tableColumn id="7" name="委託金額"/>
    <x:tableColumn id="8" name="目前淨資產"/>
    <x:tableColumn id="9" name="委外帳戶當期加/減"/>
    <x:tableColumn id="10" name="帳戶狀態"/>
    <x:tableColumn id="11" name="單位"/>
    <x:tableColumn id="12" name="委任至今投資報酬率"/>
    <x:tableColumn id="13" name="委任至今目標／指標報酬率"/>
    <x:tableColumn id="14" name="來源檔案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Batches" displayName="tblBatches" ref="A3:K102" headerRowCount="1" totalsRowCount="0" totalsRowShown="0">
  <x:tableColumns count="11">
    <x:tableColumn id="1" name="日期"/>
    <x:tableColumn id="2" name="期間"/>
    <x:tableColumn id="3" name="基金"/>
    <x:tableColumn id="4" name="區域"/>
    <x:tableColumn id="5" name="批次／策略類型"/>
    <x:tableColumn id="6" name="委託金額"/>
    <x:tableColumn id="7" name="目前淨資產"/>
    <x:tableColumn id="8" name="委任至今投資報酬率*"/>
    <x:tableColumn id="9" name="委任至今目標／指標報酬率"/>
    <x:tableColumn id="10" name="單位"/>
    <x:tableColumn id="11" name="來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Labor Funds Dashboard">
      <a:dk1>
        <a:srgbClr val="17365D"/>
      </a:dk1>
      <a:lt1>
        <a:srgbClr val="FFFFFF"/>
      </a:lt1>
      <a:dk2>
        <a:srgbClr val="0E2841"/>
      </a:dk2>
      <a:lt2>
        <a:srgbClr val="F4F7FA"/>
      </a:lt2>
      <a:accent1>
        <a:srgbClr val="9DC3E6"/>
      </a:accent1>
      <a:accent2>
        <a:srgbClr val="5B9BD5"/>
      </a:accent2>
      <a:accent3>
        <a:srgbClr val="2F75B5"/>
      </a:accent3>
      <a:accent4>
        <a:srgbClr val="1F4E79"/>
      </a:accent4>
      <a:accent5>
        <a:srgbClr val="F4B183"/>
      </a:accent5>
      <a:accent6>
        <a:srgbClr val="C55A11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bor Funds Dashboar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e98b5b7ab84d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073f4a919044c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5feda3639bd43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95d6e070e5b4f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0e00cd02cab48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0e4eba110fe48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bbea229a22f14f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30" customHeight="1">
      <x:c r="A1" s="4" t="str">
        <x:v>勞動基金運用局｜四大基金月度運用與委外經營儀表板</x:v>
      </x:c>
      <x:c r="B1" s="4"/>
      <x:c r="C1" s="4"/>
      <x:c r="D1" s="4"/>
      <x:c r="E1" s="4"/>
      <x:c r="F1" s="4"/>
      <x:c r="G1" s="4"/>
      <x:c r="H1" s="69"/>
      <x:c r="I1" s="69"/>
      <x:c r="J1" s="69"/>
      <x:c r="K1" s="69"/>
      <x:c r="L1" s="4"/>
      <x:c r="M1" s="4"/>
      <x:c r="N1" s="4"/>
      <x:c r="O1" s="4"/>
      <x:c r="P1" s="4"/>
      <x:c r="Q1" s="4"/>
      <x:c r="R1" s="4"/>
      <x:c r="S1" s="4"/>
      <x:c r="T1" s="4"/>
    </x:row>
    <x:row r="3">
      <x:c r="A3" s="53" t="str">
        <x:v>資料範圍：115 年 1–7 月；勞保、國保為 115 年 7 月｜金額單位：新臺幣億元（除國外委外原始明細以美元列示）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</x:row>
    <x:row r="5">
      <x:c r="A5" s="15" t="str">
        <x:v>最新月份</x:v>
      </x:c>
      <x:c r="B5" s="16" t="str">
        <x:v>新制</x:v>
      </x:c>
      <x:c r="C5" s="16" t="str">
        <x:v>舊制</x:v>
      </x:c>
      <x:c r="D5" s="16" t="str">
        <x:v>勞工保險</x:v>
      </x:c>
      <x:c r="E5" s="16" t="str">
        <x:v>國民年金</x:v>
      </x:c>
      <x:c r="F5" s="17" t="str">
        <x:v>四大基金合計</x:v>
      </x:c>
      <x:c r="H5" s="15" t="str">
        <x:v>委外業者（最新月）</x:v>
      </x:c>
      <x:c r="I5" s="16" t="str">
        <x:v>國內</x:v>
      </x:c>
      <x:c r="J5" s="16" t="str">
        <x:v>國外</x:v>
      </x:c>
      <x:c r="K5" s="17" t="str">
        <x:v>備註</x:v>
      </x:c>
    </x:row>
    <x:row r="6">
      <x:c r="A6" s="60" t="n">
        <x:f>MAX('月度資產配置'!$A$4:$A$263)</x:f>
        <x:v>46204</x:v>
      </x:c>
      <x:c r="B6" s="61" t="n">
        <x:f>SUMIFS('月度資產配置'!$E$4:$E$263,'月度資產配置'!$A$4:$A$263,$A$6,'月度資產配置'!$C$4:$C$263,"新制",'月度資產配置'!$D$4:$D$263,"合計")</x:f>
        <x:v>5971891365843</x:v>
      </x:c>
      <x:c r="C6" s="61" t="n">
        <x:f>SUMIFS('月度資產配置'!$E$4:$E$263,'月度資產配置'!$A$4:$A$263,$A$6,'月度資產配置'!$C$4:$C$263,"舊制",'月度資產配置'!$D$4:$D$263,"合計")</x:f>
        <x:v>1201392132968</x:v>
      </x:c>
      <x:c r="D6" s="61" t="n">
        <x:f>SUMIFS('月度資產配置'!$E$4:$E$263,'月度資產配置'!$A$4:$A$263,$A$6,'月度資產配置'!$C$4:$C$263,"勞工保險",'月度資產配置'!$D$4:$D$263,"合計")</x:f>
        <x:v>1656620647003</x:v>
      </x:c>
      <x:c r="E6" s="61" t="n">
        <x:f>SUMIFS('月度資產配置'!$E$4:$E$263,'月度資產配置'!$A$4:$A$263,$A$6,'月度資產配置'!$C$4:$C$263,"國民年金",'月度資產配置'!$D$4:$D$263,"合計")</x:f>
        <x:v>886247346634</x:v>
      </x:c>
      <x:c r="F6" s="62" t="n">
        <x:f>SUM(B6:E6)</x:f>
        <x:v>9716151492448</x:v>
      </x:c>
      <x:c r="H6" s="57" t="str">
        <x:v>業者數</x:v>
      </x:c>
      <x:c r="I6" s="58" t="n">
        <x:v>18</x:v>
      </x:c>
      <x:c r="J6" s="58" t="n">
        <x:v>46</x:v>
      </x:c>
      <x:c r="K6" s="59" t="str">
        <x:v>詳見「業者彙總」</x:v>
      </x:c>
    </x:row>
    <x:row r="9">
      <x:c r="A9" s="15" t="str">
        <x:v>資產配置（最新月份，新臺幣億元）</x:v>
      </x:c>
      <x:c r="B9" s="16" t="str">
        <x:v>新制</x:v>
      </x:c>
      <x:c r="C9" s="16" t="str">
        <x:v>舊制</x:v>
      </x:c>
      <x:c r="D9" s="16" t="str">
        <x:v>勞保</x:v>
      </x:c>
      <x:c r="E9" s="16" t="str">
        <x:v>國保</x:v>
      </x:c>
      <x:c r="F9" s="17" t="str">
        <x:v>四大基金合計</x:v>
      </x:c>
      <x:c r="H9" s="15" t="str">
        <x:v>甜甜圈中心資訊</x:v>
      </x:c>
      <x:c r="I9" s="16" t="str">
        <x:v>新制</x:v>
      </x:c>
      <x:c r="J9" s="16" t="str">
        <x:v>舊制</x:v>
      </x:c>
      <x:c r="K9" s="17" t="str">
        <x:v>四大基金</x:v>
      </x:c>
    </x:row>
    <x:row r="10">
      <x:c r="A10" s="27" t="str">
        <x:v>自行運用</x:v>
      </x:c>
      <x:c r="B10" s="63" t="n">
        <x:f>SUMIFS('月度資產配置'!$E$4:$E$263,'月度資產配置'!$A$4:$A$263,$A$6,'月度資產配置'!$C$4:$C$263,"新制",'月度資產配置'!$D$4:$D$263,$A10)/(100000000)</x:f>
        <x:v>20457.26190154</x:v>
      </x:c>
      <x:c r="C10" s="63" t="n">
        <x:f>SUMIFS('月度資產配置'!$E$4:$E$263,'月度資產配置'!$A$4:$A$263,$A$6,'月度資產配置'!$C$4:$C$263,"舊制",'月度資產配置'!$D$4:$D$263,$A10)/(100000000)</x:f>
        <x:v>5428.14149168</x:v>
      </x:c>
      <x:c r="D10" s="63" t="n">
        <x:f>SUMIFS('月度資產配置'!$E$4:$E$263,'月度資產配置'!$A$4:$A$263,$A$6,'月度資產配置'!$C$4:$C$263,"勞工保險",'月度資產配置'!$D$4:$D$263,$A10)/(100000000)</x:f>
        <x:v>11302.33744952</x:v>
      </x:c>
      <x:c r="E10" s="63" t="n">
        <x:f>SUMIFS('月度資產配置'!$E$4:$E$263,'月度資產配置'!$A$4:$A$263,$A$6,'月度資產配置'!$C$4:$C$263,"國民年金",'月度資產配置'!$D$4:$D$263,$A10)/(100000000)</x:f>
        <x:v>5421.43193531</x:v>
      </x:c>
      <x:c r="F10" s="64" t="n">
        <x:f>SUM(B10:E10)</x:f>
        <x:v>42609.17277805001</x:v>
      </x:c>
      <x:c r="H10" s="27" t="str">
        <x:v>中心資訊</x:v>
      </x:c>
      <x:c r="I10" s="28" t="str">
        <x:v>每張甜甜圈顯示該基金資產規模</x:v>
      </x:c>
      <x:c r="J10" s="28" t="str">
        <x:v>金額依左表與匯率公式更新</x:v>
      </x:c>
      <x:c r="K10" s="29" t="str">
        <x:v>中心數字為目前期末資產</x:v>
      </x:c>
    </x:row>
    <x:row r="11">
      <x:c r="A11" s="30" t="str">
        <x:v>委託經營</x:v>
      </x:c>
      <x:c r="B11" s="65" t="n">
        <x:f>SUMIFS('月度資產配置'!$E$4:$E$263,'月度資產配置'!$A$4:$A$263,$A$6,'月度資產配置'!$C$4:$C$263,"新制",'月度資產配置'!$D$4:$D$263,$A11)/(100000000)</x:f>
        <x:v>39261.65175689</x:v>
      </x:c>
      <x:c r="C11" s="65" t="n">
        <x:f>SUMIFS('月度資產配置'!$E$4:$E$263,'月度資產配置'!$A$4:$A$263,$A$6,'月度資產配置'!$C$4:$C$263,"舊制",'月度資產配置'!$D$4:$D$263,$A11)/(100000000)</x:f>
        <x:v>6585.779838</x:v>
      </x:c>
      <x:c r="D11" s="65" t="n">
        <x:f>SUMIFS('月度資產配置'!$E$4:$E$263,'月度資產配置'!$A$4:$A$263,$A$6,'月度資產配置'!$C$4:$C$263,"勞工保險",'月度資產配置'!$D$4:$D$263,$A11)/(100000000)</x:f>
        <x:v>5263.86902051</x:v>
      </x:c>
      <x:c r="E11" s="65" t="n">
        <x:f>SUMIFS('月度資產配置'!$E$4:$E$263,'月度資產配置'!$A$4:$A$263,$A$6,'月度資產配置'!$C$4:$C$263,"國民年金",'月度資產配置'!$D$4:$D$263,$A11)/(100000000)</x:f>
        <x:v>3441.04153103</x:v>
      </x:c>
      <x:c r="F11" s="66" t="n">
        <x:f>SUM(B11:E11)</x:f>
        <x:v>54552.342146430005</x:v>
      </x:c>
      <x:c r="H11" s="30" t="str">
        <x:v>配色</x:v>
      </x:c>
      <x:c r="I11" s="31" t="str">
        <x:v>藍色：自行運用（深淺）</x:v>
      </x:c>
      <x:c r="J11" s="31" t="str">
        <x:v>橘色：委託經營（深淺）</x:v>
      </x:c>
      <x:c r="K11" s="32" t="str">
        <x:v>圓環扇形顯示配置占比</x:v>
      </x:c>
      <x:c r="V11" t="str">
        <x:v>資產類別</x:v>
      </x:c>
      <x:c r="W11" t="str">
        <x:v>占比</x:v>
      </x:c>
      <x:c r="X11" t="str">
        <x:v>資產類別</x:v>
      </x:c>
      <x:c r="Y11" t="str">
        <x:v>占比</x:v>
      </x:c>
      <x:c r="Z11" t="str">
        <x:v>資產類別</x:v>
      </x:c>
      <x:c r="AA11" t="str">
        <x:v>占比</x:v>
      </x:c>
      <x:c r="AB11" t="str">
        <x:v>資產類別</x:v>
      </x:c>
      <x:c r="AC11" t="str">
        <x:v>占比</x:v>
      </x:c>
      <x:c r="AD11" t="str">
        <x:v>資產類別</x:v>
      </x:c>
      <x:c r="AE11" t="str">
        <x:v>占比</x:v>
      </x:c>
    </x:row>
    <x:row r="12">
      <x:c r="A12" s="30" t="str">
        <x:v>自行運用-國外-固定收益</x:v>
      </x:c>
      <x:c r="B12" s="65" t="n">
        <x:f>SUMIFS('月度資產配置'!$E$4:$E$263,'月度資產配置'!$A$4:$A$263,$A$6,'月度資產配置'!$C$4:$C$263,"新制",'月度資產配置'!$D$4:$D$263,$A12)/(100000000)</x:f>
        <x:v>7211.5415763</x:v>
      </x:c>
      <x:c r="C12" s="65" t="n">
        <x:f>SUMIFS('月度資產配置'!$E$4:$E$263,'月度資產配置'!$A$4:$A$263,$A$6,'月度資產配置'!$C$4:$C$263,"舊制",'月度資產配置'!$D$4:$D$263,$A12)/(100000000)</x:f>
        <x:v>298.14460239</x:v>
      </x:c>
      <x:c r="D12" s="65" t="n">
        <x:f>SUMIFS('月度資產配置'!$E$4:$E$263,'月度資產配置'!$A$4:$A$263,$A$6,'月度資產配置'!$C$4:$C$263,"勞工保險",'月度資產配置'!$D$4:$D$263,$A12)/(100000000)</x:f>
        <x:v>1907.17945389</x:v>
      </x:c>
      <x:c r="E12" s="65" t="n">
        <x:f>SUMIFS('月度資產配置'!$E$4:$E$263,'月度資產配置'!$A$4:$A$263,$A$6,'月度資產配置'!$C$4:$C$263,"國民年金",'月度資產配置'!$D$4:$D$263,$A12)/(100000000)</x:f>
        <x:v>1085.06446162</x:v>
      </x:c>
      <x:c r="F12" s="66" t="n">
        <x:f>SUM(B12:E12)</x:f>
        <x:v>10501.9300942</x:v>
      </x:c>
      <x:c r="H12" s="33" t="str">
        <x:v>匯率</x:v>
      </x:c>
      <x:c r="I12" s="34" t="str">
        <x:v>不適用</x:v>
      </x:c>
      <x:c r="J12" s="34" t="str">
        <x:v>不適用</x:v>
      </x:c>
      <x:c r="K12" s="35" t="str">
        <x:v>來源與報價時間已註明</x:v>
      </x:c>
      <x:c r="V12" t="str">
        <x:v>自行運用 - 其他</x:v>
      </x:c>
      <x:c r="W12" s="50" t="n">
        <x:f>IFERROR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0.19999999999999998</x:v>
      </x:c>
      <x:c r="X12" t="str">
        <x:v>自行運用 - 其他</x:v>
      </x:c>
      <x:c r="Y12" s="50" t="n">
        <x:f>IFERROR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0.4086</x:v>
      </x:c>
      <x:c r="Z12" t="str">
        <x:v>自行運用 - 其他</x:v>
      </x:c>
      <x:c r="AA12" s="50" t="n">
        <x:f>IFERROR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0.5</x:v>
      </x:c>
      <x:c r="AB12" t="str">
        <x:v>自行運用 - 其他</x:v>
      </x:c>
      <x:c r="AC12" s="50" t="n">
        <x:f>IFERROR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0.3965</x:v>
      </x:c>
      <x:c r="AD12" t="str">
        <x:v>自行運用 - 其他</x:v>
      </x:c>
      <x:c r="AE12" s="50" t="n">
        <x:f>IFERROR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0.9830249999999999</x:v>
      </x:c>
    </x:row>
    <x:row r="13">
      <x:c r="A13" s="30" t="str">
        <x:v>自行運用-國外-權益證券</x:v>
      </x:c>
      <x:c r="B13" s="65" t="n">
        <x:f>SUMIFS('月度資產配置'!$E$4:$E$263,'月度資產配置'!$A$4:$A$263,$A$6,'月度資產配置'!$C$4:$C$263,"新制",'月度資產配置'!$D$4:$D$263,$A13)/(100000000)</x:f>
        <x:v>840.27862506</x:v>
      </x:c>
      <x:c r="C13" s="65" t="n">
        <x:f>SUMIFS('月度資產配置'!$E$4:$E$263,'月度資產配置'!$A$4:$A$263,$A$6,'月度資產配置'!$C$4:$C$263,"舊制",'月度資產配置'!$D$4:$D$263,$A13)/(100000000)</x:f>
        <x:v>220.39977028</x:v>
      </x:c>
      <x:c r="D13" s="65" t="n">
        <x:f>SUMIFS('月度資產配置'!$E$4:$E$263,'月度資產配置'!$A$4:$A$263,$A$6,'月度資產配置'!$C$4:$C$263,"勞工保險",'月度資產配置'!$D$4:$D$263,$A13)/(100000000)</x:f>
        <x:v>1001.25263652</x:v>
      </x:c>
      <x:c r="E13" s="65" t="n">
        <x:f>SUMIFS('月度資產配置'!$E$4:$E$263,'月度資產配置'!$A$4:$A$263,$A$6,'月度資產配置'!$C$4:$C$263,"國民年金",'月度資產配置'!$D$4:$D$263,$A13)/(100000000)</x:f>
        <x:v>592.19852253</x:v>
      </x:c>
      <x:c r="F13" s="66" t="n">
        <x:f>SUM(B13:E13)</x:f>
        <x:v>2654.12955439</x:v>
      </x:c>
      <x:c r="V13" t="str">
        <x:v>自行運用 - 固定收益</x:v>
      </x:c>
      <x:c r="W13" s="50" t="n">
        <x:f>IFERROR(SUMIFS('月度資產配置'!$F$4:$F$263,'月度資產配置'!$A$4:$A$263,$A$6,'月度資產配置'!$C$4:$C$263,"新制",'月度資產配置'!$D$4:$D$263,"自行運用-國外-固定收益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0.12080000000000002</x:v>
      </x:c>
      <x:c r="X13" t="str">
        <x:v>自行運用 - 固定收益</x:v>
      </x:c>
      <x:c r="Y13" s="50" t="n">
        <x:f>IFERROR(SUMIFS('月度資產配置'!$F$4:$F$263,'月度資產配置'!$A$4:$A$263,$A$6,'月度資產配置'!$C$4:$C$263,"舊制",'月度資產配置'!$D$4:$D$263,"自行運用-國外-固定收益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0.0248</x:v>
      </x:c>
      <x:c r="Z13" t="str">
        <x:v>自行運用 - 固定收益</x:v>
      </x:c>
      <x:c r="AA13" s="50" t="n">
        <x:f>IFERROR(SUMIFS('月度資產配置'!$F$4:$F$263,'月度資產配置'!$A$4:$A$263,$A$6,'月度資產配置'!$C$4:$C$263,"勞工保險",'月度資產配置'!$D$4:$D$263,"自行運用-國外-固定收益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0.1151</x:v>
      </x:c>
      <x:c r="AB13" t="str">
        <x:v>自行運用 - 固定收益</x:v>
      </x:c>
      <x:c r="AC13" s="50" t="n">
        <x:f>IFERROR(SUMIFS('月度資產配置'!$F$4:$F$263,'月度資產配置'!$A$4:$A$263,$A$6,'月度資產配置'!$C$4:$C$263,"國民年金",'月度資產配置'!$D$4:$D$263,"自行運用-國外-固定收益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0.12240000000000001</x:v>
      </x:c>
      <x:c r="AD13" t="str">
        <x:v>自行運用 - 固定收益</x:v>
      </x:c>
      <x:c r="AE13" s="50" t="n">
        <x:f>IFERROR(SUMIFS('月度資產配置'!$F$4:$F$263,'月度資產配置'!$A$4:$A$263,$A$6,'月度資產配置'!$D$4:$D$263,"自行運用-國外-固定收益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0.095775</x:v>
      </x:c>
    </x:row>
    <x:row r="14">
      <x:c r="A14" s="30" t="str">
        <x:v>自行運用-國外-另類投資</x:v>
      </x:c>
      <x:c r="B14" s="65" t="n">
        <x:f>SUMIFS('月度資產配置'!$E$4:$E$263,'月度資產配置'!$A$4:$A$263,$A$6,'月度資產配置'!$C$4:$C$263,"新制",'月度資產配置'!$D$4:$D$263,$A14)/(100000000)</x:f>
        <x:v>461.58624415</x:v>
      </x:c>
      <x:c r="C14" s="65" t="n">
        <x:f>SUMIFS('月度資產配置'!$E$4:$E$263,'月度資產配置'!$A$4:$A$263,$A$6,'月度資產配置'!$C$4:$C$263,"舊制",'月度資產配置'!$D$4:$D$263,$A14)/(100000000)</x:f>
        <x:v>0</x:v>
      </x:c>
      <x:c r="D14" s="65" t="n">
        <x:f>SUMIFS('月度資產配置'!$E$4:$E$263,'月度資產配置'!$A$4:$A$263,$A$6,'月度資產配置'!$C$4:$C$263,"勞工保險",'月度資產配置'!$D$4:$D$263,$A14)/(100000000)</x:f>
        <x:v>110.98730218</x:v>
      </x:c>
      <x:c r="E14" s="65" t="n">
        <x:f>SUMIFS('月度資產配置'!$E$4:$E$263,'月度資產配置'!$A$4:$A$263,$A$6,'月度資產配置'!$C$4:$C$263,"國民年金",'月度資產配置'!$D$4:$D$263,$A14)/(100000000)</x:f>
        <x:v>230.40654859</x:v>
      </x:c>
      <x:c r="F14" s="66" t="n">
        <x:f>SUM(B14:E14)</x:f>
        <x:v>802.98009492</x:v>
      </x:c>
      <x:c r="V14" t="str">
        <x:v>自行運用 - 權益證券</x:v>
      </x:c>
      <x:c r="W14" s="50" t="n">
        <x:f>IFERROR(SUMIFS('月度資產配置'!$F$4:$F$263,'月度資產配置'!$A$4:$A$263,$A$6,'月度資產配置'!$C$4:$C$263,"新制",'月度資產配置'!$D$4:$D$263,"自行運用-國外-權益證券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0.014100000000000001</x:v>
      </x:c>
      <x:c r="X14" t="str">
        <x:v>自行運用 - 權益證券</x:v>
      </x:c>
      <x:c r="Y14" s="50" t="n">
        <x:f>IFERROR(SUMIFS('月度資產配置'!$F$4:$F$263,'月度資產配置'!$A$4:$A$263,$A$6,'月度資產配置'!$C$4:$C$263,"舊制",'月度資產配置'!$D$4:$D$263,"自行運用-國外-權益證券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0.0184</x:v>
      </x:c>
      <x:c r="Z14" t="str">
        <x:v>自行運用 - 權益證券</x:v>
      </x:c>
      <x:c r="AA14" s="50" t="n">
        <x:f>IFERROR(SUMIFS('月度資產配置'!$F$4:$F$263,'月度資產配置'!$A$4:$A$263,$A$6,'月度資產配置'!$C$4:$C$263,"勞工保險",'月度資產配置'!$D$4:$D$263,"自行運用-國外-權益證券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0.0604</x:v>
      </x:c>
      <x:c r="AB14" t="str">
        <x:v>自行運用 - 權益證券</x:v>
      </x:c>
      <x:c r="AC14" s="50" t="n">
        <x:f>IFERROR(SUMIFS('月度資產配置'!$F$4:$F$263,'月度資產配置'!$A$4:$A$263,$A$6,'月度資產配置'!$C$4:$C$263,"國民年金",'月度資產配置'!$D$4:$D$263,"自行運用-國外-權益證券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0.0668</x:v>
      </x:c>
      <x:c r="AD14" t="str">
        <x:v>自行運用 - 權益證券</x:v>
      </x:c>
      <x:c r="AE14" s="50" t="n">
        <x:f>IFERROR(SUMIFS('月度資產配置'!$F$4:$F$263,'月度資產配置'!$A$4:$A$263,$A$6,'月度資產配置'!$D$4:$D$263,"自行運用-國外-權益證券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0.039925</x:v>
      </x:c>
    </x:row>
    <x:row r="15">
      <x:c r="A15" s="30" t="str">
        <x:v>委託經營-國內-權益證券</x:v>
      </x:c>
      <x:c r="B15" s="65" t="n">
        <x:f>SUMIFS('月度資產配置'!$E$4:$E$263,'月度資產配置'!$A$4:$A$263,$A$6,'月度資產配置'!$C$4:$C$263,"新制",'月度資產配置'!$D$4:$D$263,$A15)/(100000000)</x:f>
        <x:v>11715.97084307</x:v>
      </x:c>
      <x:c r="C15" s="65" t="n">
        <x:f>SUMIFS('月度資產配置'!$E$4:$E$263,'月度資產配置'!$A$4:$A$263,$A$6,'月度資產配置'!$C$4:$C$263,"舊制",'月度資產配置'!$D$4:$D$263,$A15)/(100000000)</x:f>
        <x:v>1838.53928809</x:v>
      </x:c>
      <x:c r="D15" s="65" t="n">
        <x:f>SUMIFS('月度資產配置'!$E$4:$E$263,'月度資產配置'!$A$4:$A$263,$A$6,'月度資產配置'!$C$4:$C$263,"勞工保險",'月度資產配置'!$D$4:$D$263,$A15)/(100000000)</x:f>
        <x:v>684.61127545</x:v>
      </x:c>
      <x:c r="E15" s="65" t="n">
        <x:f>SUMIFS('月度資產配置'!$E$4:$E$263,'月度資產配置'!$A$4:$A$263,$A$6,'月度資產配置'!$C$4:$C$263,"國民年金",'月度資產配置'!$D$4:$D$263,$A15)/(100000000)</x:f>
        <x:v>1005.75817739</x:v>
      </x:c>
      <x:c r="F15" s="66" t="n">
        <x:f>SUM(B15:E15)</x:f>
        <x:v>15244.879584</x:v>
      </x:c>
      <x:c r="V15" t="str">
        <x:v>自行運用 - 另類投資</x:v>
      </x:c>
      <x:c r="W15" s="50" t="n">
        <x:f>IFERROR(SUMIFS('月度資產配置'!$F$4:$F$263,'月度資產配置'!$A$4:$A$263,$A$6,'月度資產配置'!$C$4:$C$263,"新制",'月度資產配置'!$D$4:$D$263,"自行運用-國外-另類投資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0.007700000000000001</x:v>
      </x:c>
      <x:c r="X15" t="str">
        <x:v>自行運用 - 另類投資</x:v>
      </x:c>
      <x:c r="Y15" s="50" t="n">
        <x:f>IFERROR(SUMIFS('月度資產配置'!$F$4:$F$263,'月度資產配置'!$A$4:$A$263,$A$6,'月度資產配置'!$C$4:$C$263,"舊制",'月度資產配置'!$D$4:$D$263,"自行運用-國外-另類投資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</x:v>
      </x:c>
      <x:c r="Z15" t="str">
        <x:v>自行運用 - 另類投資</x:v>
      </x:c>
      <x:c r="AA15" s="50" t="n">
        <x:f>IFERROR(SUMIFS('月度資產配置'!$F$4:$F$263,'月度資產配置'!$A$4:$A$263,$A$6,'月度資產配置'!$C$4:$C$263,"勞工保險",'月度資產配置'!$D$4:$D$263,"自行運用-國外-另類投資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0.0067</x:v>
      </x:c>
      <x:c r="AB15" t="str">
        <x:v>自行運用 - 另類投資</x:v>
      </x:c>
      <x:c r="AC15" s="50" t="n">
        <x:f>IFERROR(SUMIFS('月度資產配置'!$F$4:$F$263,'月度資產配置'!$A$4:$A$263,$A$6,'月度資產配置'!$C$4:$C$263,"國民年金",'月度資產配置'!$D$4:$D$263,"自行運用-國外-另類投資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0.026000000000000002</x:v>
      </x:c>
      <x:c r="AD15" t="str">
        <x:v>自行運用 - 另類投資</x:v>
      </x:c>
      <x:c r="AE15" s="50" t="n">
        <x:f>IFERROR(SUMIFS('月度資產配置'!$F$4:$F$263,'月度資產配置'!$A$4:$A$263,$A$6,'月度資產配置'!$D$4:$D$263,"自行運用-國外-另類投資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0.010100000000000001</x:v>
      </x:c>
    </x:row>
    <x:row r="16">
      <x:c r="A16" s="30" t="str">
        <x:v>委託經營-國外-固定收益</x:v>
      </x:c>
      <x:c r="B16" s="65" t="n">
        <x:f>SUMIFS('月度資產配置'!$E$4:$E$263,'月度資產配置'!$A$4:$A$263,$A$6,'月度資產配置'!$C$4:$C$263,"新制",'月度資產配置'!$D$4:$D$263,$A16)/(100000000)</x:f>
        <x:v>5962.66506088</x:v>
      </x:c>
      <x:c r="C16" s="65" t="n">
        <x:f>SUMIFS('月度資產配置'!$E$4:$E$263,'月度資產配置'!$A$4:$A$263,$A$6,'月度資產配置'!$C$4:$C$263,"舊制",'月度資產配置'!$D$4:$D$263,$A16)/(100000000)</x:f>
        <x:v>1101.43623315</x:v>
      </x:c>
      <x:c r="D16" s="65" t="n">
        <x:f>SUMIFS('月度資產配置'!$E$4:$E$263,'月度資產配置'!$A$4:$A$263,$A$6,'月度資產配置'!$C$4:$C$263,"勞工保險",'月度資產配置'!$D$4:$D$263,$A16)/(100000000)</x:f>
        <x:v>948.09693597</x:v>
      </x:c>
      <x:c r="E16" s="65" t="n">
        <x:f>SUMIFS('月度資產配置'!$E$4:$E$263,'月度資產配置'!$A$4:$A$263,$A$6,'月度資產配置'!$C$4:$C$263,"國民年金",'月度資產配置'!$D$4:$D$263,$A16)/(100000000)</x:f>
        <x:v>431.71984301</x:v>
      </x:c>
      <x:c r="F16" s="66" t="n">
        <x:f>SUM(B16:E16)</x:f>
        <x:v>8443.91807301</x:v>
      </x:c>
      <x:c r="V16" t="str">
        <x:v>國內委託經營 - 權益證券</x:v>
      </x:c>
      <x:c r="W16" s="50" t="n">
        <x:f>IFERROR(SUMIFS('月度資產配置'!$F$4:$F$263,'月度資產配置'!$A$4:$A$263,$A$6,'月度資產配置'!$C$4:$C$263,"新制",'月度資產配置'!$D$4:$D$263,"委託經營-國內-權益證券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0.19620000000000004</x:v>
      </x:c>
      <x:c r="X16" t="str">
        <x:v>國內委託經營 - 權益證券</x:v>
      </x:c>
      <x:c r="Y16" s="50" t="n">
        <x:f>IFERROR(SUMIFS('月度資產配置'!$F$4:$F$263,'月度資產配置'!$A$4:$A$263,$A$6,'月度資產配置'!$C$4:$C$263,"舊制",'月度資產配置'!$D$4:$D$263,"委託經營-國內-權益證券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0.153</x:v>
      </x:c>
      <x:c r="Z16" t="str">
        <x:v>國內委託經營 - 權益證券</x:v>
      </x:c>
      <x:c r="AA16" s="50" t="n">
        <x:f>IFERROR(SUMIFS('月度資產配置'!$F$4:$F$263,'月度資產配置'!$A$4:$A$263,$A$6,'月度資產配置'!$C$4:$C$263,"勞工保險",'月度資產配置'!$D$4:$D$263,"委託經營-國內-權益證券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0.041299999999999996</x:v>
      </x:c>
      <x:c r="AB16" t="str">
        <x:v>國內委託經營 - 權益證券</x:v>
      </x:c>
      <x:c r="AC16" s="50" t="n">
        <x:f>IFERROR(SUMIFS('月度資產配置'!$F$4:$F$263,'月度資產配置'!$A$4:$A$263,$A$6,'月度資產配置'!$C$4:$C$263,"國民年金",'月度資產配置'!$D$4:$D$263,"委託經營-國內-權益證券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0.11349999999999999</x:v>
      </x:c>
      <x:c r="AD16" t="str">
        <x:v>國內委託經營 - 權益證券</x:v>
      </x:c>
      <x:c r="AE16" s="50" t="n">
        <x:f>IFERROR(SUMIFS('月度資產配置'!$F$4:$F$263,'月度資產配置'!$A$4:$A$263,$A$6,'月度資產配置'!$D$4:$D$263,"委託經營-國內-權益證券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0.126</x:v>
      </x:c>
    </x:row>
    <x:row r="17">
      <x:c r="A17" s="30" t="str">
        <x:v>委託經營-國外-權益證券</x:v>
      </x:c>
      <x:c r="B17" s="65" t="n">
        <x:f>SUMIFS('月度資產配置'!$E$4:$E$263,'月度資產配置'!$A$4:$A$263,$A$6,'月度資產配置'!$C$4:$C$263,"新制",'月度資產配置'!$D$4:$D$263,$A17)/(100000000)</x:f>
        <x:v>15744.26402328</x:v>
      </x:c>
      <x:c r="C17" s="65" t="n">
        <x:f>SUMIFS('月度資產配置'!$E$4:$E$263,'月度資產配置'!$A$4:$A$263,$A$6,'月度資產配置'!$C$4:$C$263,"舊制",'月度資產配置'!$D$4:$D$263,$A17)/(100000000)</x:f>
        <x:v>2438.69586211</x:v>
      </x:c>
      <x:c r="D17" s="65" t="n">
        <x:f>SUMIFS('月度資產配置'!$E$4:$E$263,'月度資產配置'!$A$4:$A$263,$A$6,'月度資產配置'!$C$4:$C$263,"勞工保險",'月度資產配置'!$D$4:$D$263,$A17)/(100000000)</x:f>
        <x:v>2249.86107597</x:v>
      </x:c>
      <x:c r="E17" s="65" t="n">
        <x:f>SUMIFS('月度資產配置'!$E$4:$E$263,'月度資產配置'!$A$4:$A$263,$A$6,'月度資產配置'!$C$4:$C$263,"國民年金",'月度資產配置'!$D$4:$D$263,$A17)/(100000000)</x:f>
        <x:v>1700.76314183</x:v>
      </x:c>
      <x:c r="F17" s="66" t="n">
        <x:f>SUM(B17:E17)</x:f>
        <x:v>22133.584103189998</x:v>
      </x:c>
      <x:c r="V17" t="str">
        <x:v>國外委託經營 - 固定收益</x:v>
      </x:c>
      <x:c r="W17" s="50" t="n">
        <x:f>IFERROR(SUMIFS('月度資產配置'!$F$4:$F$263,'月度資產配置'!$A$4:$A$263,$A$6,'月度資產配置'!$C$4:$C$263,"新制",'月度資產配置'!$D$4:$D$263,"委託經營-國外-固定收益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0.09980000000000001</x:v>
      </x:c>
      <x:c r="X17" t="str">
        <x:v>國外委託經營 - 固定收益</x:v>
      </x:c>
      <x:c r="Y17" s="50" t="n">
        <x:f>IFERROR(SUMIFS('月度資產配置'!$F$4:$F$263,'月度資產配置'!$A$4:$A$263,$A$6,'月度資產配置'!$C$4:$C$263,"舊制",'月度資產配置'!$D$4:$D$263,"委託經營-國外-固定收益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0.0917</x:v>
      </x:c>
      <x:c r="Z17" t="str">
        <x:v>國外委託經營 - 固定收益</x:v>
      </x:c>
      <x:c r="AA17" s="50" t="n">
        <x:f>IFERROR(SUMIFS('月度資產配置'!$F$4:$F$263,'月度資產配置'!$A$4:$A$263,$A$6,'月度資產配置'!$C$4:$C$263,"勞工保險",'月度資產配置'!$D$4:$D$263,"委託經營-國外-固定收益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0.057300000000000004</x:v>
      </x:c>
      <x:c r="AB17" t="str">
        <x:v>國外委託經營 - 固定收益</x:v>
      </x:c>
      <x:c r="AC17" s="50" t="n">
        <x:f>IFERROR(SUMIFS('月度資產配置'!$F$4:$F$263,'月度資產配置'!$A$4:$A$263,$A$6,'月度資產配置'!$C$4:$C$263,"國民年金",'月度資產配置'!$D$4:$D$263,"委託經營-國外-固定收益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0.0487</x:v>
      </x:c>
      <x:c r="AD17" t="str">
        <x:v>國外委託經營 - 固定收益</x:v>
      </x:c>
      <x:c r="AE17" s="50" t="n">
        <x:f>IFERROR(SUMIFS('月度資產配置'!$F$4:$F$263,'月度資產配置'!$A$4:$A$263,$A$6,'月度資產配置'!$D$4:$D$263,"委託經營-國外-固定收益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0.07437500000000001</x:v>
      </x:c>
    </x:row>
    <x:row r="18">
      <x:c r="A18" s="30" t="str">
        <x:v>委託經營-國外-另類投資</x:v>
      </x:c>
      <x:c r="B18" s="65" t="n">
        <x:f>SUMIFS('月度資產配置'!$E$4:$E$263,'月度資產配置'!$A$4:$A$263,$A$6,'月度資產配置'!$C$4:$C$263,"新制",'月度資產配置'!$D$4:$D$263,$A18)/(100000000)</x:f>
        <x:v>5838.75182966</x:v>
      </x:c>
      <x:c r="C18" s="65" t="n">
        <x:f>SUMIFS('月度資產配置'!$E$4:$E$263,'月度資產配置'!$A$4:$A$263,$A$6,'月度資產配置'!$C$4:$C$263,"舊制",'月度資產配置'!$D$4:$D$263,$A18)/(100000000)</x:f>
        <x:v>1207.10845465</x:v>
      </x:c>
      <x:c r="D18" s="65" t="n">
        <x:f>SUMIFS('月度資產配置'!$E$4:$E$263,'月度資產配置'!$A$4:$A$263,$A$6,'月度資產配置'!$C$4:$C$263,"勞工保險",'月度資產配置'!$D$4:$D$263,$A18)/(100000000)</x:f>
        <x:v>1381.29973312</x:v>
      </x:c>
      <x:c r="E18" s="65" t="n">
        <x:f>SUMIFS('月度資產配置'!$E$4:$E$263,'月度資產配置'!$A$4:$A$263,$A$6,'月度資產配置'!$C$4:$C$263,"國民年金",'月度資產配置'!$D$4:$D$263,$A18)/(100000000)</x:f>
        <x:v>302.8003688</x:v>
      </x:c>
      <x:c r="F18" s="66" t="n">
        <x:f>SUM(B18:E18)</x:f>
        <x:v>8729.960386230001</x:v>
      </x:c>
      <x:c r="V18" t="str">
        <x:v>國外委託經營 - 權益證券</x:v>
      </x:c>
      <x:c r="W18" s="50" t="n">
        <x:f>IFERROR(SUMIFS('月度資產配置'!$F$4:$F$263,'月度資產配置'!$A$4:$A$263,$A$6,'月度資產配置'!$C$4:$C$263,"新制",'月度資產配置'!$D$4:$D$263,"委託經營-國外-權益證券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0.26360000000000006</x:v>
      </x:c>
      <x:c r="X18" t="str">
        <x:v>國外委託經營 - 權益證券</x:v>
      </x:c>
      <x:c r="Y18" s="50" t="n">
        <x:f>IFERROR(SUMIFS('月度資產配置'!$F$4:$F$263,'月度資產配置'!$A$4:$A$263,$A$6,'月度資產配置'!$C$4:$C$263,"舊制",'月度資產配置'!$D$4:$D$263,"委託經營-國外-權益證券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0.203</x:v>
      </x:c>
      <x:c r="Z18" t="str">
        <x:v>國外委託經營 - 權益證券</x:v>
      </x:c>
      <x:c r="AA18" s="50" t="n">
        <x:f>IFERROR(SUMIFS('月度資產配置'!$F$4:$F$263,'月度資產配置'!$A$4:$A$263,$A$6,'月度資產配置'!$C$4:$C$263,"勞工保險",'月度資產配置'!$D$4:$D$263,"委託經營-國外-權益證券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0.1358</x:v>
      </x:c>
      <x:c r="AB18" t="str">
        <x:v>國外委託經營 - 權益證券</x:v>
      </x:c>
      <x:c r="AC18" s="50" t="n">
        <x:f>IFERROR(SUMIFS('月度資產配置'!$F$4:$F$263,'月度資產配置'!$A$4:$A$263,$A$6,'月度資產配置'!$C$4:$C$263,"國民年金",'月度資產配置'!$D$4:$D$263,"委託經營-國外-權益證券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0.19190000000000002</x:v>
      </x:c>
      <x:c r="AD18" t="str">
        <x:v>國外委託經營 - 權益證券</x:v>
      </x:c>
      <x:c r="AE18" s="50" t="n">
        <x:f>IFERROR(SUMIFS('月度資產配置'!$F$4:$F$263,'月度資產配置'!$A$4:$A$263,$A$6,'月度資產配置'!$D$4:$D$263,"委託經營-國外-權益證券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0.198575</x:v>
      </x:c>
    </x:row>
    <x:row r="19">
      <x:c r="A19" s="30" t="str">
        <x:v>轉存金融機構</x:v>
      </x:c>
      <x:c r="B19" s="65" t="n">
        <x:f>SUMIFS('月度資產配置'!$E$4:$E$263,'月度資產配置'!$A$4:$A$263,$A$6,'月度資產配置'!$C$4:$C$263,"新制",'月度資產配置'!$D$4:$D$263,$A19)/(100000000)</x:f>
        <x:v>4782.91754572</x:v>
      </x:c>
      <x:c r="C19" s="65" t="n">
        <x:f>SUMIFS('月度資產配置'!$E$4:$E$263,'月度資產配置'!$A$4:$A$263,$A$6,'月度資產配置'!$C$4:$C$263,"舊制",'月度資產配置'!$D$4:$D$263,$A19)/(100000000)</x:f>
        <x:v>2438.18801079</x:v>
      </x:c>
      <x:c r="D19" s="65" t="n">
        <x:f>SUMIFS('月度資產配置'!$E$4:$E$263,'月度資產配置'!$A$4:$A$263,$A$6,'月度資產配置'!$C$4:$C$263,"勞工保險",'月度資產配置'!$D$4:$D$263,$A19)/(100000000)</x:f>
        <x:v>1628.5862642</x:v>
      </x:c>
      <x:c r="E19" s="65" t="n">
        <x:f>SUMIFS('月度資產配置'!$E$4:$E$263,'月度資產配置'!$A$4:$A$263,$A$6,'月度資產配置'!$C$4:$C$263,"國民年金",'月度資產配置'!$D$4:$D$263,$A19)/(100000000)</x:f>
        <x:v>424.96498692</x:v>
      </x:c>
      <x:c r="F19" s="66" t="n">
        <x:f>SUM(B19:E19)</x:f>
        <x:v>9274.65680763</x:v>
      </x:c>
      <x:c r="V19" t="str">
        <x:v>國外委託經營 - 另類投資</x:v>
      </x:c>
      <x:c r="W19" s="50" t="n">
        <x:f>IFERROR(SUMIFS('月度資產配置'!$F$4:$F$263,'月度資產配置'!$A$4:$A$263,$A$6,'月度資產配置'!$C$4:$C$263,"新制",'月度資產配置'!$D$4:$D$263,"委託經營-國外-另類投資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0.09780000000000001</x:v>
      </x:c>
      <x:c r="X19" t="str">
        <x:v>國外委託經營 - 另類投資</x:v>
      </x:c>
      <x:c r="Y19" s="50" t="n">
        <x:f>IFERROR(SUMIFS('月度資產配置'!$F$4:$F$263,'月度資產配置'!$A$4:$A$263,$A$6,'月度資產配置'!$C$4:$C$263,"舊制",'月度資產配置'!$D$4:$D$263,"委託經營-國外-另類投資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0.1005</x:v>
      </x:c>
      <x:c r="Z19" t="str">
        <x:v>國外委託經營 - 另類投資</x:v>
      </x:c>
      <x:c r="AA19" s="50" t="n">
        <x:f>IFERROR(SUMIFS('月度資產配置'!$F$4:$F$263,'月度資產配置'!$A$4:$A$263,$A$6,'月度資產配置'!$C$4:$C$263,"勞工保險",'月度資產配置'!$D$4:$D$263,"委託經營-國外-另類投資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0.0834</x:v>
      </x:c>
      <x:c r="AB19" t="str">
        <x:v>國外委託經營 - 另類投資</x:v>
      </x:c>
      <x:c r="AC19" s="50" t="n">
        <x:f>IFERROR(SUMIFS('月度資產配置'!$F$4:$F$263,'月度資產配置'!$A$4:$A$263,$A$6,'月度資產配置'!$C$4:$C$263,"國民年金",'月度資產配置'!$D$4:$D$263,"委託經營-國外-另類投資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0.0342</x:v>
      </x:c>
      <x:c r="AD19" t="str">
        <x:v>國外委託經營 - 另類投資</x:v>
      </x:c>
      <x:c r="AE19" s="50" t="n">
        <x:f>IFERROR(SUMIFS('月度資產配置'!$F$4:$F$263,'月度資產配置'!$A$4:$A$263,$A$6,'月度資產配置'!$D$4:$D$263,"委託經營-國外-另類投資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0.078975</x:v>
      </x:c>
    </x:row>
    <x:row r="20">
      <x:c r="A20" s="30" t="str">
        <x:v>政策性貸款</x:v>
      </x:c>
      <x:c r="B20" s="65" t="n">
        <x:f>SUMIFS('月度資產配置'!$E$4:$E$263,'月度資產配置'!$A$4:$A$263,$A$6,'月度資產配置'!$C$4:$C$263,"新制",'月度資產配置'!$D$4:$D$263,$A20)/(100000000)</x:f>
        <x:v>0</x:v>
      </x:c>
      <x:c r="C20" s="65" t="n">
        <x:f>SUMIFS('月度資產配置'!$E$4:$E$263,'月度資產配置'!$A$4:$A$263,$A$6,'月度資產配置'!$C$4:$C$263,"舊制",'月度資產配置'!$D$4:$D$263,$A20)/(100000000)</x:f>
        <x:v>0</x:v>
      </x:c>
      <x:c r="D20" s="65" t="n">
        <x:f>SUMIFS('月度資產配置'!$E$4:$E$263,'月度資產配置'!$A$4:$A$263,$A$6,'月度資產配置'!$C$4:$C$263,"勞工保險",'月度資產配置'!$D$4:$D$263,$A20)/(100000000)</x:f>
        <x:v>0</x:v>
      </x:c>
      <x:c r="E20" s="65" t="n">
        <x:f>SUMIFS('月度資產配置'!$E$4:$E$263,'月度資產配置'!$A$4:$A$263,$A$6,'月度資產配置'!$C$4:$C$263,"國民年金",'月度資產配置'!$D$4:$D$263,$A20)/(100000000)</x:f>
        <x:v>0</x:v>
      </x:c>
      <x:c r="F20" s="66" t="n">
        <x:f>SUM(B20:E20)</x:f>
        <x:v>0</x:v>
      </x:c>
    </x:row>
    <x:row r="21">
      <x:c r="A21" s="30" t="str">
        <x:v>短期票券</x:v>
      </x:c>
      <x:c r="B21" s="65" t="n">
        <x:f>SUMIFS('月度資產配置'!$E$4:$E$263,'月度資產配置'!$A$4:$A$263,$A$6,'月度資產配置'!$C$4:$C$263,"新制",'月度資產配置'!$D$4:$D$263,$A21)/(100000000)</x:f>
        <x:v>1528.03509826</x:v>
      </x:c>
      <x:c r="C21" s="65" t="n">
        <x:f>SUMIFS('月度資產配置'!$E$4:$E$263,'月度資產配置'!$A$4:$A$263,$A$6,'月度資產配置'!$C$4:$C$263,"舊制",'月度資產配置'!$D$4:$D$263,$A21)/(100000000)</x:f>
        <x:v>735.24579727</x:v>
      </x:c>
      <x:c r="D21" s="65" t="n">
        <x:f>SUMIFS('月度資產配置'!$E$4:$E$263,'月度資產配置'!$A$4:$A$263,$A$6,'月度資產配置'!$C$4:$C$263,"勞工保險",'月度資產配置'!$D$4:$D$263,$A21)/(100000000)</x:f>
        <x:v>431.60086648</x:v>
      </x:c>
      <x:c r="E21" s="65" t="n">
        <x:f>SUMIFS('月度資產配置'!$E$4:$E$263,'月度資產配置'!$A$4:$A$263,$A$6,'月度資產配置'!$C$4:$C$263,"國民年金",'月度資產配置'!$D$4:$D$263,$A21)/(100000000)</x:f>
        <x:v>154.70496937</x:v>
      </x:c>
      <x:c r="F21" s="66" t="n">
        <x:f>SUM(B21:E21)</x:f>
        <x:v>2849.5867313800004</x:v>
      </x:c>
    </x:row>
    <x:row r="22">
      <x:c r="A22" s="30" t="str">
        <x:v>公債、公司債、金融債券及特別股</x:v>
      </x:c>
      <x:c r="B22" s="65" t="n">
        <x:f>SUMIFS('月度資產配置'!$E$4:$E$263,'月度資產配置'!$A$4:$A$263,$A$6,'月度資產配置'!$C$4:$C$263,"新制",'月度資產配置'!$D$4:$D$263,$A22)/(100000000)</x:f>
        <x:v>2517.34539206</x:v>
      </x:c>
      <x:c r="C22" s="65" t="n">
        <x:f>SUMIFS('月度資產配置'!$E$4:$E$263,'月度資產配置'!$A$4:$A$263,$A$6,'月度資產配置'!$C$4:$C$263,"舊制",'月度資產配置'!$D$4:$D$263,$A22)/(100000000)</x:f>
        <x:v>0</x:v>
      </x:c>
      <x:c r="D22" s="65" t="n">
        <x:f>SUMIFS('月度資產配置'!$E$4:$E$263,'月度資產配置'!$A$4:$A$263,$A$6,'月度資產配置'!$C$4:$C$263,"勞工保險",'月度資產配置'!$D$4:$D$263,$A22)/(100000000)</x:f>
        <x:v>727.26377661</x:v>
      </x:c>
      <x:c r="E22" s="65" t="n">
        <x:f>SUMIFS('月度資產配置'!$E$4:$E$263,'月度資產配置'!$A$4:$A$263,$A$6,'月度資產配置'!$C$4:$C$263,"國民年金",'月度資產配置'!$D$4:$D$263,$A22)/(100000000)</x:f>
        <x:v>612.12952203</x:v>
      </x:c>
      <x:c r="F22" s="66" t="n">
        <x:f>SUM(B22:E22)</x:f>
        <x:v>3856.7386907</x:v>
      </x:c>
    </x:row>
    <x:row r="23">
      <x:c r="A23" s="30" t="str">
        <x:v>公債、金融債券、公司債及證券化商品</x:v>
      </x:c>
      <x:c r="B23" s="65" t="n">
        <x:f>SUMIFS('月度資產配置'!$E$4:$E$263,'月度資產配置'!$A$4:$A$263,$A$6,'月度資產配置'!$C$4:$C$263,"新制",'月度資產配置'!$D$4:$D$263,$A23)/(100000000)</x:f>
        <x:v>0</x:v>
      </x:c>
      <x:c r="C23" s="65" t="n">
        <x:f>SUMIFS('月度資產配置'!$E$4:$E$263,'月度資產配置'!$A$4:$A$263,$A$6,'月度資產配置'!$C$4:$C$263,"舊制",'月度資產配置'!$D$4:$D$263,$A23)/(100000000)</x:f>
        <x:v>869.36556465</x:v>
      </x:c>
      <x:c r="D23" s="65" t="n">
        <x:f>SUMIFS('月度資產配置'!$E$4:$E$263,'月度資產配置'!$A$4:$A$263,$A$6,'月度資產配置'!$C$4:$C$263,"勞工保險",'月度資產配置'!$D$4:$D$263,$A23)/(100000000)</x:f>
        <x:v>0</x:v>
      </x:c>
      <x:c r="E23" s="65" t="n">
        <x:f>SUMIFS('月度資產配置'!$E$4:$E$263,'月度資產配置'!$A$4:$A$263,$A$6,'月度資產配置'!$C$4:$C$263,"國民年金",'月度資產配置'!$D$4:$D$263,$A23)/(100000000)</x:f>
        <x:v>0</x:v>
      </x:c>
      <x:c r="F23" s="66" t="n">
        <x:f>SUM(B23:E23)</x:f>
        <x:v>869.36556465</x:v>
      </x:c>
    </x:row>
    <x:row r="24">
      <x:c r="A24" s="30" t="str">
        <x:v>房屋及土地</x:v>
      </x:c>
      <x:c r="B24" s="65" t="n">
        <x:f>SUMIFS('月度資產配置'!$E$4:$E$263,'月度資產配置'!$A$4:$A$263,$A$6,'月度資產配置'!$C$4:$C$263,"新制",'月度資產配置'!$D$4:$D$263,$A24)/(100000000)</x:f>
        <x:v>0</x:v>
      </x:c>
      <x:c r="C24" s="65" t="n">
        <x:f>SUMIFS('月度資產配置'!$E$4:$E$263,'月度資產配置'!$A$4:$A$263,$A$6,'月度資產配置'!$C$4:$C$263,"舊制",'月度資產配置'!$D$4:$D$263,$A24)/(100000000)</x:f>
        <x:v>0</x:v>
      </x:c>
      <x:c r="D24" s="65" t="n">
        <x:f>SUMIFS('月度資產配置'!$E$4:$E$263,'月度資產配置'!$A$4:$A$263,$A$6,'月度資產配置'!$C$4:$C$263,"勞工保險",'月度資產配置'!$D$4:$D$263,$A24)/(100000000)</x:f>
        <x:v>15.69739937</x:v>
      </x:c>
      <x:c r="E24" s="65" t="n">
        <x:f>SUMIFS('月度資產配置'!$E$4:$E$263,'月度資產配置'!$A$4:$A$263,$A$6,'月度資產配置'!$C$4:$C$263,"國民年金",'月度資產配置'!$D$4:$D$263,$A24)/(100000000)</x:f>
        <x:v>0</x:v>
      </x:c>
      <x:c r="F24" s="66" t="n">
        <x:f>SUM(B24:E24)</x:f>
        <x:v>15.69739937</x:v>
      </x:c>
    </x:row>
    <x:row r="25">
      <x:c r="A25" s="30" t="str">
        <x:v>政府或公營事業貸款</x:v>
      </x:c>
      <x:c r="B25" s="65" t="n">
        <x:f>SUMIFS('月度資產配置'!$E$4:$E$263,'月度資產配置'!$A$4:$A$263,$A$6,'月度資產配置'!$C$4:$C$263,"新制",'月度資產配置'!$D$4:$D$263,$A25)/(100000000)</x:f>
        <x:v>0</x:v>
      </x:c>
      <x:c r="C25" s="65" t="n">
        <x:f>SUMIFS('月度資產配置'!$E$4:$E$263,'月度資產配置'!$A$4:$A$263,$A$6,'月度資產配置'!$C$4:$C$263,"舊制",'月度資產配置'!$D$4:$D$263,$A25)/(100000000)</x:f>
        <x:v>0</x:v>
      </x:c>
      <x:c r="D25" s="65" t="n">
        <x:f>SUMIFS('月度資產配置'!$E$4:$E$263,'月度資產配置'!$A$4:$A$263,$A$6,'月度資產配置'!$C$4:$C$263,"勞工保險",'月度資產配置'!$D$4:$D$263,$A25)/(100000000)</x:f>
        <x:v>7.5</x:v>
      </x:c>
      <x:c r="E25" s="65" t="n">
        <x:f>SUMIFS('月度資產配置'!$E$4:$E$263,'月度資產配置'!$A$4:$A$263,$A$6,'月度資產配置'!$C$4:$C$263,"國民年金",'月度資產配置'!$D$4:$D$263,$A25)/(100000000)</x:f>
        <x:v>0</x:v>
      </x:c>
      <x:c r="F25" s="66" t="n">
        <x:f>SUM(B25:E25)</x:f>
        <x:v>7.5</x:v>
      </x:c>
    </x:row>
    <x:row r="26">
      <x:c r="A26" s="30" t="str">
        <x:v>被保險人貸款</x:v>
      </x:c>
      <x:c r="B26" s="65" t="n">
        <x:f>SUMIFS('月度資產配置'!$E$4:$E$263,'月度資產配置'!$A$4:$A$263,$A$6,'月度資產配置'!$C$4:$C$263,"新制",'月度資產配置'!$D$4:$D$263,$A26)/(100000000)</x:f>
        <x:v>0</x:v>
      </x:c>
      <x:c r="C26" s="65" t="n">
        <x:f>SUMIFS('月度資產配置'!$E$4:$E$263,'月度資產配置'!$A$4:$A$263,$A$6,'月度資產配置'!$C$4:$C$263,"舊制",'月度資產配置'!$D$4:$D$263,$A26)/(100000000)</x:f>
        <x:v>0</x:v>
      </x:c>
      <x:c r="D26" s="65" t="n">
        <x:f>SUMIFS('月度資產配置'!$E$4:$E$263,'月度資產配置'!$A$4:$A$263,$A$6,'月度資產配置'!$C$4:$C$263,"勞工保險",'月度資產配置'!$D$4:$D$263,$A26)/(100000000)</x:f>
        <x:v>339.59565172</x:v>
      </x:c>
      <x:c r="E26" s="65" t="n">
        <x:f>SUMIFS('月度資產配置'!$E$4:$E$263,'月度資產配置'!$A$4:$A$263,$A$6,'月度資產配置'!$C$4:$C$263,"國民年金",'月度資產配置'!$D$4:$D$263,$A26)/(100000000)</x:f>
        <x:v>0</x:v>
      </x:c>
      <x:c r="F26" s="66" t="n">
        <x:f>SUM(B26:E26)</x:f>
        <x:v>339.59565172</x:v>
      </x:c>
    </x:row>
    <x:row r="27">
      <x:c r="A27" s="30" t="str">
        <x:v>股票及受益憑證投資（含期貨）</x:v>
      </x:c>
      <x:c r="B27" s="65" t="n">
        <x:f>SUMIFS('月度資產配置'!$E$4:$E$263,'月度資產配置'!$A$4:$A$263,$A$6,'月度資產配置'!$C$4:$C$263,"新制",'月度資產配置'!$D$4:$D$263,$A27)/(100000000)</x:f>
        <x:v>3115.55741999</x:v>
      </x:c>
      <x:c r="C27" s="65" t="n">
        <x:f>SUMIFS('月度資產配置'!$E$4:$E$263,'月度資產配置'!$A$4:$A$263,$A$6,'月度資產配置'!$C$4:$C$263,"舊制",'月度資產配置'!$D$4:$D$263,$A27)/(100000000)</x:f>
        <x:v>866.7977463</x:v>
      </x:c>
      <x:c r="D27" s="65" t="n">
        <x:f>SUMIFS('月度資產配置'!$E$4:$E$263,'月度資產配置'!$A$4:$A$263,$A$6,'月度資產配置'!$C$4:$C$263,"勞工保險",'月度資產配置'!$D$4:$D$263,$A27)/(100000000)</x:f>
        <x:v>5132.67409855</x:v>
      </x:c>
      <x:c r="E27" s="65" t="n">
        <x:f>SUMIFS('月度資產配置'!$E$4:$E$263,'月度資產配置'!$A$4:$A$263,$A$6,'月度資產配置'!$C$4:$C$263,"國民年金",'月度資產配置'!$D$4:$D$263,$A27)/(100000000)</x:f>
        <x:v>2321.96292425</x:v>
      </x:c>
      <x:c r="F27" s="66" t="n">
        <x:f>SUM(B27:E27)</x:f>
        <x:v>11436.992189089999</x:v>
      </x:c>
    </x:row>
    <x:row r="28">
      <x:c r="A28" s="33" t="str">
        <x:v>國外投資</x:v>
      </x:c>
      <x:c r="B28" s="67" t="n">
        <x:f>SUMIFS('月度資產配置'!$E$4:$E$263,'月度資產配置'!$A$4:$A$263,$A$6,'月度資產配置'!$C$4:$C$263,"新制",'月度資產配置'!$D$4:$D$263,$A28)/(100000000)</x:f>
        <x:v>8513.40644551</x:v>
      </x:c>
      <x:c r="C28" s="67" t="n">
        <x:f>SUMIFS('月度資產配置'!$E$4:$E$263,'月度資產配置'!$A$4:$A$263,$A$6,'月度資產配置'!$C$4:$C$263,"舊制",'月度資產配置'!$D$4:$D$263,$A28)/(100000000)</x:f>
        <x:v>518.54437267</x:v>
      </x:c>
      <x:c r="D28" s="67" t="n">
        <x:f>SUMIFS('月度資產配置'!$E$4:$E$263,'月度資產配置'!$A$4:$A$263,$A$6,'月度資產配置'!$C$4:$C$263,"勞工保險",'月度資產配置'!$D$4:$D$263,$A28)/(100000000)</x:f>
        <x:v>3019.41939259</x:v>
      </x:c>
      <x:c r="E28" s="67" t="n">
        <x:f>SUMIFS('月度資產配置'!$E$4:$E$263,'月度資產配置'!$A$4:$A$263,$A$6,'月度資產配置'!$C$4:$C$263,"國民年金",'月度資產配置'!$D$4:$D$263,$A28)/(100000000)</x:f>
        <x:v>1907.66953274</x:v>
      </x:c>
      <x:c r="F28" s="68" t="n">
        <x:f>SUM(B28:E28)</x:f>
        <x:v>13959.039743509999</x:v>
      </x:c>
    </x:row>
  </x:sheetData>
  <x:mergeCells>
    <x:mergeCell ref="A1:T1"/>
    <x:mergeCell ref="A3:T3"/>
  </x:mergeCells>
  <x:pageMargins left="0.7" right="0.7" top="0.75" bottom="0.75" header="0.3" footer="0.3"/>
  <x:drawing xmlns:r="http://schemas.openxmlformats.org/officeDocument/2006/relationships" r:id="R9ae98b5b7ab84d8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30" customHeight="1">
      <x:c r="A1" s="4" t="str">
        <x:v>勞動基金運用局｜四大基金月度運用與委外經營儀表板（美元）</x:v>
      </x:c>
      <x:c r="B1" s="4"/>
      <x:c r="C1" s="4"/>
      <x:c r="D1" s="4"/>
      <x:c r="E1" s="4"/>
      <x:c r="F1" s="4"/>
      <x:c r="G1" s="4"/>
      <x:c r="H1" s="69"/>
      <x:c r="I1" s="69"/>
      <x:c r="J1" s="69"/>
      <x:c r="K1" s="69"/>
      <x:c r="L1" s="4"/>
      <x:c r="M1" s="4"/>
      <x:c r="N1" s="4"/>
      <x:c r="O1" s="4"/>
      <x:c r="P1" s="4"/>
      <x:c r="Q1" s="4"/>
      <x:c r="R1" s="4"/>
      <x:c r="S1" s="4"/>
      <x:c r="T1" s="4"/>
    </x:row>
    <x:row r="3">
      <x:c r="A3" s="53" t="str">
        <x:v>資料範圍：115 年 1–7 月；勞保、國保為 115 年 7 月；金額單位：美元($B)（以臺銀 USD/TWD 即期賣出匯率換算；匯率資訊位於本頁下方）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</x:row>
    <x:row r="5">
      <x:c r="A5" s="15" t="str">
        <x:v>最新月份</x:v>
      </x:c>
      <x:c r="B5" s="16" t="str">
        <x:v>新制</x:v>
      </x:c>
      <x:c r="C5" s="16" t="str">
        <x:v>舊制</x:v>
      </x:c>
      <x:c r="D5" s="16" t="str">
        <x:v>勞工保險</x:v>
      </x:c>
      <x:c r="E5" s="16" t="str">
        <x:v>國民年金</x:v>
      </x:c>
      <x:c r="F5" s="17" t="str">
        <x:v>四大基金合計</x:v>
      </x:c>
      <x:c r="H5" s="15" t="str">
        <x:v>委外業者（最新月）</x:v>
      </x:c>
      <x:c r="I5" s="16" t="str">
        <x:v>國內</x:v>
      </x:c>
      <x:c r="J5" s="16" t="str">
        <x:v>國外</x:v>
      </x:c>
      <x:c r="K5" s="17" t="str">
        <x:v>備註</x:v>
      </x:c>
    </x:row>
    <x:row r="6">
      <x:c r="A6" s="60" t="n">
        <x:f>MAX('月度資產配置'!$A$4:$A$263)</x:f>
        <x:v>46204</x:v>
      </x:c>
      <x:c r="B6" s="70" t="n">
        <x:f>SUMIFS('月度資產配置'!$E$4:$E$263,'月度資產配置'!$A$4:$A$263,$A$6,'月度資產配置'!$C$4:$C$263,"新制",'月度資產配置'!$D$4:$D$263,"合計")/'儀表板(美元)'!$C$21/1000000000</x:f>
        <x:v>186.94291331485366</x:v>
      </x:c>
      <x:c r="C6" s="70" t="n">
        <x:f>SUMIFS('月度資產配置'!$E$4:$E$263,'月度資產配置'!$A$4:$A$263,$A$6,'月度資產配置'!$C$4:$C$263,"舊制",'月度資產配置'!$D$4:$D$263,"合計")/'儀表板(美元)'!$C$21/1000000000</x:f>
        <x:v>37.60814315129128</x:v>
      </x:c>
      <x:c r="D6" s="70" t="n">
        <x:f>SUMIFS('月度資產配置'!$E$4:$E$263,'月度資產配置'!$A$4:$A$263,$A$6,'月度資產配置'!$C$4:$C$263,"勞工保險",'月度資產配置'!$D$4:$D$263,"合計")/'儀表板(美元)'!$C$21/1000000000</x:f>
        <x:v>51.858527062231964</x:v>
      </x:c>
      <x:c r="E6" s="70" t="n">
        <x:f>SUMIFS('月度資產配置'!$E$4:$E$263,'月度資產配置'!$A$4:$A$263,$A$6,'月度資產配置'!$C$4:$C$263,"國民年金",'月度資產配置'!$D$4:$D$263,"合計")/'儀表板(美元)'!$C$21/1000000000</x:f>
        <x:v>27.742912713538896</x:v>
      </x:c>
      <x:c r="F6" s="71" t="n">
        <x:f>SUM(B6:E6)</x:f>
        <x:v>304.1524962419158</x:v>
      </x:c>
      <x:c r="H6" s="57" t="str">
        <x:v>業者數</x:v>
      </x:c>
      <x:c r="I6" s="58" t="n">
        <x:v>18</x:v>
      </x:c>
      <x:c r="J6" s="58" t="n">
        <x:v>46</x:v>
      </x:c>
      <x:c r="K6" s="59" t="str">
        <x:v>詳見「業者彙總」</x:v>
      </x:c>
    </x:row>
    <x:row r="9">
      <x:c r="A9" s="15" t="str">
        <x:v>資產配置（最新月份，美元($B)）</x:v>
      </x:c>
      <x:c r="B9" s="16" t="str">
        <x:v>新制</x:v>
      </x:c>
      <x:c r="C9" s="16" t="str">
        <x:v>舊制</x:v>
      </x:c>
      <x:c r="D9" s="16" t="str">
        <x:v>勞保</x:v>
      </x:c>
      <x:c r="E9" s="16" t="str">
        <x:v>國保</x:v>
      </x:c>
      <x:c r="F9" s="17" t="str">
        <x:v>四大基金合計</x:v>
      </x:c>
      <x:c r="H9" s="15" t="str">
        <x:v>甜甜圈中心資訊</x:v>
      </x:c>
      <x:c r="I9" s="16" t="str">
        <x:v>新制</x:v>
      </x:c>
      <x:c r="J9" s="16" t="str">
        <x:v>舊制</x:v>
      </x:c>
      <x:c r="K9" s="17" t="str">
        <x:v>四大基金</x:v>
      </x:c>
    </x:row>
    <x:row r="10">
      <x:c r="A10" s="27" t="str">
        <x:v>自行運用</x:v>
      </x:c>
      <x:c r="B10" s="72" t="n">
        <x:f>SUMIFS('月度資產配置'!$E$4:$E$263,'月度資產配置'!$A$4:$A$263,$A$6,'月度資產配置'!$C$4:$C$263,"新制",'月度資產配置'!$D$4:$D$263,$A10)/(1000000000*'儀表板(美元)'!$C$21)</x:f>
        <x:v>64.03901049159492</x:v>
      </x:c>
      <x:c r="C10" s="72" t="n">
        <x:f>SUMIFS('月度資產配置'!$E$4:$E$263,'月度資產配置'!$A$4:$A$263,$A$6,'月度資產配置'!$C$4:$C$263,"舊制",'月度資產配置'!$D$4:$D$263,$A10)/(1000000000*'儀表板(美元)'!$C$21)</x:f>
        <x:v>16.992147414869308</x:v>
      </x:c>
      <x:c r="D10" s="72" t="n">
        <x:f>SUMIFS('月度資產配置'!$E$4:$E$263,'月度資產配置'!$A$4:$A$263,$A$6,'月度資產配置'!$C$4:$C$263,"勞工保險",'月度資產配置'!$D$4:$D$263,$A10)/(1000000000*'儀表板(美元)'!$C$21)</x:f>
        <x:v>35.38061496171545</x:v>
      </x:c>
      <x:c r="E10" s="72" t="n">
        <x:f>SUMIFS('月度資產配置'!$E$4:$E$263,'月度資產配置'!$A$4:$A$263,$A$6,'月度資產配置'!$C$4:$C$263,"國民年金",'月度資產配置'!$D$4:$D$263,$A10)/(1000000000*'儀表板(美元)'!$C$21)</x:f>
        <x:v>16.97114395151041</x:v>
      </x:c>
      <x:c r="F10" s="73" t="n">
        <x:f>SUM(B10:E10)</x:f>
        <x:v>133.38291681969008</x:v>
      </x:c>
      <x:c r="H10" s="27" t="str">
        <x:v>中心資訊</x:v>
      </x:c>
      <x:c r="I10" s="28" t="str">
        <x:v>每張甜甜圈顯示該基金資產規模</x:v>
      </x:c>
      <x:c r="J10" s="28" t="str">
        <x:v>金額依左表與匯率公式更新</x:v>
      </x:c>
      <x:c r="K10" s="29" t="str">
        <x:v>中心數字為目前期末資產</x:v>
      </x:c>
    </x:row>
    <x:row r="11">
      <x:c r="A11" s="30" t="str">
        <x:v>委託經營</x:v>
      </x:c>
      <x:c r="B11" s="74" t="n">
        <x:f>SUMIFS('月度資產配置'!$E$4:$E$263,'月度資產配置'!$A$4:$A$263,$A$6,'月度資產配置'!$C$4:$C$263,"新制",'月度資產配置'!$D$4:$D$263,$A11)/(1000000000*'儀表板(美元)'!$C$21)</x:f>
        <x:v>122.90390282325873</x:v>
      </x:c>
      <x:c r="C11" s="74" t="n">
        <x:f>SUMIFS('月度資產配置'!$E$4:$E$263,'月度資產配置'!$A$4:$A$263,$A$6,'月度資產配置'!$C$4:$C$263,"舊制",'月度資產配置'!$D$4:$D$263,$A11)/(1000000000*'儀表板(美元)'!$C$21)</x:f>
        <x:v>20.615995736421976</x:v>
      </x:c>
      <x:c r="D11" s="74" t="n">
        <x:f>SUMIFS('月度資產配置'!$E$4:$E$263,'月度資產配置'!$A$4:$A$263,$A$6,'月度資產配置'!$C$4:$C$263,"勞工保險",'月度資產配置'!$D$4:$D$263,$A11)/(1000000000*'儀表板(美元)'!$C$21)</x:f>
        <x:v>16.477912100516512</x:v>
      </x:c>
      <x:c r="E11" s="74" t="n">
        <x:f>SUMIFS('月度資產配置'!$E$4:$E$263,'月度資產配置'!$A$4:$A$263,$A$6,'月度資產配置'!$C$4:$C$263,"國民年金",'月度資產配置'!$D$4:$D$263,$A11)/(1000000000*'儀表板(美元)'!$C$21)</x:f>
        <x:v>10.771768762028486</x:v>
      </x:c>
      <x:c r="F11" s="75" t="n">
        <x:f>SUM(B11:E11)</x:f>
        <x:v>170.76957942222572</x:v>
      </x:c>
      <x:c r="H11" s="30" t="str">
        <x:v>配色</x:v>
      </x:c>
      <x:c r="I11" s="31" t="str">
        <x:v>藍色：自行運用（深淺）</x:v>
      </x:c>
      <x:c r="J11" s="31" t="str">
        <x:v>橘色：委託經營（深淺）</x:v>
      </x:c>
      <x:c r="K11" s="32" t="str">
        <x:v>圓環扇形顯示配置占比</x:v>
      </x:c>
      <x:c r="V11" t="str">
        <x:v>資產類別</x:v>
      </x:c>
      <x:c r="W11" t="str">
        <x:v>占比</x:v>
      </x:c>
      <x:c r="X11" t="str">
        <x:v>資產類別</x:v>
      </x:c>
      <x:c r="Y11" t="str">
        <x:v>占比</x:v>
      </x:c>
      <x:c r="Z11" t="str">
        <x:v>資產類別</x:v>
      </x:c>
      <x:c r="AA11" t="str">
        <x:v>占比</x:v>
      </x:c>
      <x:c r="AB11" t="str">
        <x:v>資產類別</x:v>
      </x:c>
      <x:c r="AC11" t="str">
        <x:v>占比</x:v>
      </x:c>
      <x:c r="AD11" t="str">
        <x:v>資產類別</x:v>
      </x:c>
      <x:c r="AE11" t="str">
        <x:v>占比</x:v>
      </x:c>
    </x:row>
    <x:row r="12">
      <x:c r="A12" s="30" t="str">
        <x:v>自行運用-國外-固定收益</x:v>
      </x:c>
      <x:c r="B12" s="74" t="n">
        <x:f>SUMIFS('月度資產配置'!$E$4:$E$263,'月度資產配置'!$A$4:$A$263,$A$6,'月度資產配置'!$C$4:$C$263,"新制",'月度資產配置'!$D$4:$D$263,$A12)/(1000000000*'儀表板(美元)'!$C$21)</x:f>
        <x:v>22.574867980278604</x:v>
      </x:c>
      <x:c r="C12" s="74" t="n">
        <x:f>SUMIFS('月度資產配置'!$E$4:$E$263,'月度資產配置'!$A$4:$A$263,$A$6,'月度資產配置'!$C$4:$C$263,"舊制",'月度資產配置'!$D$4:$D$263,$A12)/(1000000000*'儀表板(美元)'!$C$21)</x:f>
        <x:v>0.9333060021599624</x:v>
      </x:c>
      <x:c r="D12" s="74" t="n">
        <x:f>SUMIFS('月度資產配置'!$E$4:$E$263,'月度資產配置'!$A$4:$A$263,$A$6,'月度資產配置'!$C$4:$C$263,"勞工保險",'月度資產配置'!$D$4:$D$263,$A12)/(1000000000*'儀表板(美元)'!$C$21)</x:f>
        <x:v>5.970197069619659</x:v>
      </x:c>
      <x:c r="E12" s="74" t="n">
        <x:f>SUMIFS('月度資產配置'!$E$4:$E$263,'月度資產配置'!$A$4:$A$263,$A$6,'月度資產配置'!$C$4:$C$263,"國民年金",'月度資產配置'!$D$4:$D$263,$A12)/(1000000000*'儀表板(美元)'!$C$21)</x:f>
        <x:v>3.396664459602442</x:v>
      </x:c>
      <x:c r="F12" s="75" t="n">
        <x:f>SUM(B12:E12)</x:f>
        <x:v>32.87503551166067</x:v>
      </x:c>
      <x:c r="H12" s="33" t="str">
        <x:v>匯率</x:v>
      </x:c>
      <x:c r="I12" s="34" t="str">
        <x:v>臺銀 USD/TWD 即期賣出</x:v>
      </x:c>
      <x:c r="J12" s="34" t="str">
        <x:v>詳見左下方匯率資訊</x:v>
      </x:c>
      <x:c r="K12" s="35" t="str">
        <x:v>來源與報價時間已註明</x:v>
      </x:c>
      <x:c r="V12" t="str">
        <x:v>自行運用 - 其他</x:v>
      </x:c>
      <x:c r="W12" s="50" t="n">
        <x:f>IFERROR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0.19999999999999998</x:v>
      </x:c>
      <x:c r="X12" t="str">
        <x:v>自行運用 - 其他</x:v>
      </x:c>
      <x:c r="Y12" s="50" t="n">
        <x:f>IFERROR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0.4086</x:v>
      </x:c>
      <x:c r="Z12" t="str">
        <x:v>自行運用 - 其他</x:v>
      </x:c>
      <x:c r="AA12" s="50" t="n">
        <x:f>IFERROR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0.5</x:v>
      </x:c>
      <x:c r="AB12" t="str">
        <x:v>自行運用 - 其他</x:v>
      </x:c>
      <x:c r="AC12" s="50" t="n">
        <x:f>IFERROR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0.3965</x:v>
      </x:c>
      <x:c r="AD12" t="str">
        <x:v>自行運用 - 其他</x:v>
      </x:c>
      <x:c r="AE12" s="50" t="n">
        <x:f>IFERROR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0.9830249999999999</x:v>
      </x:c>
    </x:row>
    <x:row r="13">
      <x:c r="A13" s="30" t="str">
        <x:v>自行運用-國外-權益證券</x:v>
      </x:c>
      <x:c r="B13" s="74" t="n">
        <x:f>SUMIFS('月度資產配置'!$E$4:$E$263,'月度資產配置'!$A$4:$A$263,$A$6,'月度資產配置'!$C$4:$C$263,"新制",'月度資產配置'!$D$4:$D$263,$A13)/(1000000000*'儀表板(美元)'!$C$21)</x:f>
        <x:v>2.630391689028017</x:v>
      </x:c>
      <x:c r="C13" s="74" t="n">
        <x:f>SUMIFS('月度資產配置'!$E$4:$E$263,'月度資產配置'!$A$4:$A$263,$A$6,'月度資產配置'!$C$4:$C$263,"舊制",'月度資產配置'!$D$4:$D$263,$A13)/(1000000000*'儀表板(美元)'!$C$21)</x:f>
        <x:v>0.6899351080920332</x:v>
      </x:c>
      <x:c r="D13" s="74" t="n">
        <x:f>SUMIFS('月度資產配置'!$E$4:$E$263,'月度資產配置'!$A$4:$A$263,$A$6,'月度資產配置'!$C$4:$C$263,"勞工保險",'月度資產配置'!$D$4:$D$263,$A13)/(1000000000*'儀表板(美元)'!$C$21)</x:f>
        <x:v>3.1343015699483487</x:v>
      </x:c>
      <x:c r="E13" s="74" t="n">
        <x:f>SUMIFS('月度資產配置'!$E$4:$E$263,'月度資產配置'!$A$4:$A$263,$A$6,'月度資產配置'!$C$4:$C$263,"國民年金",'月度資產配置'!$D$4:$D$263,$A13)/(1000000000*'儀表板(美元)'!$C$21)</x:f>
        <x:v>1.8538066130223823</x:v>
      </x:c>
      <x:c r="F13" s="75" t="n">
        <x:f>SUM(B13:E13)</x:f>
        <x:v>8.30843498009078</x:v>
      </x:c>
      <x:c r="V13" t="str">
        <x:v>自行運用 - 固定收益</x:v>
      </x:c>
      <x:c r="W13" s="50" t="n">
        <x:f>IFERROR(SUMIFS('月度資產配置'!$F$4:$F$263,'月度資產配置'!$A$4:$A$263,$A$6,'月度資產配置'!$C$4:$C$263,"新制",'月度資產配置'!$D$4:$D$263,"自行運用-國外-固定收益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0.12080000000000002</x:v>
      </x:c>
      <x:c r="X13" t="str">
        <x:v>自行運用 - 固定收益</x:v>
      </x:c>
      <x:c r="Y13" s="50" t="n">
        <x:f>IFERROR(SUMIFS('月度資產配置'!$F$4:$F$263,'月度資產配置'!$A$4:$A$263,$A$6,'月度資產配置'!$C$4:$C$263,"舊制",'月度資產配置'!$D$4:$D$263,"自行運用-國外-固定收益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0.0248</x:v>
      </x:c>
      <x:c r="Z13" t="str">
        <x:v>自行運用 - 固定收益</x:v>
      </x:c>
      <x:c r="AA13" s="50" t="n">
        <x:f>IFERROR(SUMIFS('月度資產配置'!$F$4:$F$263,'月度資產配置'!$A$4:$A$263,$A$6,'月度資產配置'!$C$4:$C$263,"勞工保險",'月度資產配置'!$D$4:$D$263,"自行運用-國外-固定收益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0.1151</x:v>
      </x:c>
      <x:c r="AB13" t="str">
        <x:v>自行運用 - 固定收益</x:v>
      </x:c>
      <x:c r="AC13" s="50" t="n">
        <x:f>IFERROR(SUMIFS('月度資產配置'!$F$4:$F$263,'月度資產配置'!$A$4:$A$263,$A$6,'月度資產配置'!$C$4:$C$263,"國民年金",'月度資產配置'!$D$4:$D$263,"自行運用-國外-固定收益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0.12240000000000001</x:v>
      </x:c>
      <x:c r="AD13" t="str">
        <x:v>自行運用 - 固定收益</x:v>
      </x:c>
      <x:c r="AE13" s="50" t="n">
        <x:f>IFERROR(SUMIFS('月度資產配置'!$F$4:$F$263,'月度資產配置'!$A$4:$A$263,$A$6,'月度資產配置'!$D$4:$D$263,"自行運用-國外-固定收益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0.095775</x:v>
      </x:c>
    </x:row>
    <x:row r="14">
      <x:c r="A14" s="30" t="str">
        <x:v>自行運用-國外-另類投資</x:v>
      </x:c>
      <x:c r="B14" s="74" t="n">
        <x:f>SUMIFS('月度資產配置'!$E$4:$E$263,'月度資產配置'!$A$4:$A$263,$A$6,'月度資產配置'!$C$4:$C$263,"新制",'月度資產配置'!$D$4:$D$263,$A14)/(1000000000*'儀表板(美元)'!$C$21)</x:f>
        <x:v>1.444940504460792</x:v>
      </x:c>
      <x:c r="C14" s="74" t="n">
        <x:f>SUMIFS('月度資產配置'!$E$4:$E$263,'月度資產配置'!$A$4:$A$263,$A$6,'月度資產配置'!$C$4:$C$263,"舊制",'月度資產配置'!$D$4:$D$263,$A14)/(1000000000*'儀表板(美元)'!$C$21)</x:f>
        <x:v>0</x:v>
      </x:c>
      <x:c r="D14" s="74" t="n">
        <x:f>SUMIFS('月度資產配置'!$E$4:$E$263,'月度資產配置'!$A$4:$A$263,$A$6,'月度資產配置'!$C$4:$C$263,"勞工保險",'月度資產配置'!$D$4:$D$263,$A14)/(1000000000*'儀表板(美元)'!$C$21)</x:f>
        <x:v>0.3474324688683675</x:v>
      </x:c>
      <x:c r="E14" s="74" t="n">
        <x:f>SUMIFS('月度資產配置'!$E$4:$E$263,'月度資產配置'!$A$4:$A$263,$A$6,'月度資產配置'!$C$4:$C$263,"國民年金",'月度資產配置'!$D$4:$D$263,$A14)/(1000000000*'儀表板(美元)'!$C$21)</x:f>
        <x:v>0.7212601301925184</x:v>
      </x:c>
      <x:c r="F14" s="75" t="n">
        <x:f>SUM(B14:E14)</x:f>
        <x:v>2.513633103521678</x:v>
      </x:c>
      <x:c r="V14" t="str">
        <x:v>自行運用 - 權益證券</x:v>
      </x:c>
      <x:c r="W14" s="50" t="n">
        <x:f>IFERROR(SUMIFS('月度資產配置'!$F$4:$F$263,'月度資產配置'!$A$4:$A$263,$A$6,'月度資產配置'!$C$4:$C$263,"新制",'月度資產配置'!$D$4:$D$263,"自行運用-國外-權益證券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0.014100000000000001</x:v>
      </x:c>
      <x:c r="X14" t="str">
        <x:v>自行運用 - 權益證券</x:v>
      </x:c>
      <x:c r="Y14" s="50" t="n">
        <x:f>IFERROR(SUMIFS('月度資產配置'!$F$4:$F$263,'月度資產配置'!$A$4:$A$263,$A$6,'月度資產配置'!$C$4:$C$263,"舊制",'月度資產配置'!$D$4:$D$263,"自行運用-國外-權益證券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0.0184</x:v>
      </x:c>
      <x:c r="Z14" t="str">
        <x:v>自行運用 - 權益證券</x:v>
      </x:c>
      <x:c r="AA14" s="50" t="n">
        <x:f>IFERROR(SUMIFS('月度資產配置'!$F$4:$F$263,'月度資產配置'!$A$4:$A$263,$A$6,'月度資產配置'!$C$4:$C$263,"勞工保險",'月度資產配置'!$D$4:$D$263,"自行運用-國外-權益證券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0.0604</x:v>
      </x:c>
      <x:c r="AB14" t="str">
        <x:v>自行運用 - 權益證券</x:v>
      </x:c>
      <x:c r="AC14" s="50" t="n">
        <x:f>IFERROR(SUMIFS('月度資產配置'!$F$4:$F$263,'月度資產配置'!$A$4:$A$263,$A$6,'月度資產配置'!$C$4:$C$263,"國民年金",'月度資產配置'!$D$4:$D$263,"自行運用-國外-權益證券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0.0668</x:v>
      </x:c>
      <x:c r="AD14" t="str">
        <x:v>自行運用 - 權益證券</x:v>
      </x:c>
      <x:c r="AE14" s="50" t="n">
        <x:f>IFERROR(SUMIFS('月度資產配置'!$F$4:$F$263,'月度資產配置'!$A$4:$A$263,$A$6,'月度資產配置'!$D$4:$D$263,"自行運用-國外-權益證券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0.039925</x:v>
      </x:c>
    </x:row>
    <x:row r="15">
      <x:c r="A15" s="30" t="str">
        <x:v>委託經營-國內-權益證券</x:v>
      </x:c>
      <x:c r="B15" s="74" t="n">
        <x:f>SUMIFS('月度資產配置'!$E$4:$E$263,'月度資產配置'!$A$4:$A$263,$A$6,'月度資產配置'!$C$4:$C$263,"新制",'月度資產配置'!$D$4:$D$263,$A15)/(1000000000*'儀表板(美元)'!$C$21)</x:f>
        <x:v>36.67544480535295</x:v>
      </x:c>
      <x:c r="C15" s="74" t="n">
        <x:f>SUMIFS('月度資產配置'!$E$4:$E$263,'月度資產配置'!$A$4:$A$263,$A$6,'月度資產配置'!$C$4:$C$263,"舊制",'月度資產配置'!$D$4:$D$263,$A15)/(1000000000*'儀表板(美元)'!$C$21)</x:f>
        <x:v>5.755327243981844</x:v>
      </x:c>
      <x:c r="D15" s="74" t="n">
        <x:f>SUMIFS('月度資產配置'!$E$4:$E$263,'月度資產配置'!$A$4:$A$263,$A$6,'月度資產配置'!$C$4:$C$263,"勞工保險",'月度資產配置'!$D$4:$D$263,$A15)/(1000000000*'儀表板(美元)'!$C$21)</x:f>
        <x:v>2.143093678040382</x:v>
      </x:c>
      <x:c r="E15" s="74" t="n">
        <x:f>SUMIFS('月度資產配置'!$E$4:$E$263,'月度資產配置'!$A$4:$A$263,$A$6,'月度資產配置'!$C$4:$C$263,"國民年金",'月度資產配置'!$D$4:$D$263,$A15)/(1000000000*'儀表板(美元)'!$C$21)</x:f>
        <x:v>3.1484056265143217</x:v>
      </x:c>
      <x:c r="F15" s="75" t="n">
        <x:f>SUM(B15:E15)</x:f>
        <x:v>47.7222713538895</x:v>
      </x:c>
      <x:c r="V15" t="str">
        <x:v>自行運用 - 另類投資</x:v>
      </x:c>
      <x:c r="W15" s="50" t="n">
        <x:f>IFERROR(SUMIFS('月度資產配置'!$F$4:$F$263,'月度資產配置'!$A$4:$A$263,$A$6,'月度資產配置'!$C$4:$C$263,"新制",'月度資產配置'!$D$4:$D$263,"自行運用-國外-另類投資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0.007700000000000001</x:v>
      </x:c>
      <x:c r="X15" t="str">
        <x:v>自行運用 - 另類投資</x:v>
      </x:c>
      <x:c r="Y15" s="50" t="n">
        <x:f>IFERROR(SUMIFS('月度資產配置'!$F$4:$F$263,'月度資產配置'!$A$4:$A$263,$A$6,'月度資產配置'!$C$4:$C$263,"舊制",'月度資產配置'!$D$4:$D$263,"自行運用-國外-另類投資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</x:v>
      </x:c>
      <x:c r="Z15" t="str">
        <x:v>自行運用 - 另類投資</x:v>
      </x:c>
      <x:c r="AA15" s="50" t="n">
        <x:f>IFERROR(SUMIFS('月度資產配置'!$F$4:$F$263,'月度資產配置'!$A$4:$A$263,$A$6,'月度資產配置'!$C$4:$C$263,"勞工保險",'月度資產配置'!$D$4:$D$263,"自行運用-國外-另類投資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0.0067</x:v>
      </x:c>
      <x:c r="AB15" t="str">
        <x:v>自行運用 - 另類投資</x:v>
      </x:c>
      <x:c r="AC15" s="50" t="n">
        <x:f>IFERROR(SUMIFS('月度資產配置'!$F$4:$F$263,'月度資產配置'!$A$4:$A$263,$A$6,'月度資產配置'!$C$4:$C$263,"國民年金",'月度資產配置'!$D$4:$D$263,"自行運用-國外-另類投資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0.026000000000000002</x:v>
      </x:c>
      <x:c r="AD15" t="str">
        <x:v>自行運用 - 另類投資</x:v>
      </x:c>
      <x:c r="AE15" s="50" t="n">
        <x:f>IFERROR(SUMIFS('月度資產配置'!$F$4:$F$263,'月度資產配置'!$A$4:$A$263,$A$6,'月度資產配置'!$D$4:$D$263,"自行運用-國外-另類投資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0.010100000000000001</x:v>
      </x:c>
    </x:row>
    <x:row r="16">
      <x:c r="A16" s="30" t="str">
        <x:v>委託經營-國外-固定收益</x:v>
      </x:c>
      <x:c r="B16" s="74" t="n">
        <x:f>SUMIFS('月度資產配置'!$E$4:$E$263,'月度資產配置'!$A$4:$A$263,$A$6,'月度資產配置'!$C$4:$C$263,"新制",'月度資產配置'!$D$4:$D$263,$A16)/(1000000000*'儀表板(美元)'!$C$21)</x:f>
        <x:v>18.665409487807167</x:v>
      </x:c>
      <x:c r="C16" s="74" t="n">
        <x:f>SUMIFS('月度資產配置'!$E$4:$E$263,'月度資產配置'!$A$4:$A$263,$A$6,'月度資產配置'!$C$4:$C$263,"舊制",'月度資產配置'!$D$4:$D$263,$A16)/(1000000000*'儀表板(美元)'!$C$21)</x:f>
        <x:v>3.447914331350759</x:v>
      </x:c>
      <x:c r="D16" s="74" t="n">
        <x:f>SUMIFS('月度資產配置'!$E$4:$E$263,'月度資產配置'!$A$4:$A$263,$A$6,'月度資產配置'!$C$4:$C$263,"勞工保險",'月度資產配置'!$D$4:$D$263,$A16)/(1000000000*'儀表板(美元)'!$C$21)</x:f>
        <x:v>2.9679040099233056</x:v>
      </x:c>
      <x:c r="E16" s="74" t="n">
        <x:f>SUMIFS('月度資產配置'!$E$4:$E$263,'月度資產配置'!$A$4:$A$263,$A$6,'月度資產配置'!$C$4:$C$263,"國民年金",'月度資產配置'!$D$4:$D$263,$A16)/(1000000000*'儀表板(美元)'!$C$21)</x:f>
        <x:v>1.3514473094694006</x:v>
      </x:c>
      <x:c r="F16" s="75" t="n">
        <x:f>SUM(B16:E16)</x:f>
        <x:v>26.432675138550632</x:v>
      </x:c>
      <x:c r="V16" t="str">
        <x:v>國內委託經營 - 權益證券</x:v>
      </x:c>
      <x:c r="W16" s="50" t="n">
        <x:f>IFERROR(SUMIFS('月度資產配置'!$F$4:$F$263,'月度資產配置'!$A$4:$A$263,$A$6,'月度資產配置'!$C$4:$C$263,"新制",'月度資產配置'!$D$4:$D$263,"委託經營-國內-權益證券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0.19620000000000004</x:v>
      </x:c>
      <x:c r="X16" t="str">
        <x:v>國內委託經營 - 權益證券</x:v>
      </x:c>
      <x:c r="Y16" s="50" t="n">
        <x:f>IFERROR(SUMIFS('月度資產配置'!$F$4:$F$263,'月度資產配置'!$A$4:$A$263,$A$6,'月度資產配置'!$C$4:$C$263,"舊制",'月度資產配置'!$D$4:$D$263,"委託經營-國內-權益證券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0.153</x:v>
      </x:c>
      <x:c r="Z16" t="str">
        <x:v>國內委託經營 - 權益證券</x:v>
      </x:c>
      <x:c r="AA16" s="50" t="n">
        <x:f>IFERROR(SUMIFS('月度資產配置'!$F$4:$F$263,'月度資產配置'!$A$4:$A$263,$A$6,'月度資產配置'!$C$4:$C$263,"勞工保險",'月度資產配置'!$D$4:$D$263,"委託經營-國內-權益證券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0.041299999999999996</x:v>
      </x:c>
      <x:c r="AB16" t="str">
        <x:v>國內委託經營 - 權益證券</x:v>
      </x:c>
      <x:c r="AC16" s="50" t="n">
        <x:f>IFERROR(SUMIFS('月度資產配置'!$F$4:$F$263,'月度資產配置'!$A$4:$A$263,$A$6,'月度資產配置'!$C$4:$C$263,"國民年金",'月度資產配置'!$D$4:$D$263,"委託經營-國內-權益證券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0.11349999999999999</x:v>
      </x:c>
      <x:c r="AD16" t="str">
        <x:v>國內委託經營 - 權益證券</x:v>
      </x:c>
      <x:c r="AE16" s="50" t="n">
        <x:f>IFERROR(SUMIFS('月度資產配置'!$F$4:$F$263,'月度資產配置'!$A$4:$A$263,$A$6,'月度資產配置'!$D$4:$D$263,"委託經營-國內-權益證券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0.126</x:v>
      </x:c>
    </x:row>
    <x:row r="17">
      <x:c r="A17" s="30" t="str">
        <x:v>委託經營-國外-權益證券</x:v>
      </x:c>
      <x:c r="B17" s="74" t="n">
        <x:f>SUMIFS('月度資產配置'!$E$4:$E$263,'月度資產配置'!$A$4:$A$263,$A$6,'月度資產配置'!$C$4:$C$263,"新制",'月度資產配置'!$D$4:$D$263,$A17)/(1000000000*'儀表板(美元)'!$C$21)</x:f>
        <x:v>49.285534585318516</x:v>
      </x:c>
      <x:c r="C17" s="74" t="n">
        <x:f>SUMIFS('月度資產配置'!$E$4:$E$263,'月度資產配置'!$A$4:$A$263,$A$6,'月度資產配置'!$C$4:$C$263,"舊制",'月度資產配置'!$D$4:$D$263,$A17)/(1000000000*'儀表板(美元)'!$C$21)</x:f>
        <x:v>7.6340455849428706</x:v>
      </x:c>
      <x:c r="D17" s="74" t="n">
        <x:f>SUMIFS('月度資產配置'!$E$4:$E$263,'月度資產配置'!$A$4:$A$263,$A$6,'月度資產配置'!$C$4:$C$263,"勞工保險",'月度資產配置'!$D$4:$D$263,$A17)/(1000000000*'儀表板(美元)'!$C$21)</x:f>
        <x:v>7.042920882673345</x:v>
      </x:c>
      <x:c r="E17" s="74" t="n">
        <x:f>SUMIFS('月度資產配置'!$E$4:$E$263,'月度資產配置'!$A$4:$A$263,$A$6,'月度資產配置'!$C$4:$C$263,"國民年金",'月度資產配置'!$D$4:$D$263,$A17)/(1000000000*'儀表板(美元)'!$C$21)</x:f>
        <x:v>5.324035504241666</x:v>
      </x:c>
      <x:c r="F17" s="75" t="n">
        <x:f>SUM(B17:E17)</x:f>
        <x:v>69.28653655717639</x:v>
      </x:c>
      <x:c r="V17" t="str">
        <x:v>國外委託經營 - 固定收益</x:v>
      </x:c>
      <x:c r="W17" s="50" t="n">
        <x:f>IFERROR(SUMIFS('月度資產配置'!$F$4:$F$263,'月度資產配置'!$A$4:$A$263,$A$6,'月度資產配置'!$C$4:$C$263,"新制",'月度資產配置'!$D$4:$D$263,"委託經營-國外-固定收益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0.09980000000000001</x:v>
      </x:c>
      <x:c r="X17" t="str">
        <x:v>國外委託經營 - 固定收益</x:v>
      </x:c>
      <x:c r="Y17" s="50" t="n">
        <x:f>IFERROR(SUMIFS('月度資產配置'!$F$4:$F$263,'月度資產配置'!$A$4:$A$263,$A$6,'月度資產配置'!$C$4:$C$263,"舊制",'月度資產配置'!$D$4:$D$263,"委託經營-國外-固定收益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0.0917</x:v>
      </x:c>
      <x:c r="Z17" t="str">
        <x:v>國外委託經營 - 固定收益</x:v>
      </x:c>
      <x:c r="AA17" s="50" t="n">
        <x:f>IFERROR(SUMIFS('月度資產配置'!$F$4:$F$263,'月度資產配置'!$A$4:$A$263,$A$6,'月度資產配置'!$C$4:$C$263,"勞工保險",'月度資產配置'!$D$4:$D$263,"委託經營-國外-固定收益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0.057300000000000004</x:v>
      </x:c>
      <x:c r="AB17" t="str">
        <x:v>國外委託經營 - 固定收益</x:v>
      </x:c>
      <x:c r="AC17" s="50" t="n">
        <x:f>IFERROR(SUMIFS('月度資產配置'!$F$4:$F$263,'月度資產配置'!$A$4:$A$263,$A$6,'月度資產配置'!$C$4:$C$263,"國民年金",'月度資產配置'!$D$4:$D$263,"委託經營-國外-固定收益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0.0487</x:v>
      </x:c>
      <x:c r="AD17" t="str">
        <x:v>國外委託經營 - 固定收益</x:v>
      </x:c>
      <x:c r="AE17" s="50" t="n">
        <x:f>IFERROR(SUMIFS('月度資產配置'!$F$4:$F$263,'月度資產配置'!$A$4:$A$263,$A$6,'月度資產配置'!$D$4:$D$263,"委託經營-國外-固定收益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0.07437500000000001</x:v>
      </x:c>
    </x:row>
    <x:row r="18">
      <x:c r="A18" s="30" t="str">
        <x:v>委託經營-國外-另類投資</x:v>
      </x:c>
      <x:c r="B18" s="74" t="n">
        <x:f>SUMIFS('月度資產配置'!$E$4:$E$263,'月度資產配置'!$A$4:$A$263,$A$6,'月度資產配置'!$C$4:$C$263,"新制",'月度資產配置'!$D$4:$D$263,$A18)/(1000000000*'儀表板(美元)'!$C$21)</x:f>
        <x:v>18.27751394478009</x:v>
      </x:c>
      <x:c r="C18" s="74" t="n">
        <x:f>SUMIFS('月度資產配置'!$E$4:$E$263,'月度資產配置'!$A$4:$A$263,$A$6,'月度資產配置'!$C$4:$C$263,"舊制",'月度資產配置'!$D$4:$D$263,$A18)/(1000000000*'儀表板(美元)'!$C$21)</x:f>
        <x:v>3.778708576146502</x:v>
      </x:c>
      <x:c r="D18" s="74" t="n">
        <x:f>SUMIFS('月度資產配置'!$E$4:$E$263,'月度資產配置'!$A$4:$A$263,$A$6,'月度資產配置'!$C$4:$C$263,"勞工保險",'月度資產配置'!$D$4:$D$263,$A18)/(1000000000*'儀表板(美元)'!$C$21)</x:f>
        <x:v>4.3239935298794805</x:v>
      </x:c>
      <x:c r="E18" s="74" t="n">
        <x:f>SUMIFS('月度資產配置'!$E$4:$E$263,'月度資產配置'!$A$4:$A$263,$A$6,'月度資產配置'!$C$4:$C$263,"國民年金",'月度資產配置'!$D$4:$D$263,$A18)/(1000000000*'儀表板(美元)'!$C$21)</x:f>
        <x:v>0.9478803218030991</x:v>
      </x:c>
      <x:c r="F18" s="75" t="n">
        <x:f>SUM(B18:E18)</x:f>
        <x:v>27.32809637260917</x:v>
      </x:c>
      <x:c r="V18" t="str">
        <x:v>國外委託經營 - 權益證券</x:v>
      </x:c>
      <x:c r="W18" s="50" t="n">
        <x:f>IFERROR(SUMIFS('月度資產配置'!$F$4:$F$263,'月度資產配置'!$A$4:$A$263,$A$6,'月度資產配置'!$C$4:$C$263,"新制",'月度資產配置'!$D$4:$D$263,"委託經營-國外-權益證券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0.26360000000000006</x:v>
      </x:c>
      <x:c r="X18" t="str">
        <x:v>國外委託經營 - 權益證券</x:v>
      </x:c>
      <x:c r="Y18" s="50" t="n">
        <x:f>IFERROR(SUMIFS('月度資產配置'!$F$4:$F$263,'月度資產配置'!$A$4:$A$263,$A$6,'月度資產配置'!$C$4:$C$263,"舊制",'月度資產配置'!$D$4:$D$263,"委託經營-國外-權益證券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0.203</x:v>
      </x:c>
      <x:c r="Z18" t="str">
        <x:v>國外委託經營 - 權益證券</x:v>
      </x:c>
      <x:c r="AA18" s="50" t="n">
        <x:f>IFERROR(SUMIFS('月度資產配置'!$F$4:$F$263,'月度資產配置'!$A$4:$A$263,$A$6,'月度資產配置'!$C$4:$C$263,"勞工保險",'月度資產配置'!$D$4:$D$263,"委託經營-國外-權益證券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0.1358</x:v>
      </x:c>
      <x:c r="AB18" t="str">
        <x:v>國外委託經營 - 權益證券</x:v>
      </x:c>
      <x:c r="AC18" s="50" t="n">
        <x:f>IFERROR(SUMIFS('月度資產配置'!$F$4:$F$263,'月度資產配置'!$A$4:$A$263,$A$6,'月度資產配置'!$C$4:$C$263,"國民年金",'月度資產配置'!$D$4:$D$263,"委託經營-國外-權益證券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0.19190000000000002</x:v>
      </x:c>
      <x:c r="AD18" t="str">
        <x:v>國外委託經營 - 權益證券</x:v>
      </x:c>
      <x:c r="AE18" s="50" t="n">
        <x:f>IFERROR(SUMIFS('月度資產配置'!$F$4:$F$263,'月度資產配置'!$A$4:$A$263,$A$6,'月度資產配置'!$D$4:$D$263,"委託經營-國外-權益證券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0.198575</x:v>
      </x:c>
    </x:row>
    <x:row r="19">
      <x:c r="A19" s="30" t="str">
        <x:v>轉存金融機構</x:v>
      </x:c>
      <x:c r="B19" s="74" t="n">
        <x:f>SUMIFS('月度資產配置'!$E$4:$E$263,'月度資產配置'!$A$4:$A$263,$A$6,'月度資產配置'!$C$4:$C$263,"新制",'月度資產配置'!$D$4:$D$263,$A19)/(1000000000*'儀表板(美元)'!$C$21)</x:f>
        <x:v>14.972351058757239</x:v>
      </x:c>
      <x:c r="C19" s="74" t="n">
        <x:f>SUMIFS('月度資產配置'!$E$4:$E$263,'月度資產配置'!$A$4:$A$263,$A$6,'月度資產配置'!$C$4:$C$263,"舊制",'月度資產配置'!$D$4:$D$263,$A19)/(1000000000*'儀表板(美元)'!$C$21)</x:f>
        <x:v>7.632455817154484</x:v>
      </x:c>
      <x:c r="D19" s="74" t="n">
        <x:f>SUMIFS('月度資產配置'!$E$4:$E$263,'月度資產配置'!$A$4:$A$263,$A$6,'月度資產配置'!$C$4:$C$263,"勞工保險",'月度資產配置'!$D$4:$D$263,$A19)/(1000000000*'儀表板(美元)'!$C$21)</x:f>
        <x:v>5.098094425418688</x:v>
      </x:c>
      <x:c r="E19" s="74" t="n">
        <x:f>SUMIFS('月度資產配置'!$E$4:$E$263,'月度資產配置'!$A$4:$A$263,$A$6,'月度資產配置'!$C$4:$C$263,"國民年金",'月度資產配置'!$D$4:$D$263,$A19)/(1000000000*'儀表板(美元)'!$C$21)</x:f>
        <x:v>1.330302040757552</x:v>
      </x:c>
      <x:c r="F19" s="75" t="n">
        <x:f>SUM(B19:E19)</x:f>
        <x:v>29.033203342087965</x:v>
      </x:c>
      <x:c r="V19" t="str">
        <x:v>國外委託經營 - 另類投資</x:v>
      </x:c>
      <x:c r="W19" s="50" t="n">
        <x:f>IFERROR(SUMIFS('月度資產配置'!$F$4:$F$263,'月度資產配置'!$A$4:$A$263,$A$6,'月度資產配置'!$C$4:$C$263,"新制",'月度資產配置'!$D$4:$D$263,"委託經營-國外-另類投資")/(SUMIFS('月度資產配置'!$F$4:$F$263,'月度資產配置'!$A$4:$A$263,$A$6,'月度資產配置'!$C$4:$C$263,"新制",'月度資產配置'!$D$4:$D$263,"轉存金融機構")+SUMIFS('月度資產配置'!$F$4:$F$263,'月度資產配置'!$A$4:$A$263,$A$6,'月度資產配置'!$C$4:$C$263,"新制",'月度資產配置'!$D$4:$D$263,"政策性貸款")+SUMIFS('月度資產配置'!$F$4:$F$263,'月度資產配置'!$A$4:$A$263,$A$6,'月度資產配置'!$C$4:$C$263,"新制",'月度資產配置'!$D$4:$D$263,"短期票券")+SUMIFS('月度資產配置'!$F$4:$F$263,'月度資產配置'!$A$4:$A$263,$A$6,'月度資產配置'!$C$4:$C$263,"新制",'月度資產配置'!$D$4:$D$263,"公債、公司債、金融債券及特別股")+SUMIFS('月度資產配置'!$F$4:$F$263,'月度資產配置'!$A$4:$A$263,$A$6,'月度資產配置'!$C$4:$C$263,"新制",'月度資產配置'!$D$4:$D$263,"公債、金融債券、公司債及證券化商品")+SUMIFS('月度資產配置'!$F$4:$F$263,'月度資產配置'!$A$4:$A$263,$A$6,'月度資產配置'!$C$4:$C$263,"新制",'月度資產配置'!$D$4:$D$263,"房屋及土地")+SUMIFS('月度資產配置'!$F$4:$F$263,'月度資產配置'!$A$4:$A$263,$A$6,'月度資產配置'!$C$4:$C$263,"新制",'月度資產配置'!$D$4:$D$263,"政府或公營事業貸款")+SUMIFS('月度資產配置'!$F$4:$F$263,'月度資產配置'!$A$4:$A$263,$A$6,'月度資產配置'!$C$4:$C$263,"新制",'月度資產配置'!$D$4:$D$263,"被保險人貸款")+SUMIFS('月度資產配置'!$F$4:$F$263,'月度資產配置'!$A$4:$A$263,$A$6,'月度資產配置'!$C$4:$C$263,"新制",'月度資產配置'!$D$4:$D$263,"股票及受益憑證投資（含期貨）")+SUMIFS('月度資產配置'!$F$4:$F$263,'月度資產配置'!$A$4:$A$263,$A$6,'月度資產配置'!$C$4:$C$263,"新制",'月度資產配置'!$D$4:$D$263,"自行運用-國外-固定收益")+SUMIFS('月度資產配置'!$F$4:$F$263,'月度資產配置'!$A$4:$A$263,$A$6,'月度資產配置'!$C$4:$C$263,"新制",'月度資產配置'!$D$4:$D$263,"自行運用-國外-權益證券")+SUMIFS('月度資產配置'!$F$4:$F$263,'月度資產配置'!$A$4:$A$263,$A$6,'月度資產配置'!$C$4:$C$263,"新制",'月度資產配置'!$D$4:$D$263,"自行運用-國外-另類投資")+SUMIFS('月度資產配置'!$F$4:$F$263,'月度資產配置'!$A$4:$A$263,$A$6,'月度資產配置'!$C$4:$C$263,"新制",'月度資產配置'!$D$4:$D$263,"委託經營-國內-權益證券")+SUMIFS('月度資產配置'!$F$4:$F$263,'月度資產配置'!$A$4:$A$263,$A$6,'月度資產配置'!$C$4:$C$263,"新制",'月度資產配置'!$D$4:$D$263,"委託經營-國外-固定收益")+SUMIFS('月度資產配置'!$F$4:$F$263,'月度資產配置'!$A$4:$A$263,$A$6,'月度資產配置'!$C$4:$C$263,"新制",'月度資產配置'!$D$4:$D$263,"委託經營-國外-權益證券")+SUMIFS('月度資產配置'!$F$4:$F$263,'月度資產配置'!$A$4:$A$263,$A$6,'月度資產配置'!$C$4:$C$263,"新制",'月度資產配置'!$D$4:$D$263,"委託經營-國外-另類投資")),0)</x:f>
        <x:v>0.09780000000000001</x:v>
      </x:c>
      <x:c r="X19" t="str">
        <x:v>國外委託經營 - 另類投資</x:v>
      </x:c>
      <x:c r="Y19" s="50" t="n">
        <x:f>IFERROR(SUMIFS('月度資產配置'!$F$4:$F$263,'月度資產配置'!$A$4:$A$263,$A$6,'月度資產配置'!$C$4:$C$263,"舊制",'月度資產配置'!$D$4:$D$263,"委託經營-國外-另類投資")/(SUMIFS('月度資產配置'!$F$4:$F$263,'月度資產配置'!$A$4:$A$263,$A$6,'月度資產配置'!$C$4:$C$263,"舊制",'月度資產配置'!$D$4:$D$263,"轉存金融機構")+SUMIFS('月度資產配置'!$F$4:$F$263,'月度資產配置'!$A$4:$A$263,$A$6,'月度資產配置'!$C$4:$C$263,"舊制",'月度資產配置'!$D$4:$D$263,"政策性貸款")+SUMIFS('月度資產配置'!$F$4:$F$263,'月度資產配置'!$A$4:$A$263,$A$6,'月度資產配置'!$C$4:$C$263,"舊制",'月度資產配置'!$D$4:$D$263,"短期票券")+SUMIFS('月度資產配置'!$F$4:$F$263,'月度資產配置'!$A$4:$A$263,$A$6,'月度資產配置'!$C$4:$C$263,"舊制",'月度資產配置'!$D$4:$D$263,"公債、公司債、金融債券及特別股")+SUMIFS('月度資產配置'!$F$4:$F$263,'月度資產配置'!$A$4:$A$263,$A$6,'月度資產配置'!$C$4:$C$263,"舊制",'月度資產配置'!$D$4:$D$263,"公債、金融債券、公司債及證券化商品")+SUMIFS('月度資產配置'!$F$4:$F$263,'月度資產配置'!$A$4:$A$263,$A$6,'月度資產配置'!$C$4:$C$263,"舊制",'月度資產配置'!$D$4:$D$263,"房屋及土地")+SUMIFS('月度資產配置'!$F$4:$F$263,'月度資產配置'!$A$4:$A$263,$A$6,'月度資產配置'!$C$4:$C$263,"舊制",'月度資產配置'!$D$4:$D$263,"政府或公營事業貸款")+SUMIFS('月度資產配置'!$F$4:$F$263,'月度資產配置'!$A$4:$A$263,$A$6,'月度資產配置'!$C$4:$C$263,"舊制",'月度資產配置'!$D$4:$D$263,"被保險人貸款")+SUMIFS('月度資產配置'!$F$4:$F$263,'月度資產配置'!$A$4:$A$263,$A$6,'月度資產配置'!$C$4:$C$263,"舊制",'月度資產配置'!$D$4:$D$263,"股票及受益憑證投資（含期貨）")+SUMIFS('月度資產配置'!$F$4:$F$263,'月度資產配置'!$A$4:$A$263,$A$6,'月度資產配置'!$C$4:$C$263,"舊制",'月度資產配置'!$D$4:$D$263,"自行運用-國外-固定收益")+SUMIFS('月度資產配置'!$F$4:$F$263,'月度資產配置'!$A$4:$A$263,$A$6,'月度資產配置'!$C$4:$C$263,"舊制",'月度資產配置'!$D$4:$D$263,"自行運用-國外-權益證券")+SUMIFS('月度資產配置'!$F$4:$F$263,'月度資產配置'!$A$4:$A$263,$A$6,'月度資產配置'!$C$4:$C$263,"舊制",'月度資產配置'!$D$4:$D$263,"自行運用-國外-另類投資")+SUMIFS('月度資產配置'!$F$4:$F$263,'月度資產配置'!$A$4:$A$263,$A$6,'月度資產配置'!$C$4:$C$263,"舊制",'月度資產配置'!$D$4:$D$263,"委託經營-國內-權益證券")+SUMIFS('月度資產配置'!$F$4:$F$263,'月度資產配置'!$A$4:$A$263,$A$6,'月度資產配置'!$C$4:$C$263,"舊制",'月度資產配置'!$D$4:$D$263,"委託經營-國外-固定收益")+SUMIFS('月度資產配置'!$F$4:$F$263,'月度資產配置'!$A$4:$A$263,$A$6,'月度資產配置'!$C$4:$C$263,"舊制",'月度資產配置'!$D$4:$D$263,"委託經營-國外-權益證券")+SUMIFS('月度資產配置'!$F$4:$F$263,'月度資產配置'!$A$4:$A$263,$A$6,'月度資產配置'!$C$4:$C$263,"舊制",'月度資產配置'!$D$4:$D$263,"委託經營-國外-另類投資")),0)</x:f>
        <x:v>0.1005</x:v>
      </x:c>
      <x:c r="Z19" t="str">
        <x:v>國外委託經營 - 另類投資</x:v>
      </x:c>
      <x:c r="AA19" s="50" t="n">
        <x:f>IFERROR(SUMIFS('月度資產配置'!$F$4:$F$263,'月度資產配置'!$A$4:$A$263,$A$6,'月度資產配置'!$C$4:$C$263,"勞工保險",'月度資產配置'!$D$4:$D$263,"委託經營-國外-另類投資")/(SUMIFS('月度資產配置'!$F$4:$F$263,'月度資產配置'!$A$4:$A$263,$A$6,'月度資產配置'!$C$4:$C$263,"勞工保險",'月度資產配置'!$D$4:$D$263,"轉存金融機構")+SUMIFS('月度資產配置'!$F$4:$F$263,'月度資產配置'!$A$4:$A$263,$A$6,'月度資產配置'!$C$4:$C$263,"勞工保險",'月度資產配置'!$D$4:$D$263,"政策性貸款")+SUMIFS('月度資產配置'!$F$4:$F$263,'月度資產配置'!$A$4:$A$263,$A$6,'月度資產配置'!$C$4:$C$263,"勞工保險",'月度資產配置'!$D$4:$D$263,"短期票券")+SUMIFS('月度資產配置'!$F$4:$F$263,'月度資產配置'!$A$4:$A$263,$A$6,'月度資產配置'!$C$4:$C$263,"勞工保險",'月度資產配置'!$D$4:$D$263,"公債、公司債、金融債券及特別股")+SUMIFS('月度資產配置'!$F$4:$F$263,'月度資產配置'!$A$4:$A$263,$A$6,'月度資產配置'!$C$4:$C$263,"勞工保險",'月度資產配置'!$D$4:$D$263,"公債、金融債券、公司債及證券化商品")+SUMIFS('月度資產配置'!$F$4:$F$263,'月度資產配置'!$A$4:$A$263,$A$6,'月度資產配置'!$C$4:$C$263,"勞工保險",'月度資產配置'!$D$4:$D$263,"房屋及土地")+SUMIFS('月度資產配置'!$F$4:$F$263,'月度資產配置'!$A$4:$A$263,$A$6,'月度資產配置'!$C$4:$C$263,"勞工保險",'月度資產配置'!$D$4:$D$263,"政府或公營事業貸款")+SUMIFS('月度資產配置'!$F$4:$F$263,'月度資產配置'!$A$4:$A$263,$A$6,'月度資產配置'!$C$4:$C$263,"勞工保險",'月度資產配置'!$D$4:$D$263,"被保險人貸款")+SUMIFS('月度資產配置'!$F$4:$F$263,'月度資產配置'!$A$4:$A$263,$A$6,'月度資產配置'!$C$4:$C$263,"勞工保險",'月度資產配置'!$D$4:$D$263,"股票及受益憑證投資（含期貨）")+SUMIFS('月度資產配置'!$F$4:$F$263,'月度資產配置'!$A$4:$A$263,$A$6,'月度資產配置'!$C$4:$C$263,"勞工保險",'月度資產配置'!$D$4:$D$263,"自行運用-國外-固定收益")+SUMIFS('月度資產配置'!$F$4:$F$263,'月度資產配置'!$A$4:$A$263,$A$6,'月度資產配置'!$C$4:$C$263,"勞工保險",'月度資產配置'!$D$4:$D$263,"自行運用-國外-權益證券")+SUMIFS('月度資產配置'!$F$4:$F$263,'月度資產配置'!$A$4:$A$263,$A$6,'月度資產配置'!$C$4:$C$263,"勞工保險",'月度資產配置'!$D$4:$D$263,"自行運用-國外-另類投資")+SUMIFS('月度資產配置'!$F$4:$F$263,'月度資產配置'!$A$4:$A$263,$A$6,'月度資產配置'!$C$4:$C$263,"勞工保險",'月度資產配置'!$D$4:$D$263,"委託經營-國內-權益證券")+SUMIFS('月度資產配置'!$F$4:$F$263,'月度資產配置'!$A$4:$A$263,$A$6,'月度資產配置'!$C$4:$C$263,"勞工保險",'月度資產配置'!$D$4:$D$263,"委託經營-國外-固定收益")+SUMIFS('月度資產配置'!$F$4:$F$263,'月度資產配置'!$A$4:$A$263,$A$6,'月度資產配置'!$C$4:$C$263,"勞工保險",'月度資產配置'!$D$4:$D$263,"委託經營-國外-權益證券")+SUMIFS('月度資產配置'!$F$4:$F$263,'月度資產配置'!$A$4:$A$263,$A$6,'月度資產配置'!$C$4:$C$263,"勞工保險",'月度資產配置'!$D$4:$D$263,"委託經營-國外-另類投資")),0)</x:f>
        <x:v>0.0834</x:v>
      </x:c>
      <x:c r="AB19" t="str">
        <x:v>國外委託經營 - 另類投資</x:v>
      </x:c>
      <x:c r="AC19" s="50" t="n">
        <x:f>IFERROR(SUMIFS('月度資產配置'!$F$4:$F$263,'月度資產配置'!$A$4:$A$263,$A$6,'月度資產配置'!$C$4:$C$263,"國民年金",'月度資產配置'!$D$4:$D$263,"委託經營-國外-另類投資")/(SUMIFS('月度資產配置'!$F$4:$F$263,'月度資產配置'!$A$4:$A$263,$A$6,'月度資產配置'!$C$4:$C$263,"國民年金",'月度資產配置'!$D$4:$D$263,"轉存金融機構")+SUMIFS('月度資產配置'!$F$4:$F$263,'月度資產配置'!$A$4:$A$263,$A$6,'月度資產配置'!$C$4:$C$263,"國民年金",'月度資產配置'!$D$4:$D$263,"政策性貸款")+SUMIFS('月度資產配置'!$F$4:$F$263,'月度資產配置'!$A$4:$A$263,$A$6,'月度資產配置'!$C$4:$C$263,"國民年金",'月度資產配置'!$D$4:$D$263,"短期票券")+SUMIFS('月度資產配置'!$F$4:$F$263,'月度資產配置'!$A$4:$A$263,$A$6,'月度資產配置'!$C$4:$C$263,"國民年金",'月度資產配置'!$D$4:$D$263,"公債、公司債、金融債券及特別股")+SUMIFS('月度資產配置'!$F$4:$F$263,'月度資產配置'!$A$4:$A$263,$A$6,'月度資產配置'!$C$4:$C$263,"國民年金",'月度資產配置'!$D$4:$D$263,"公債、金融債券、公司債及證券化商品")+SUMIFS('月度資產配置'!$F$4:$F$263,'月度資產配置'!$A$4:$A$263,$A$6,'月度資產配置'!$C$4:$C$263,"國民年金",'月度資產配置'!$D$4:$D$263,"房屋及土地")+SUMIFS('月度資產配置'!$F$4:$F$263,'月度資產配置'!$A$4:$A$263,$A$6,'月度資產配置'!$C$4:$C$263,"國民年金",'月度資產配置'!$D$4:$D$263,"政府或公營事業貸款")+SUMIFS('月度資產配置'!$F$4:$F$263,'月度資產配置'!$A$4:$A$263,$A$6,'月度資產配置'!$C$4:$C$263,"國民年金",'月度資產配置'!$D$4:$D$263,"被保險人貸款")+SUMIFS('月度資產配置'!$F$4:$F$263,'月度資產配置'!$A$4:$A$263,$A$6,'月度資產配置'!$C$4:$C$263,"國民年金",'月度資產配置'!$D$4:$D$263,"股票及受益憑證投資（含期貨）")+SUMIFS('月度資產配置'!$F$4:$F$263,'月度資產配置'!$A$4:$A$263,$A$6,'月度資產配置'!$C$4:$C$263,"國民年金",'月度資產配置'!$D$4:$D$263,"自行運用-國外-固定收益")+SUMIFS('月度資產配置'!$F$4:$F$263,'月度資產配置'!$A$4:$A$263,$A$6,'月度資產配置'!$C$4:$C$263,"國民年金",'月度資產配置'!$D$4:$D$263,"自行運用-國外-權益證券")+SUMIFS('月度資產配置'!$F$4:$F$263,'月度資產配置'!$A$4:$A$263,$A$6,'月度資產配置'!$C$4:$C$263,"國民年金",'月度資產配置'!$D$4:$D$263,"自行運用-國外-另類投資")+SUMIFS('月度資產配置'!$F$4:$F$263,'月度資產配置'!$A$4:$A$263,$A$6,'月度資產配置'!$C$4:$C$263,"國民年金",'月度資產配置'!$D$4:$D$263,"委託經營-國內-權益證券")+SUMIFS('月度資產配置'!$F$4:$F$263,'月度資產配置'!$A$4:$A$263,$A$6,'月度資產配置'!$C$4:$C$263,"國民年金",'月度資產配置'!$D$4:$D$263,"委託經營-國外-固定收益")+SUMIFS('月度資產配置'!$F$4:$F$263,'月度資產配置'!$A$4:$A$263,$A$6,'月度資產配置'!$C$4:$C$263,"國民年金",'月度資產配置'!$D$4:$D$263,"委託經營-國外-權益證券")+SUMIFS('月度資產配置'!$F$4:$F$263,'月度資產配置'!$A$4:$A$263,$A$6,'月度資產配置'!$C$4:$C$263,"國民年金",'月度資產配置'!$D$4:$D$263,"委託經營-國外-另類投資")),0)</x:f>
        <x:v>0.0342</x:v>
      </x:c>
      <x:c r="AD19" t="str">
        <x:v>國外委託經營 - 另類投資</x:v>
      </x:c>
      <x:c r="AE19" s="50" t="n">
        <x:f>IFERROR(SUMIFS('月度資產配置'!$F$4:$F$263,'月度資產配置'!$A$4:$A$263,$A$6,'月度資產配置'!$D$4:$D$263,"委託經營-國外-另類投資")/(SUMIFS('月度資產配置'!$F$4:$F$263,'月度資產配置'!$A$4:$A$263,$A$6,'月度資產配置'!$D$4:$D$263,"轉存金融機構")+SUMIFS('月度資產配置'!$F$4:$F$263,'月度資產配置'!$A$4:$A$263,$A$6,'月度資產配置'!$D$4:$D$263,"政策性貸款")+SUMIFS('月度資產配置'!$F$4:$F$263,'月度資產配置'!$A$4:$A$263,$A$6,'月度資產配置'!$D$4:$D$263,"短期票券")+SUMIFS('月度資產配置'!$F$4:$F$263,'月度資產配置'!$A$4:$A$263,$A$6,'月度資產配置'!$D$4:$D$263,"公債、公司債、金融債券及特別股")+SUMIFS('月度資產配置'!$F$4:$F$263,'月度資產配置'!$A$4:$A$263,$A$6,'月度資產配置'!$D$4:$D$263,"公債、金融債券、公司債及證券化商品")+SUMIFS('月度資產配置'!$F$4:$F$263,'月度資產配置'!$A$4:$A$263,$A$6,'月度資產配置'!$D$4:$D$263,"房屋及土地")+SUMIFS('月度資產配置'!$F$4:$F$263,'月度資產配置'!$A$4:$A$263,$A$6,'月度資產配置'!$D$4:$D$263,"政府或公營事業貸款")+SUMIFS('月度資產配置'!$F$4:$F$263,'月度資產配置'!$A$4:$A$263,$A$6,'月度資產配置'!$D$4:$D$263,"被保險人貸款")+SUMIFS('月度資產配置'!$F$4:$F$263,'月度資產配置'!$A$4:$A$263,$A$6,'月度資產配置'!$D$4:$D$263,"股票及受益憑證投資（含期貨）")+SUMIFS('月度資產配置'!$F$4:$F$263,'月度資產配置'!$A$4:$A$263,$A$6,'月度資產配置'!$D$4:$D$263,"自行運用-國外-固定收益")+SUMIFS('月度資產配置'!$F$4:$F$263,'月度資產配置'!$A$4:$A$263,$A$6,'月度資產配置'!$D$4:$D$263,"自行運用-國外-權益證券")+SUMIFS('月度資產配置'!$F$4:$F$263,'月度資產配置'!$A$4:$A$263,$A$6,'月度資產配置'!$D$4:$D$263,"自行運用-國外-另類投資")+SUMIFS('月度資產配置'!$F$4:$F$263,'月度資產配置'!$A$4:$A$263,$A$6,'月度資產配置'!$D$4:$D$263,"委託經營-國內-權益證券")+SUMIFS('月度資產配置'!$F$4:$F$263,'月度資產配置'!$A$4:$A$263,$A$6,'月度資產配置'!$D$4:$D$263,"委託經營-國外-固定收益")+SUMIFS('月度資產配置'!$F$4:$F$263,'月度資產配置'!$A$4:$A$263,$A$6,'月度資產配置'!$D$4:$D$263,"委託經營-國外-權益證券")+SUMIFS('月度資產配置'!$F$4:$F$263,'月度資產配置'!$A$4:$A$263,$A$6,'月度資產配置'!$D$4:$D$263,"委託經營-國外-另類投資")),0)</x:f>
        <x:v>0.078975</x:v>
      </x:c>
    </x:row>
    <x:row r="20">
      <x:c r="A20" s="81" t="str">
        <x:v>美元換算匯率｜公開報價</x:v>
      </x:c>
      <x:c r="B20" s="82" t="n">
        <x:f>SUMIFS('月度資產配置'!$E$4:$E$263,'月度資產配置'!$A$4:$A$263,$A$6,'月度資產配置'!$C$4:$C$263,"新制",'月度資產配置'!$D$4:$D$263,$A20)/(1000000000*'儀表板(美元)'!$C$21)</x:f>
        <x:v>0</x:v>
      </x:c>
      <x:c r="C20" s="82" t="n">
        <x:f>SUMIFS('月度資產配置'!$E$4:$E$263,'月度資產配置'!$A$4:$A$263,$A$6,'月度資產配置'!$C$4:$C$263,"舊制",'月度資產配置'!$D$4:$D$263,$A20)/(1000000000*'儀表板(美元)'!$C$21)</x:f>
        <x:v>0</x:v>
      </x:c>
      <x:c r="D20" s="82" t="n">
        <x:f>SUMIFS('月度資產配置'!$E$4:$E$263,'月度資產配置'!$A$4:$A$263,$A$6,'月度資產配置'!$C$4:$C$263,"勞工保險",'月度資產配置'!$D$4:$D$263,$A20)/(1000000000*'儀表板(美元)'!$C$21)</x:f>
        <x:v>0</x:v>
      </x:c>
      <x:c r="E20" s="82" t="n">
        <x:f>SUMIFS('月度資產配置'!$E$4:$E$263,'月度資產配置'!$A$4:$A$263,$A$6,'月度資產配置'!$C$4:$C$263,"國民年金",'月度資產配置'!$D$4:$D$263,$A20)/(1000000000*'儀表板(美元)'!$C$21)</x:f>
        <x:v>0</x:v>
      </x:c>
      <x:c r="F20" s="83" t="n">
        <x:f>SUM(B20:E20)</x:f>
        <x:v>0</x:v>
      </x:c>
    </x:row>
    <x:row r="21">
      <x:c r="A21" s="30" t="str">
        <x:v>幣別</x:v>
      </x:c>
      <x:c r="B21" s="74" t="str">
        <x:v>匯率類型</x:v>
      </x:c>
      <x:c r="C21" s="94" t="n">
        <x:v>31.945</x:v>
      </x:c>
      <x:c r="D21" s="74" t="str">
        <x:v>報價時間</x:v>
      </x:c>
      <x:c r="E21" s="95" t="str">
        <x:v>2026-08-26 04:40</x:v>
      </x:c>
      <x:c r="F21" s="74" t="str">
        <x:v>TWD／USD</x:v>
      </x:c>
    </x:row>
    <x:row r="22">
      <x:c r="A22" s="90" t="str">
        <x:v>來源：https://rate.bot.com.tw/xrt?Lang=en-US（臺灣銀行公開即時匯率；可直接覆蓋 C21 更新換算）</x:v>
      </x:c>
      <x:c r="B22" s="91" t="n">
        <x:f>SUMIFS('月度資產配置'!$E$4:$E$263,'月度資產配置'!$A$4:$A$263,$A$6,'月度資產配置'!$C$4:$C$263,"新制",'月度資產配置'!$D$4:$D$263,$A22)/(1000000000*'儀表板(美元)'!$C$21)</x:f>
        <x:v>0</x:v>
      </x:c>
      <x:c r="C22" s="91" t="n">
        <x:f>SUMIFS('月度資產配置'!$E$4:$E$263,'月度資產配置'!$A$4:$A$263,$A$6,'月度資產配置'!$C$4:$C$263,"舊制",'月度資產配置'!$D$4:$D$263,$A22)/(1000000000*'儀表板(美元)'!$C$21)</x:f>
        <x:v>0</x:v>
      </x:c>
      <x:c r="D22" s="91" t="n">
        <x:f>SUMIFS('月度資產配置'!$E$4:$E$263,'月度資產配置'!$A$4:$A$263,$A$6,'月度資產配置'!$C$4:$C$263,"勞工保險",'月度資產配置'!$D$4:$D$263,$A22)/(1000000000*'儀表板(美元)'!$C$21)</x:f>
        <x:v>0</x:v>
      </x:c>
      <x:c r="E22" s="91" t="n">
        <x:f>SUMIFS('月度資產配置'!$E$4:$E$263,'月度資產配置'!$A$4:$A$263,$A$6,'月度資產配置'!$C$4:$C$263,"國民年金",'月度資產配置'!$D$4:$D$263,$A22)/(1000000000*'儀表板(美元)'!$C$21)</x:f>
        <x:v>0</x:v>
      </x:c>
      <x:c r="F22" s="92" t="n">
        <x:f>SUM(B22:E22)</x:f>
        <x:v>0</x:v>
      </x:c>
    </x:row>
    <x:row r="23">
      <x:c r="A23" s="30" t="str">
        <x:v>公債、金融債券、公司債及證券化商品</x:v>
      </x:c>
      <x:c r="B23" s="74" t="n">
        <x:f>SUMIFS('月度資產配置'!$E$4:$E$263,'月度資產配置'!$A$4:$A$263,$A$6,'月度資產配置'!$C$4:$C$263,"新制",'月度資產配置'!$D$4:$D$263,$A23)/(1000000000*'儀表板(美元)'!$C$21)</x:f>
        <x:v>0</x:v>
      </x:c>
      <x:c r="C23" s="74" t="n">
        <x:f>SUMIFS('月度資產配置'!$E$4:$E$263,'月度資產配置'!$A$4:$A$263,$A$6,'月度資產配置'!$C$4:$C$263,"舊制",'月度資產配置'!$D$4:$D$263,$A23)/(1000000000*'儀表板(美元)'!$C$21)</x:f>
        <x:v>2.721444872906558</x:v>
      </x:c>
      <x:c r="D23" s="74" t="n">
        <x:f>SUMIFS('月度資產配置'!$E$4:$E$263,'月度資產配置'!$A$4:$A$263,$A$6,'月度資產配置'!$C$4:$C$263,"勞工保險",'月度資產配置'!$D$4:$D$263,$A23)/(1000000000*'儀表板(美元)'!$C$21)</x:f>
        <x:v>0</x:v>
      </x:c>
      <x:c r="E23" s="74" t="n">
        <x:f>SUMIFS('月度資產配置'!$E$4:$E$263,'月度資產配置'!$A$4:$A$263,$A$6,'月度資產配置'!$C$4:$C$263,"國民年金",'月度資產配置'!$D$4:$D$263,$A23)/(1000000000*'儀表板(美元)'!$C$21)</x:f>
        <x:v>0</x:v>
      </x:c>
      <x:c r="F23" s="75" t="n">
        <x:f>SUM(B23:E23)</x:f>
        <x:v>2.721444872906558</x:v>
      </x:c>
    </x:row>
    <x:row r="24">
      <x:c r="A24" s="30" t="str">
        <x:v>房屋及土地</x:v>
      </x:c>
      <x:c r="B24" s="74" t="n">
        <x:f>SUMIFS('月度資產配置'!$E$4:$E$263,'月度資產配置'!$A$4:$A$263,$A$6,'月度資產配置'!$C$4:$C$263,"新制",'月度資產配置'!$D$4:$D$263,$A24)/(1000000000*'儀表板(美元)'!$C$21)</x:f>
        <x:v>0</x:v>
      </x:c>
      <x:c r="C24" s="74" t="n">
        <x:f>SUMIFS('月度資產配置'!$E$4:$E$263,'月度資產配置'!$A$4:$A$263,$A$6,'月度資產配置'!$C$4:$C$263,"舊制",'月度資產配置'!$D$4:$D$263,$A24)/(1000000000*'儀表板(美元)'!$C$21)</x:f>
        <x:v>0</x:v>
      </x:c>
      <x:c r="D24" s="74" t="n">
        <x:f>SUMIFS('月度資產配置'!$E$4:$E$263,'月度資產配置'!$A$4:$A$263,$A$6,'月度資產配置'!$C$4:$C$263,"勞工保險",'月度資產配置'!$D$4:$D$263,$A24)/(1000000000*'儀表板(美元)'!$C$21)</x:f>
        <x:v>0.049138830395993115</x:v>
      </x:c>
      <x:c r="E24" s="74" t="n">
        <x:f>SUMIFS('月度資產配置'!$E$4:$E$263,'月度資產配置'!$A$4:$A$263,$A$6,'月度資產配置'!$C$4:$C$263,"國民年金",'月度資產配置'!$D$4:$D$263,$A24)/(1000000000*'儀表板(美元)'!$C$21)</x:f>
        <x:v>0</x:v>
      </x:c>
      <x:c r="F24" s="75" t="n">
        <x:f>SUM(B24:E24)</x:f>
        <x:v>0.049138830395993115</x:v>
      </x:c>
    </x:row>
    <x:row r="25">
      <x:c r="A25" s="30" t="str">
        <x:v>政府或公營事業貸款</x:v>
      </x:c>
      <x:c r="B25" s="74" t="n">
        <x:f>SUMIFS('月度資產配置'!$E$4:$E$263,'月度資產配置'!$A$4:$A$263,$A$6,'月度資產配置'!$C$4:$C$263,"新制",'月度資產配置'!$D$4:$D$263,$A25)/(1000000000*'儀表板(美元)'!$C$21)</x:f>
        <x:v>0</x:v>
      </x:c>
      <x:c r="C25" s="74" t="n">
        <x:f>SUMIFS('月度資產配置'!$E$4:$E$263,'月度資產配置'!$A$4:$A$263,$A$6,'月度資產配置'!$C$4:$C$263,"舊制",'月度資產配置'!$D$4:$D$263,$A25)/(1000000000*'儀表板(美元)'!$C$21)</x:f>
        <x:v>0</x:v>
      </x:c>
      <x:c r="D25" s="74" t="n">
        <x:f>SUMIFS('月度資產配置'!$E$4:$E$263,'月度資產配置'!$A$4:$A$263,$A$6,'月度資產配置'!$C$4:$C$263,"勞工保險",'月度資產配置'!$D$4:$D$263,$A25)/(1000000000*'儀表板(美元)'!$C$21)</x:f>
        <x:v>0.023477852559085927</x:v>
      </x:c>
      <x:c r="E25" s="74" t="n">
        <x:f>SUMIFS('月度資產配置'!$E$4:$E$263,'月度資產配置'!$A$4:$A$263,$A$6,'月度資產配置'!$C$4:$C$263,"國民年金",'月度資產配置'!$D$4:$D$263,$A25)/(1000000000*'儀表板(美元)'!$C$21)</x:f>
        <x:v>0</x:v>
      </x:c>
      <x:c r="F25" s="75" t="n">
        <x:f>SUM(B25:E25)</x:f>
        <x:v>0.023477852559085927</x:v>
      </x:c>
    </x:row>
    <x:row r="26">
      <x:c r="A26" s="30" t="str">
        <x:v>被保險人貸款</x:v>
      </x:c>
      <x:c r="B26" s="74" t="n">
        <x:f>SUMIFS('月度資產配置'!$E$4:$E$263,'月度資產配置'!$A$4:$A$263,$A$6,'月度資產配置'!$C$4:$C$263,"新制",'月度資產配置'!$D$4:$D$263,$A26)/(1000000000*'儀表板(美元)'!$C$21)</x:f>
        <x:v>0</x:v>
      </x:c>
      <x:c r="C26" s="74" t="n">
        <x:f>SUMIFS('月度資產配置'!$E$4:$E$263,'月度資產配置'!$A$4:$A$263,$A$6,'月度資產配置'!$C$4:$C$263,"舊制",'月度資產配置'!$D$4:$D$263,$A26)/(1000000000*'儀表板(美元)'!$C$21)</x:f>
        <x:v>0</x:v>
      </x:c>
      <x:c r="D26" s="74" t="n">
        <x:f>SUMIFS('月度資產配置'!$E$4:$E$263,'月度資產配置'!$A$4:$A$263,$A$6,'月度資產配置'!$C$4:$C$263,"勞工保險",'月度資產配置'!$D$4:$D$263,$A26)/(1000000000*'儀表板(美元)'!$C$21)</x:f>
        <x:v>1.0630635521051808</x:v>
      </x:c>
      <x:c r="E26" s="74" t="n">
        <x:f>SUMIFS('月度資產配置'!$E$4:$E$263,'月度資產配置'!$A$4:$A$263,$A$6,'月度資產配置'!$C$4:$C$263,"國民年金",'月度資產配置'!$D$4:$D$263,$A26)/(1000000000*'儀表板(美元)'!$C$21)</x:f>
        <x:v>0</x:v>
      </x:c>
      <x:c r="F26" s="75" t="n">
        <x:f>SUM(B26:E26)</x:f>
        <x:v>1.0630635521051808</x:v>
      </x:c>
    </x:row>
    <x:row r="27">
      <x:c r="A27" s="30" t="str">
        <x:v>股票及受益憑證投資（含期貨）</x:v>
      </x:c>
      <x:c r="B27" s="74" t="n">
        <x:f>SUMIFS('月度資產配置'!$E$4:$E$263,'月度資產配置'!$A$4:$A$263,$A$6,'月度資產配置'!$C$4:$C$263,"新制",'月度資產配置'!$D$4:$D$263,$A27)/(1000000000*'儀表板(美元)'!$C$21)</x:f>
        <x:v>9.752879699452183</x:v>
      </x:c>
      <x:c r="C27" s="74" t="n">
        <x:f>SUMIFS('月度資產配置'!$E$4:$E$263,'月度資產配置'!$A$4:$A$263,$A$6,'月度資產配置'!$C$4:$C$263,"舊制",'月度資產配置'!$D$4:$D$263,$A27)/(1000000000*'儀表板(美元)'!$C$21)</x:f>
        <x:v>2.713406624823916</x:v>
      </x:c>
      <x:c r="D27" s="74" t="n">
        <x:f>SUMIFS('月度資產配置'!$E$4:$E$263,'月度資產配置'!$A$4:$A$263,$A$6,'月度資產配置'!$C$4:$C$263,"勞工保險",'月度資產配置'!$D$4:$D$263,$A27)/(1000000000*'儀表板(美元)'!$C$21)</x:f>
        <x:v>16.067222095946157</x:v>
      </x:c>
      <x:c r="E27" s="74" t="n">
        <x:f>SUMIFS('月度資產配置'!$E$4:$E$263,'月度資產配置'!$A$4:$A$263,$A$6,'月度資產配置'!$C$4:$C$263,"國民年金",'月度資產配置'!$D$4:$D$263,$A27)/(1000000000*'儀表板(美元)'!$C$21)</x:f>
        <x:v>7.268627091094068</x:v>
      </x:c>
      <x:c r="F27" s="75" t="n">
        <x:f>SUM(B27:E27)</x:f>
        <x:v>35.80213551131632</x:v>
      </x:c>
    </x:row>
    <x:row r="28">
      <x:c r="A28" s="33" t="str">
        <x:v>國外投資</x:v>
      </x:c>
      <x:c r="B28" s="76" t="n">
        <x:f>SUMIFS('月度資產配置'!$E$4:$E$263,'月度資產配置'!$A$4:$A$263,$A$6,'月度資產配置'!$C$4:$C$263,"新制",'月度資產配置'!$D$4:$D$263,$A28)/(1000000000*'儀表板(美元)'!$C$21)</x:f>
        <x:v>26.650200173767413</x:v>
      </x:c>
      <x:c r="C28" s="76" t="n">
        <x:f>SUMIFS('月度資產配置'!$E$4:$E$263,'月度資產配置'!$A$4:$A$263,$A$6,'月度資產配置'!$C$4:$C$263,"舊制",'月度資產配置'!$D$4:$D$263,$A28)/(1000000000*'儀表板(美元)'!$C$21)</x:f>
        <x:v>1.6232411102519957</x:v>
      </x:c>
      <x:c r="D28" s="76" t="n">
        <x:f>SUMIFS('月度資產配置'!$E$4:$E$263,'月度資產配置'!$A$4:$A$263,$A$6,'月度資產配置'!$C$4:$C$263,"勞工保險",'月度資產配置'!$D$4:$D$263,$A28)/(1000000000*'儀表板(美元)'!$C$21)</x:f>
        <x:v>9.451931108436375</x:v>
      </x:c>
      <x:c r="E28" s="76" t="n">
        <x:f>SUMIFS('月度資產配置'!$E$4:$E$263,'月度資產配置'!$A$4:$A$263,$A$6,'月度資產配置'!$C$4:$C$263,"國民年金",'月度資產配置'!$D$4:$D$263,$A28)/(1000000000*'儀表板(美元)'!$C$21)</x:f>
        <x:v>5.971731202817343</x:v>
      </x:c>
      <x:c r="F28" s="77" t="n">
        <x:f>SUM(B28:E28)</x:f>
        <x:v>43.69710359527313</x:v>
      </x:c>
    </x:row>
  </x:sheetData>
  <x:mergeCells>
    <x:mergeCell ref="A1:T1"/>
    <x:mergeCell ref="A3:T3"/>
    <x:mergeCell ref="A20:F20"/>
    <x:mergeCell ref="A22:F22"/>
  </x:mergeCells>
  <x:pageMargins left="0.7" right="0.7" top="0.75" bottom="0.75" header="0.3" footer="0.3"/>
  <x:drawing xmlns:r="http://schemas.openxmlformats.org/officeDocument/2006/relationships" r:id="Ra073f4a919044c62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4" hidden="0" customWidth="1"/>
    <x:col min="2" max="2" width="7.329999923706055" hidden="0" customWidth="1"/>
    <x:col min="3" max="3" width="7" hidden="0" customWidth="1"/>
    <x:col min="4" max="4" width="28" hidden="0" customWidth="1"/>
    <x:col min="5" max="5" width="14.109999656677246" hidden="0" customWidth="1"/>
    <x:col min="6" max="6" width="14.109999656677246" hidden="0" customWidth="1"/>
    <x:col min="7" max="7" width="30" hidden="0" customWidth="1"/>
    <x:col min="8" max="8" width="30" hidden="0" customWidth="1"/>
  </x:cols>
  <x:sheetData>
    <x:row r="1" ht="30" customHeight="1">
      <x:c r="A1" s="4" t="str">
        <x:v>月度資產配置｜每月只需在此表追加 PDF 擷取資料</x:v>
      </x:c>
      <x:c r="B1" s="4"/>
      <x:c r="C1" s="4"/>
      <x:c r="D1" s="4"/>
      <x:c r="E1" s="4"/>
      <x:c r="F1" s="4"/>
      <x:c r="G1" s="4"/>
      <x:c r="H1" s="4"/>
    </x:row>
    <x:row r="3">
      <x:c r="A3" s="15" t="str">
        <x:v>日期</x:v>
      </x:c>
      <x:c r="B3" s="16" t="str">
        <x:v>期間</x:v>
      </x:c>
      <x:c r="C3" s="16" t="str">
        <x:v>基金</x:v>
      </x:c>
      <x:c r="D3" s="16" t="str">
        <x:v>資產配置項目</x:v>
      </x:c>
      <x:c r="E3" s="16" t="str">
        <x:v>金額（元）</x:v>
      </x:c>
      <x:c r="F3" s="16" t="str">
        <x:v>占基金運用比率</x:v>
      </x:c>
      <x:c r="G3" s="16" t="str">
        <x:v>來源檔案</x:v>
      </x:c>
      <x:c r="H3" s="17" t="str">
        <x:v>來源表格</x:v>
      </x:c>
    </x:row>
    <x:row r="4">
      <x:c r="A4" s="36" t="n">
        <x:v>46023</x:v>
      </x:c>
      <x:c r="B4" s="28" t="str">
        <x:v>115年1月</x:v>
      </x:c>
      <x:c r="C4" s="28" t="str">
        <x:v>新制</x:v>
      </x:c>
      <x:c r="D4" s="28" t="str">
        <x:v>自行運用</x:v>
      </x:c>
      <x:c r="E4" s="39" t="n">
        <x:v>1997381020501</x:v>
      </x:c>
      <x:c r="F4" s="42" t="n">
        <x:v>0.37939999999999996</x:v>
      </x:c>
      <x:c r="G4" s="28" t="str">
        <x:v>勞工退休基金-115年1月.pdf</x:v>
      </x:c>
      <x:c r="H4" s="29" t="str">
        <x:v>資產配置（新制勞工退休基金）</x:v>
      </x:c>
    </x:row>
    <x:row r="5">
      <x:c r="A5" s="37" t="n">
        <x:v>46023</x:v>
      </x:c>
      <x:c r="B5" s="31" t="str">
        <x:v>115年1月</x:v>
      </x:c>
      <x:c r="C5" s="31" t="str">
        <x:v>新制</x:v>
      </x:c>
      <x:c r="D5" s="31" t="str">
        <x:v>轉存金融機構</x:v>
      </x:c>
      <x:c r="E5" s="40" t="n">
        <x:v>542596970245</x:v>
      </x:c>
      <x:c r="F5" s="43" t="n">
        <x:v>0.10310000000000001</x:v>
      </x:c>
      <x:c r="G5" s="31" t="str">
        <x:v>勞工退休基金-115年1月.pdf</x:v>
      </x:c>
      <x:c r="H5" s="32" t="str">
        <x:v>資產配置（新制勞工退休基金）</x:v>
      </x:c>
    </x:row>
    <x:row r="6">
      <x:c r="A6" s="37" t="n">
        <x:v>46023</x:v>
      </x:c>
      <x:c r="B6" s="31" t="str">
        <x:v>115年1月</x:v>
      </x:c>
      <x:c r="C6" s="31" t="str">
        <x:v>新制</x:v>
      </x:c>
      <x:c r="D6" s="31" t="str">
        <x:v>短期票券</x:v>
      </x:c>
      <x:c r="E6" s="40" t="n">
        <x:v>133854412238</x:v>
      </x:c>
      <x:c r="F6" s="43" t="n">
        <x:v>0.0254</x:v>
      </x:c>
      <x:c r="G6" s="31" t="str">
        <x:v>勞工退休基金-115年1月.pdf</x:v>
      </x:c>
      <x:c r="H6" s="32" t="str">
        <x:v>資產配置（新制勞工退休基金）</x:v>
      </x:c>
    </x:row>
    <x:row r="7">
      <x:c r="A7" s="37" t="n">
        <x:v>46023</x:v>
      </x:c>
      <x:c r="B7" s="31" t="str">
        <x:v>115年1月</x:v>
      </x:c>
      <x:c r="C7" s="31" t="str">
        <x:v>新制</x:v>
      </x:c>
      <x:c r="D7" s="31" t="str">
        <x:v>公債、公司債、金融債券及特別股</x:v>
      </x:c>
      <x:c r="E7" s="40" t="n">
        <x:v>244357595081</x:v>
      </x:c>
      <x:c r="F7" s="43" t="n">
        <x:v>0.0464</x:v>
      </x:c>
      <x:c r="G7" s="31" t="str">
        <x:v>勞工退休基金-115年1月.pdf</x:v>
      </x:c>
      <x:c r="H7" s="32" t="str">
        <x:v>資產配置（新制勞工退休基金）</x:v>
      </x:c>
    </x:row>
    <x:row r="8">
      <x:c r="A8" s="37" t="n">
        <x:v>46023</x:v>
      </x:c>
      <x:c r="B8" s="31" t="str">
        <x:v>115年1月</x:v>
      </x:c>
      <x:c r="C8" s="31" t="str">
        <x:v>新制</x:v>
      </x:c>
      <x:c r="D8" s="31" t="str">
        <x:v>股票及受益憑證投資（含期貨）</x:v>
      </x:c>
      <x:c r="E8" s="40" t="n">
        <x:v>260105388916</x:v>
      </x:c>
      <x:c r="F8" s="43" t="n">
        <x:v>0.049400000000000006</x:v>
      </x:c>
      <x:c r="G8" s="31" t="str">
        <x:v>勞工退休基金-115年1月.pdf</x:v>
      </x:c>
      <x:c r="H8" s="32" t="str">
        <x:v>資產配置（新制勞工退休基金）</x:v>
      </x:c>
    </x:row>
    <x:row r="9">
      <x:c r="A9" s="37" t="n">
        <x:v>46023</x:v>
      </x:c>
      <x:c r="B9" s="31" t="str">
        <x:v>115年1月</x:v>
      </x:c>
      <x:c r="C9" s="31" t="str">
        <x:v>新制</x:v>
      </x:c>
      <x:c r="D9" s="31" t="str">
        <x:v>國外投資</x:v>
      </x:c>
      <x:c r="E9" s="40" t="n">
        <x:v>816466654021</x:v>
      </x:c>
      <x:c r="F9" s="43" t="n">
        <x:v>0.1551</x:v>
      </x:c>
      <x:c r="G9" s="31" t="str">
        <x:v>勞工退休基金-115年1月.pdf</x:v>
      </x:c>
      <x:c r="H9" s="32" t="str">
        <x:v>資產配置（新制勞工退休基金）</x:v>
      </x:c>
    </x:row>
    <x:row r="10">
      <x:c r="A10" s="37" t="n">
        <x:v>46023</x:v>
      </x:c>
      <x:c r="B10" s="31" t="str">
        <x:v>115年1月</x:v>
      </x:c>
      <x:c r="C10" s="31" t="str">
        <x:v>新制</x:v>
      </x:c>
      <x:c r="D10" s="31" t="str">
        <x:v>自行運用-國外-固定收益</x:v>
      </x:c>
      <x:c r="E10" s="40" t="n">
        <x:v>719603636127</x:v>
      </x:c>
      <x:c r="F10" s="43" t="n">
        <x:v>0.1367</x:v>
      </x:c>
      <x:c r="G10" s="31" t="str">
        <x:v>勞工退休基金-115年1月.pdf</x:v>
      </x:c>
      <x:c r="H10" s="32" t="str">
        <x:v>資產配置（新制勞工退休基金）</x:v>
      </x:c>
    </x:row>
    <x:row r="11">
      <x:c r="A11" s="37" t="n">
        <x:v>46023</x:v>
      </x:c>
      <x:c r="B11" s="31" t="str">
        <x:v>115年1月</x:v>
      </x:c>
      <x:c r="C11" s="31" t="str">
        <x:v>新制</x:v>
      </x:c>
      <x:c r="D11" s="31" t="str">
        <x:v>自行運用-國外-權益證券</x:v>
      </x:c>
      <x:c r="E11" s="40" t="n">
        <x:v>49052466605</x:v>
      </x:c>
      <x:c r="F11" s="43" t="n">
        <x:v>0.009300000000000001</x:v>
      </x:c>
      <x:c r="G11" s="31" t="str">
        <x:v>勞工退休基金-115年1月.pdf</x:v>
      </x:c>
      <x:c r="H11" s="32" t="str">
        <x:v>資產配置（新制勞工退休基金）</x:v>
      </x:c>
    </x:row>
    <x:row r="12">
      <x:c r="A12" s="37" t="n">
        <x:v>46023</x:v>
      </x:c>
      <x:c r="B12" s="31" t="str">
        <x:v>115年1月</x:v>
      </x:c>
      <x:c r="C12" s="31" t="str">
        <x:v>新制</x:v>
      </x:c>
      <x:c r="D12" s="31" t="str">
        <x:v>自行運用-國外-另類投資</x:v>
      </x:c>
      <x:c r="E12" s="40" t="n">
        <x:v>47810551289</x:v>
      </x:c>
      <x:c r="F12" s="43" t="n">
        <x:v>0.0091</x:v>
      </x:c>
      <x:c r="G12" s="31" t="str">
        <x:v>勞工退休基金-115年1月.pdf</x:v>
      </x:c>
      <x:c r="H12" s="32" t="str">
        <x:v>資產配置（新制勞工退休基金）</x:v>
      </x:c>
    </x:row>
    <x:row r="13">
      <x:c r="A13" s="37" t="n">
        <x:v>46023</x:v>
      </x:c>
      <x:c r="B13" s="31" t="str">
        <x:v>115年1月</x:v>
      </x:c>
      <x:c r="C13" s="31" t="str">
        <x:v>新制</x:v>
      </x:c>
      <x:c r="D13" s="31" t="str">
        <x:v>委託經營</x:v>
      </x:c>
      <x:c r="E13" s="40" t="n">
        <x:v>3267500049518</x:v>
      </x:c>
      <x:c r="F13" s="43" t="n">
        <x:v>0.6206</x:v>
      </x:c>
      <x:c r="G13" s="31" t="str">
        <x:v>勞工退休基金-115年1月.pdf</x:v>
      </x:c>
      <x:c r="H13" s="32" t="str">
        <x:v>資產配置（新制勞工退休基金）</x:v>
      </x:c>
    </x:row>
    <x:row r="14">
      <x:c r="A14" s="37" t="n">
        <x:v>46023</x:v>
      </x:c>
      <x:c r="B14" s="31" t="str">
        <x:v>115年1月</x:v>
      </x:c>
      <x:c r="C14" s="31" t="str">
        <x:v>新制</x:v>
      </x:c>
      <x:c r="D14" s="31" t="str">
        <x:v>委託經營-國內-權益證券</x:v>
      </x:c>
      <x:c r="E14" s="40" t="n">
        <x:v>831573253748</x:v>
      </x:c>
      <x:c r="F14" s="43" t="n">
        <x:v>0.15789999999999998</x:v>
      </x:c>
      <x:c r="G14" s="31" t="str">
        <x:v>勞工退休基金-115年1月.pdf</x:v>
      </x:c>
      <x:c r="H14" s="32" t="str">
        <x:v>資產配置（新制勞工退休基金）</x:v>
      </x:c>
    </x:row>
    <x:row r="15">
      <x:c r="A15" s="37" t="n">
        <x:v>46023</x:v>
      </x:c>
      <x:c r="B15" s="31" t="str">
        <x:v>115年1月</x:v>
      </x:c>
      <x:c r="C15" s="31" t="str">
        <x:v>新制</x:v>
      </x:c>
      <x:c r="D15" s="31" t="str">
        <x:v>國外委託經營</x:v>
      </x:c>
      <x:c r="E15" s="40" t="n">
        <x:v>2435926795770</x:v>
      </x:c>
      <x:c r="F15" s="43" t="n">
        <x:v>0.46270000000000006</x:v>
      </x:c>
      <x:c r="G15" s="31" t="str">
        <x:v>勞工退休基金-115年1月.pdf</x:v>
      </x:c>
      <x:c r="H15" s="32" t="str">
        <x:v>資產配置（新制勞工退休基金）</x:v>
      </x:c>
    </x:row>
    <x:row r="16">
      <x:c r="A16" s="37" t="n">
        <x:v>46023</x:v>
      </x:c>
      <x:c r="B16" s="31" t="str">
        <x:v>115年1月</x:v>
      </x:c>
      <x:c r="C16" s="31" t="str">
        <x:v>新制</x:v>
      </x:c>
      <x:c r="D16" s="31" t="str">
        <x:v>委託經營-國外-固定收益</x:v>
      </x:c>
      <x:c r="E16" s="40" t="n">
        <x:v>560014671687</x:v>
      </x:c>
      <x:c r="F16" s="43" t="n">
        <x:v>0.10640000000000001</x:v>
      </x:c>
      <x:c r="G16" s="31" t="str">
        <x:v>勞工退休基金-115年1月.pdf</x:v>
      </x:c>
      <x:c r="H16" s="32" t="str">
        <x:v>資產配置（新制勞工退休基金）</x:v>
      </x:c>
    </x:row>
    <x:row r="17">
      <x:c r="A17" s="37" t="n">
        <x:v>46023</x:v>
      </x:c>
      <x:c r="B17" s="31" t="str">
        <x:v>115年1月</x:v>
      </x:c>
      <x:c r="C17" s="31" t="str">
        <x:v>新制</x:v>
      </x:c>
      <x:c r="D17" s="31" t="str">
        <x:v>委託經營-國外-權益證券</x:v>
      </x:c>
      <x:c r="E17" s="40" t="n">
        <x:v>1346277092815</x:v>
      </x:c>
      <x:c r="F17" s="43" t="n">
        <x:v>0.2557</x:v>
      </x:c>
      <x:c r="G17" s="31" t="str">
        <x:v>勞工退休基金-115年1月.pdf</x:v>
      </x:c>
      <x:c r="H17" s="32" t="str">
        <x:v>資產配置（新制勞工退休基金）</x:v>
      </x:c>
    </x:row>
    <x:row r="18">
      <x:c r="A18" s="37" t="n">
        <x:v>46023</x:v>
      </x:c>
      <x:c r="B18" s="31" t="str">
        <x:v>115年1月</x:v>
      </x:c>
      <x:c r="C18" s="31" t="str">
        <x:v>新制</x:v>
      </x:c>
      <x:c r="D18" s="31" t="str">
        <x:v>委託經營-國外-另類投資</x:v>
      </x:c>
      <x:c r="E18" s="40" t="n">
        <x:v>529635031268</x:v>
      </x:c>
      <x:c r="F18" s="43" t="n">
        <x:v>0.10060000000000001</x:v>
      </x:c>
      <x:c r="G18" s="31" t="str">
        <x:v>勞工退休基金-115年1月.pdf</x:v>
      </x:c>
      <x:c r="H18" s="32" t="str">
        <x:v>資產配置（新制勞工退休基金）</x:v>
      </x:c>
    </x:row>
    <x:row r="19">
      <x:c r="A19" s="37" t="n">
        <x:v>46023</x:v>
      </x:c>
      <x:c r="B19" s="31" t="str">
        <x:v>115年1月</x:v>
      </x:c>
      <x:c r="C19" s="31" t="str">
        <x:v>新制</x:v>
      </x:c>
      <x:c r="D19" s="31" t="str">
        <x:v>合計</x:v>
      </x:c>
      <x:c r="E19" s="40" t="n">
        <x:v>5264881070019</x:v>
      </x:c>
      <x:c r="F19" s="43" t="n">
        <x:v>1</x:v>
      </x:c>
      <x:c r="G19" s="31" t="str">
        <x:v>勞工退休基金-115年1月.pdf</x:v>
      </x:c>
      <x:c r="H19" s="32" t="str">
        <x:v>資產配置（新制勞工退休基金）</x:v>
      </x:c>
    </x:row>
    <x:row r="20">
      <x:c r="A20" s="37" t="n">
        <x:v>46023</x:v>
      </x:c>
      <x:c r="B20" s="31" t="str">
        <x:v>115年1月</x:v>
      </x:c>
      <x:c r="C20" s="31" t="str">
        <x:v>舊制</x:v>
      </x:c>
      <x:c r="D20" s="31" t="str">
        <x:v>自行運用</x:v>
      </x:c>
      <x:c r="E20" s="40" t="n">
        <x:v>460833810270</x:v>
      </x:c>
      <x:c r="F20" s="43" t="n">
        <x:v>0.42979999999999996</x:v>
      </x:c>
      <x:c r="G20" s="31" t="str">
        <x:v>勞工退休基金-115年1月.pdf</x:v>
      </x:c>
      <x:c r="H20" s="32" t="str">
        <x:v>資產配置（舊制勞工退休基金）</x:v>
      </x:c>
    </x:row>
    <x:row r="21">
      <x:c r="A21" s="37" t="n">
        <x:v>46023</x:v>
      </x:c>
      <x:c r="B21" s="31" t="str">
        <x:v>115年1月</x:v>
      </x:c>
      <x:c r="C21" s="31" t="str">
        <x:v>舊制</x:v>
      </x:c>
      <x:c r="D21" s="31" t="str">
        <x:v>轉存金融機構</x:v>
      </x:c>
      <x:c r="E21" s="40" t="n">
        <x:v>125408615805</x:v>
      </x:c>
      <x:c r="F21" s="43" t="n">
        <x:v>0.11699999999999999</x:v>
      </x:c>
      <x:c r="G21" s="31" t="str">
        <x:v>勞工退休基金-115年1月.pdf</x:v>
      </x:c>
      <x:c r="H21" s="32" t="str">
        <x:v>資產配置（舊制勞工退休基金）</x:v>
      </x:c>
    </x:row>
    <x:row r="22">
      <x:c r="A22" s="37" t="n">
        <x:v>46023</x:v>
      </x:c>
      <x:c r="B22" s="31" t="str">
        <x:v>115年1月</x:v>
      </x:c>
      <x:c r="C22" s="31" t="str">
        <x:v>舊制</x:v>
      </x:c>
      <x:c r="D22" s="31" t="str">
        <x:v>短期票券</x:v>
      </x:c>
      <x:c r="E22" s="40" t="n">
        <x:v>42054779651</x:v>
      </x:c>
      <x:c r="F22" s="43" t="n">
        <x:v>0.0392</x:v>
      </x:c>
      <x:c r="G22" s="31" t="str">
        <x:v>勞工退休基金-115年1月.pdf</x:v>
      </x:c>
      <x:c r="H22" s="32" t="str">
        <x:v>資產配置（舊制勞工退休基金）</x:v>
      </x:c>
    </x:row>
    <x:row r="23">
      <x:c r="A23" s="37" t="n">
        <x:v>46023</x:v>
      </x:c>
      <x:c r="B23" s="31" t="str">
        <x:v>115年1月</x:v>
      </x:c>
      <x:c r="C23" s="31" t="str">
        <x:v>舊制</x:v>
      </x:c>
      <x:c r="D23" s="31" t="str">
        <x:v>公債、金融債券、公司債及證券化商品</x:v>
      </x:c>
      <x:c r="E23" s="40" t="n">
        <x:v>90481276852</x:v>
      </x:c>
      <x:c r="F23" s="43" t="n">
        <x:v>0.08439999999999999</x:v>
      </x:c>
      <x:c r="G23" s="31" t="str">
        <x:v>勞工退休基金-115年1月.pdf</x:v>
      </x:c>
      <x:c r="H23" s="32" t="str">
        <x:v>資產配置（舊制勞工退休基金）</x:v>
      </x:c>
    </x:row>
    <x:row r="24">
      <x:c r="A24" s="37" t="n">
        <x:v>46023</x:v>
      </x:c>
      <x:c r="B24" s="31" t="str">
        <x:v>115年1月</x:v>
      </x:c>
      <x:c r="C24" s="31" t="str">
        <x:v>舊制</x:v>
      </x:c>
      <x:c r="D24" s="31" t="str">
        <x:v>股票及受益憑證投資（含期貨）</x:v>
      </x:c>
      <x:c r="E24" s="40" t="n">
        <x:v>124514940450</x:v>
      </x:c>
      <x:c r="F24" s="43" t="n">
        <x:v>0.1161</x:v>
      </x:c>
      <x:c r="G24" s="31" t="str">
        <x:v>勞工退休基金-115年1月.pdf</x:v>
      </x:c>
      <x:c r="H24" s="32" t="str">
        <x:v>資產配置（舊制勞工退休基金）</x:v>
      </x:c>
    </x:row>
    <x:row r="25">
      <x:c r="A25" s="37" t="n">
        <x:v>46023</x:v>
      </x:c>
      <x:c r="B25" s="31" t="str">
        <x:v>115年1月</x:v>
      </x:c>
      <x:c r="C25" s="31" t="str">
        <x:v>舊制</x:v>
      </x:c>
      <x:c r="D25" s="31" t="str">
        <x:v>國外投資</x:v>
      </x:c>
      <x:c r="E25" s="40" t="n">
        <x:v>78374197512</x:v>
      </x:c>
      <x:c r="F25" s="43" t="n">
        <x:v>0.0731</x:v>
      </x:c>
      <x:c r="G25" s="31" t="str">
        <x:v>勞工退休基金-115年1月.pdf</x:v>
      </x:c>
      <x:c r="H25" s="32" t="str">
        <x:v>資產配置（舊制勞工退休基金）</x:v>
      </x:c>
    </x:row>
    <x:row r="26">
      <x:c r="A26" s="37" t="n">
        <x:v>46023</x:v>
      </x:c>
      <x:c r="B26" s="31" t="str">
        <x:v>115年1月</x:v>
      </x:c>
      <x:c r="C26" s="31" t="str">
        <x:v>舊制</x:v>
      </x:c>
      <x:c r="D26" s="31" t="str">
        <x:v>自行運用-國外-固定收益</x:v>
      </x:c>
      <x:c r="E26" s="40" t="n">
        <x:v>42827418384</x:v>
      </x:c>
      <x:c r="F26" s="43" t="n">
        <x:v>0.039900000000000005</x:v>
      </x:c>
      <x:c r="G26" s="31" t="str">
        <x:v>勞工退休基金-115年1月.pdf</x:v>
      </x:c>
      <x:c r="H26" s="32" t="str">
        <x:v>資產配置（舊制勞工退休基金）</x:v>
      </x:c>
    </x:row>
    <x:row r="27">
      <x:c r="A27" s="37" t="n">
        <x:v>46023</x:v>
      </x:c>
      <x:c r="B27" s="31" t="str">
        <x:v>115年1月</x:v>
      </x:c>
      <x:c r="C27" s="31" t="str">
        <x:v>舊制</x:v>
      </x:c>
      <x:c r="D27" s="31" t="str">
        <x:v>自行運用-國外-權益證券</x:v>
      </x:c>
      <x:c r="E27" s="40" t="n">
        <x:v>31183929553</x:v>
      </x:c>
      <x:c r="F27" s="43" t="n">
        <x:v>0.0291</x:v>
      </x:c>
      <x:c r="G27" s="31" t="str">
        <x:v>勞工退休基金-115年1月.pdf</x:v>
      </x:c>
      <x:c r="H27" s="32" t="str">
        <x:v>資產配置（舊制勞工退休基金）</x:v>
      </x:c>
    </x:row>
    <x:row r="28">
      <x:c r="A28" s="37" t="n">
        <x:v>46023</x:v>
      </x:c>
      <x:c r="B28" s="31" t="str">
        <x:v>115年1月</x:v>
      </x:c>
      <x:c r="C28" s="31" t="str">
        <x:v>舊制</x:v>
      </x:c>
      <x:c r="D28" s="31" t="str">
        <x:v>自行運用-國外-另類投資</x:v>
      </x:c>
      <x:c r="E28" s="40" t="n">
        <x:v>4362849575</x:v>
      </x:c>
      <x:c r="F28" s="43" t="n">
        <x:v>0.0040999999999999995</x:v>
      </x:c>
      <x:c r="G28" s="31" t="str">
        <x:v>勞工退休基金-115年1月.pdf</x:v>
      </x:c>
      <x:c r="H28" s="32" t="str">
        <x:v>資產配置（舊制勞工退休基金）</x:v>
      </x:c>
    </x:row>
    <x:row r="29">
      <x:c r="A29" s="37" t="n">
        <x:v>46023</x:v>
      </x:c>
      <x:c r="B29" s="31" t="str">
        <x:v>115年1月</x:v>
      </x:c>
      <x:c r="C29" s="31" t="str">
        <x:v>舊制</x:v>
      </x:c>
      <x:c r="D29" s="31" t="str">
        <x:v>委託經營</x:v>
      </x:c>
      <x:c r="E29" s="40" t="n">
        <x:v>611391300029</x:v>
      </x:c>
      <x:c r="F29" s="43" t="n">
        <x:v>0.5702</x:v>
      </x:c>
      <x:c r="G29" s="31" t="str">
        <x:v>勞工退休基金-115年1月.pdf</x:v>
      </x:c>
      <x:c r="H29" s="32" t="str">
        <x:v>資產配置（舊制勞工退休基金）</x:v>
      </x:c>
    </x:row>
    <x:row r="30">
      <x:c r="A30" s="37" t="n">
        <x:v>46023</x:v>
      </x:c>
      <x:c r="B30" s="31" t="str">
        <x:v>115年1月</x:v>
      </x:c>
      <x:c r="C30" s="31" t="str">
        <x:v>舊制</x:v>
      </x:c>
      <x:c r="D30" s="31" t="str">
        <x:v>委託經營-國內-權益證券</x:v>
      </x:c>
      <x:c r="E30" s="40" t="n">
        <x:v>149443657790</x:v>
      </x:c>
      <x:c r="F30" s="43" t="n">
        <x:v>0.1394</x:v>
      </x:c>
      <x:c r="G30" s="31" t="str">
        <x:v>勞工退休基金-115年1月.pdf</x:v>
      </x:c>
      <x:c r="H30" s="32" t="str">
        <x:v>資產配置（舊制勞工退休基金）</x:v>
      </x:c>
    </x:row>
    <x:row r="31">
      <x:c r="A31" s="37" t="n">
        <x:v>46023</x:v>
      </x:c>
      <x:c r="B31" s="31" t="str">
        <x:v>115年1月</x:v>
      </x:c>
      <x:c r="C31" s="31" t="str">
        <x:v>舊制</x:v>
      </x:c>
      <x:c r="D31" s="31" t="str">
        <x:v>國外委託經營</x:v>
      </x:c>
      <x:c r="E31" s="40" t="n">
        <x:v>461947642239</x:v>
      </x:c>
      <x:c r="F31" s="43" t="n">
        <x:v>0.43079999999999996</x:v>
      </x:c>
      <x:c r="G31" s="31" t="str">
        <x:v>勞工退休基金-115年1月.pdf</x:v>
      </x:c>
      <x:c r="H31" s="32" t="str">
        <x:v>資產配置（舊制勞工退休基金）</x:v>
      </x:c>
    </x:row>
    <x:row r="32">
      <x:c r="A32" s="37" t="n">
        <x:v>46023</x:v>
      </x:c>
      <x:c r="B32" s="31" t="str">
        <x:v>115年1月</x:v>
      </x:c>
      <x:c r="C32" s="31" t="str">
        <x:v>舊制</x:v>
      </x:c>
      <x:c r="D32" s="31" t="str">
        <x:v>委託經營-國外-固定收益</x:v>
      </x:c>
      <x:c r="E32" s="40" t="n">
        <x:v>102851758557</x:v>
      </x:c>
      <x:c r="F32" s="43" t="n">
        <x:v>0.0959</x:v>
      </x:c>
      <x:c r="G32" s="31" t="str">
        <x:v>勞工退休基金-115年1月.pdf</x:v>
      </x:c>
      <x:c r="H32" s="32" t="str">
        <x:v>資產配置（舊制勞工退休基金）</x:v>
      </x:c>
    </x:row>
    <x:row r="33">
      <x:c r="A33" s="37" t="n">
        <x:v>46023</x:v>
      </x:c>
      <x:c r="B33" s="31" t="str">
        <x:v>115年1月</x:v>
      </x:c>
      <x:c r="C33" s="31" t="str">
        <x:v>舊制</x:v>
      </x:c>
      <x:c r="D33" s="31" t="str">
        <x:v>委託經營-國外-權益證券</x:v>
      </x:c>
      <x:c r="E33" s="40" t="n">
        <x:v>244510232894</x:v>
      </x:c>
      <x:c r="F33" s="43" t="n">
        <x:v>0.228</x:v>
      </x:c>
      <x:c r="G33" s="31" t="str">
        <x:v>勞工退休基金-115年1月.pdf</x:v>
      </x:c>
      <x:c r="H33" s="32" t="str">
        <x:v>資產配置（舊制勞工退休基金）</x:v>
      </x:c>
    </x:row>
    <x:row r="34">
      <x:c r="A34" s="37" t="n">
        <x:v>46023</x:v>
      </x:c>
      <x:c r="B34" s="31" t="str">
        <x:v>115年1月</x:v>
      </x:c>
      <x:c r="C34" s="31" t="str">
        <x:v>舊制</x:v>
      </x:c>
      <x:c r="D34" s="31" t="str">
        <x:v>委託經營-國外-另類投資</x:v>
      </x:c>
      <x:c r="E34" s="40" t="n">
        <x:v>114585650788</x:v>
      </x:c>
      <x:c r="F34" s="43" t="n">
        <x:v>0.1069</x:v>
      </x:c>
      <x:c r="G34" s="31" t="str">
        <x:v>勞工退休基金-115年1月.pdf</x:v>
      </x:c>
      <x:c r="H34" s="32" t="str">
        <x:v>資產配置（舊制勞工退休基金）</x:v>
      </x:c>
    </x:row>
    <x:row r="35">
      <x:c r="A35" s="37" t="n">
        <x:v>46023</x:v>
      </x:c>
      <x:c r="B35" s="31" t="str">
        <x:v>115年1月</x:v>
      </x:c>
      <x:c r="C35" s="31" t="str">
        <x:v>舊制</x:v>
      </x:c>
      <x:c r="D35" s="31" t="str">
        <x:v>合計</x:v>
      </x:c>
      <x:c r="E35" s="40" t="n">
        <x:v>1072225110299</x:v>
      </x:c>
      <x:c r="F35" s="43" t="n">
        <x:v>1</x:v>
      </x:c>
      <x:c r="G35" s="31" t="str">
        <x:v>勞工退休基金-115年1月.pdf</x:v>
      </x:c>
      <x:c r="H35" s="32" t="str">
        <x:v>資產配置（舊制勞工退休基金）</x:v>
      </x:c>
    </x:row>
    <x:row r="36">
      <x:c r="A36" s="37" t="n">
        <x:v>46054</x:v>
      </x:c>
      <x:c r="B36" s="31" t="str">
        <x:v>115年2月</x:v>
      </x:c>
      <x:c r="C36" s="31" t="str">
        <x:v>新制</x:v>
      </x:c>
      <x:c r="D36" s="31" t="str">
        <x:v>自行運用</x:v>
      </x:c>
      <x:c r="E36" s="40" t="n">
        <x:v>2016275847903</x:v>
      </x:c>
      <x:c r="F36" s="43" t="n">
        <x:v>0.381</x:v>
      </x:c>
      <x:c r="G36" s="31" t="str">
        <x:v>勞工退休基金-115年2月.pdf</x:v>
      </x:c>
      <x:c r="H36" s="32" t="str">
        <x:v>資產配置（新制勞工退休基金）</x:v>
      </x:c>
    </x:row>
    <x:row r="37">
      <x:c r="A37" s="37" t="n">
        <x:v>46054</x:v>
      </x:c>
      <x:c r="B37" s="31" t="str">
        <x:v>115年2月</x:v>
      </x:c>
      <x:c r="C37" s="31" t="str">
        <x:v>新制</x:v>
      </x:c>
      <x:c r="D37" s="31" t="str">
        <x:v>轉存金融機構</x:v>
      </x:c>
      <x:c r="E37" s="40" t="n">
        <x:v>551814298768</x:v>
      </x:c>
      <x:c r="F37" s="43" t="n">
        <x:v>0.1043</x:v>
      </x:c>
      <x:c r="G37" s="31" t="str">
        <x:v>勞工退休基金-115年2月.pdf</x:v>
      </x:c>
      <x:c r="H37" s="32" t="str">
        <x:v>資產配置（新制勞工退休基金）</x:v>
      </x:c>
    </x:row>
    <x:row r="38">
      <x:c r="A38" s="37" t="n">
        <x:v>46054</x:v>
      </x:c>
      <x:c r="B38" s="31" t="str">
        <x:v>115年2月</x:v>
      </x:c>
      <x:c r="C38" s="31" t="str">
        <x:v>新制</x:v>
      </x:c>
      <x:c r="D38" s="31" t="str">
        <x:v>短期票券</x:v>
      </x:c>
      <x:c r="E38" s="40" t="n">
        <x:v>139879396860</x:v>
      </x:c>
      <x:c r="F38" s="43" t="n">
        <x:v>0.0264</x:v>
      </x:c>
      <x:c r="G38" s="31" t="str">
        <x:v>勞工退休基金-115年2月.pdf</x:v>
      </x:c>
      <x:c r="H38" s="32" t="str">
        <x:v>資產配置（新制勞工退休基金）</x:v>
      </x:c>
    </x:row>
    <x:row r="39">
      <x:c r="A39" s="37" t="n">
        <x:v>46054</x:v>
      </x:c>
      <x:c r="B39" s="31" t="str">
        <x:v>115年2月</x:v>
      </x:c>
      <x:c r="C39" s="31" t="str">
        <x:v>新制</x:v>
      </x:c>
      <x:c r="D39" s="31" t="str">
        <x:v>公債、公司債、金融債券及特別股</x:v>
      </x:c>
      <x:c r="E39" s="40" t="n">
        <x:v>244053087623</x:v>
      </x:c>
      <x:c r="F39" s="43" t="n">
        <x:v>0.0461</x:v>
      </x:c>
      <x:c r="G39" s="31" t="str">
        <x:v>勞工退休基金-115年2月.pdf</x:v>
      </x:c>
      <x:c r="H39" s="32" t="str">
        <x:v>資產配置（新制勞工退休基金）</x:v>
      </x:c>
    </x:row>
    <x:row r="40">
      <x:c r="A40" s="37" t="n">
        <x:v>46054</x:v>
      </x:c>
      <x:c r="B40" s="31" t="str">
        <x:v>115年2月</x:v>
      </x:c>
      <x:c r="C40" s="31" t="str">
        <x:v>新制</x:v>
      </x:c>
      <x:c r="D40" s="31" t="str">
        <x:v>股票及受益憑證投資（含期貨）</x:v>
      </x:c>
      <x:c r="E40" s="40" t="n">
        <x:v>261902549635</x:v>
      </x:c>
      <x:c r="F40" s="43" t="n">
        <x:v>0.0495</x:v>
      </x:c>
      <x:c r="G40" s="31" t="str">
        <x:v>勞工退休基金-115年2月.pdf</x:v>
      </x:c>
      <x:c r="H40" s="32" t="str">
        <x:v>資產配置（新制勞工退休基金）</x:v>
      </x:c>
    </x:row>
    <x:row r="41">
      <x:c r="A41" s="37" t="n">
        <x:v>46054</x:v>
      </x:c>
      <x:c r="B41" s="31" t="str">
        <x:v>115年2月</x:v>
      </x:c>
      <x:c r="C41" s="31" t="str">
        <x:v>新制</x:v>
      </x:c>
      <x:c r="D41" s="31" t="str">
        <x:v>國外投資</x:v>
      </x:c>
      <x:c r="E41" s="40" t="n">
        <x:v>818626515017</x:v>
      </x:c>
      <x:c r="F41" s="43" t="n">
        <x:v>0.1547</x:v>
      </x:c>
      <x:c r="G41" s="31" t="str">
        <x:v>勞工退休基金-115年2月.pdf</x:v>
      </x:c>
      <x:c r="H41" s="32" t="str">
        <x:v>資產配置（新制勞工退休基金）</x:v>
      </x:c>
    </x:row>
    <x:row r="42">
      <x:c r="A42" s="37" t="n">
        <x:v>46054</x:v>
      </x:c>
      <x:c r="B42" s="31" t="str">
        <x:v>115年2月</x:v>
      </x:c>
      <x:c r="C42" s="31" t="str">
        <x:v>新制</x:v>
      </x:c>
      <x:c r="D42" s="31" t="str">
        <x:v>自行運用-國外-固定收益</x:v>
      </x:c>
      <x:c r="E42" s="40" t="n">
        <x:v>722259488440</x:v>
      </x:c>
      <x:c r="F42" s="43" t="n">
        <x:v>0.1365</x:v>
      </x:c>
      <x:c r="G42" s="31" t="str">
        <x:v>勞工退休基金-115年2月.pdf</x:v>
      </x:c>
      <x:c r="H42" s="32" t="str">
        <x:v>資產配置（新制勞工退休基金）</x:v>
      </x:c>
    </x:row>
    <x:row r="43">
      <x:c r="A43" s="37" t="n">
        <x:v>46054</x:v>
      </x:c>
      <x:c r="B43" s="31" t="str">
        <x:v>115年2月</x:v>
      </x:c>
      <x:c r="C43" s="31" t="str">
        <x:v>新制</x:v>
      </x:c>
      <x:c r="D43" s="31" t="str">
        <x:v>自行運用-國外-權益證券</x:v>
      </x:c>
      <x:c r="E43" s="40" t="n">
        <x:v>50072812305</x:v>
      </x:c>
      <x:c r="F43" s="43" t="n">
        <x:v>0.0095</x:v>
      </x:c>
      <x:c r="G43" s="31" t="str">
        <x:v>勞工退休基金-115年2月.pdf</x:v>
      </x:c>
      <x:c r="H43" s="32" t="str">
        <x:v>資產配置（新制勞工退休基金）</x:v>
      </x:c>
    </x:row>
    <x:row r="44">
      <x:c r="A44" s="37" t="n">
        <x:v>46054</x:v>
      </x:c>
      <x:c r="B44" s="31" t="str">
        <x:v>115年2月</x:v>
      </x:c>
      <x:c r="C44" s="31" t="str">
        <x:v>新制</x:v>
      </x:c>
      <x:c r="D44" s="31" t="str">
        <x:v>自行運用-國外-另類投資</x:v>
      </x:c>
      <x:c r="E44" s="40" t="n">
        <x:v>46294214272</x:v>
      </x:c>
      <x:c r="F44" s="43" t="n">
        <x:v>0.0087</x:v>
      </x:c>
      <x:c r="G44" s="31" t="str">
        <x:v>勞工退休基金-115年2月.pdf</x:v>
      </x:c>
      <x:c r="H44" s="32" t="str">
        <x:v>資產配置（新制勞工退休基金）</x:v>
      </x:c>
    </x:row>
    <x:row r="45">
      <x:c r="A45" s="37" t="n">
        <x:v>46054</x:v>
      </x:c>
      <x:c r="B45" s="31" t="str">
        <x:v>115年2月</x:v>
      </x:c>
      <x:c r="C45" s="31" t="str">
        <x:v>新制</x:v>
      </x:c>
      <x:c r="D45" s="31" t="str">
        <x:v>委託經營</x:v>
      </x:c>
      <x:c r="E45" s="40" t="n">
        <x:v>3275416606126</x:v>
      </x:c>
      <x:c r="F45" s="43" t="n">
        <x:v>0.619</x:v>
      </x:c>
      <x:c r="G45" s="31" t="str">
        <x:v>勞工退休基金-115年2月.pdf</x:v>
      </x:c>
      <x:c r="H45" s="32" t="str">
        <x:v>資產配置（新制勞工退休基金）</x:v>
      </x:c>
    </x:row>
    <x:row r="46">
      <x:c r="A46" s="37" t="n">
        <x:v>46054</x:v>
      </x:c>
      <x:c r="B46" s="31" t="str">
        <x:v>115年2月</x:v>
      </x:c>
      <x:c r="C46" s="31" t="str">
        <x:v>新制</x:v>
      </x:c>
      <x:c r="D46" s="31" t="str">
        <x:v>委託經營-國內-權益證券</x:v>
      </x:c>
      <x:c r="E46" s="40" t="n">
        <x:v>838161704810</x:v>
      </x:c>
      <x:c r="F46" s="43" t="n">
        <x:v>0.15839999999999999</x:v>
      </x:c>
      <x:c r="G46" s="31" t="str">
        <x:v>勞工退休基金-115年2月.pdf</x:v>
      </x:c>
      <x:c r="H46" s="32" t="str">
        <x:v>資產配置（新制勞工退休基金）</x:v>
      </x:c>
    </x:row>
    <x:row r="47">
      <x:c r="A47" s="37" t="n">
        <x:v>46054</x:v>
      </x:c>
      <x:c r="B47" s="31" t="str">
        <x:v>115年2月</x:v>
      </x:c>
      <x:c r="C47" s="31" t="str">
        <x:v>新制</x:v>
      </x:c>
      <x:c r="D47" s="31" t="str">
        <x:v>國外委託經營</x:v>
      </x:c>
      <x:c r="E47" s="40" t="n">
        <x:v>2437254901316</x:v>
      </x:c>
      <x:c r="F47" s="43" t="n">
        <x:v>0.4606</x:v>
      </x:c>
      <x:c r="G47" s="31" t="str">
        <x:v>勞工退休基金-115年2月.pdf</x:v>
      </x:c>
      <x:c r="H47" s="32" t="str">
        <x:v>資產配置（新制勞工退休基金）</x:v>
      </x:c>
    </x:row>
    <x:row r="48">
      <x:c r="A48" s="37" t="n">
        <x:v>46054</x:v>
      </x:c>
      <x:c r="B48" s="31" t="str">
        <x:v>115年2月</x:v>
      </x:c>
      <x:c r="C48" s="31" t="str">
        <x:v>新制</x:v>
      </x:c>
      <x:c r="D48" s="31" t="str">
        <x:v>委託經營-國外-固定收益</x:v>
      </x:c>
      <x:c r="E48" s="40" t="n">
        <x:v>558341350399</x:v>
      </x:c>
      <x:c r="F48" s="43" t="n">
        <x:v>0.10550000000000001</x:v>
      </x:c>
      <x:c r="G48" s="31" t="str">
        <x:v>勞工退休基金-115年2月.pdf</x:v>
      </x:c>
      <x:c r="H48" s="32" t="str">
        <x:v>資產配置（新制勞工退休基金）</x:v>
      </x:c>
    </x:row>
    <x:row r="49">
      <x:c r="A49" s="37" t="n">
        <x:v>46054</x:v>
      </x:c>
      <x:c r="B49" s="31" t="str">
        <x:v>115年2月</x:v>
      </x:c>
      <x:c r="C49" s="31" t="str">
        <x:v>新制</x:v>
      </x:c>
      <x:c r="D49" s="31" t="str">
        <x:v>委託經營-國外-權益證券</x:v>
      </x:c>
      <x:c r="E49" s="40" t="n">
        <x:v>1349047104886</x:v>
      </x:c>
      <x:c r="F49" s="43" t="n">
        <x:v>0.25489999999999996</x:v>
      </x:c>
      <x:c r="G49" s="31" t="str">
        <x:v>勞工退休基金-115年2月.pdf</x:v>
      </x:c>
      <x:c r="H49" s="32" t="str">
        <x:v>資產配置（新制勞工退休基金）</x:v>
      </x:c>
    </x:row>
    <x:row r="50">
      <x:c r="A50" s="37" t="n">
        <x:v>46054</x:v>
      </x:c>
      <x:c r="B50" s="31" t="str">
        <x:v>115年2月</x:v>
      </x:c>
      <x:c r="C50" s="31" t="str">
        <x:v>新制</x:v>
      </x:c>
      <x:c r="D50" s="31" t="str">
        <x:v>委託經營-國外-另類投資</x:v>
      </x:c>
      <x:c r="E50" s="40" t="n">
        <x:v>529866446031</x:v>
      </x:c>
      <x:c r="F50" s="43" t="n">
        <x:v>0.1002</x:v>
      </x:c>
      <x:c r="G50" s="31" t="str">
        <x:v>勞工退休基金-115年2月.pdf</x:v>
      </x:c>
      <x:c r="H50" s="32" t="str">
        <x:v>資產配置（新制勞工退休基金）</x:v>
      </x:c>
    </x:row>
    <x:row r="51">
      <x:c r="A51" s="37" t="n">
        <x:v>46054</x:v>
      </x:c>
      <x:c r="B51" s="31" t="str">
        <x:v>115年2月</x:v>
      </x:c>
      <x:c r="C51" s="31" t="str">
        <x:v>新制</x:v>
      </x:c>
      <x:c r="D51" s="31" t="str">
        <x:v>合計</x:v>
      </x:c>
      <x:c r="E51" s="40" t="n">
        <x:v>5291692454029</x:v>
      </x:c>
      <x:c r="F51" s="43" t="n">
        <x:v>1</x:v>
      </x:c>
      <x:c r="G51" s="31" t="str">
        <x:v>勞工退休基金-115年2月.pdf</x:v>
      </x:c>
      <x:c r="H51" s="32" t="str">
        <x:v>資產配置（新制勞工退休基金）</x:v>
      </x:c>
    </x:row>
    <x:row r="52">
      <x:c r="A52" s="37" t="n">
        <x:v>46054</x:v>
      </x:c>
      <x:c r="B52" s="31" t="str">
        <x:v>115年2月</x:v>
      </x:c>
      <x:c r="C52" s="31" t="str">
        <x:v>舊制</x:v>
      </x:c>
      <x:c r="D52" s="31" t="str">
        <x:v>自行運用</x:v>
      </x:c>
      <x:c r="E52" s="40" t="n">
        <x:v>462453710128</x:v>
      </x:c>
      <x:c r="F52" s="43" t="n">
        <x:v>0.4291</x:v>
      </x:c>
      <x:c r="G52" s="31" t="str">
        <x:v>勞工退休基金-115年2月.pdf</x:v>
      </x:c>
      <x:c r="H52" s="32" t="str">
        <x:v>資產配置（舊制勞工退休基金）</x:v>
      </x:c>
    </x:row>
    <x:row r="53">
      <x:c r="A53" s="37" t="n">
        <x:v>46054</x:v>
      </x:c>
      <x:c r="B53" s="31" t="str">
        <x:v>115年2月</x:v>
      </x:c>
      <x:c r="C53" s="31" t="str">
        <x:v>舊制</x:v>
      </x:c>
      <x:c r="D53" s="31" t="str">
        <x:v>轉存金融機構</x:v>
      </x:c>
      <x:c r="E53" s="40" t="n">
        <x:v>122627786447</x:v>
      </x:c>
      <x:c r="F53" s="43" t="n">
        <x:v>0.11380000000000001</x:v>
      </x:c>
      <x:c r="G53" s="31" t="str">
        <x:v>勞工退休基金-115年2月.pdf</x:v>
      </x:c>
      <x:c r="H53" s="32" t="str">
        <x:v>資產配置（舊制勞工退休基金）</x:v>
      </x:c>
    </x:row>
    <x:row r="54">
      <x:c r="A54" s="37" t="n">
        <x:v>46054</x:v>
      </x:c>
      <x:c r="B54" s="31" t="str">
        <x:v>115年2月</x:v>
      </x:c>
      <x:c r="C54" s="31" t="str">
        <x:v>舊制</x:v>
      </x:c>
      <x:c r="D54" s="31" t="str">
        <x:v>短期票券</x:v>
      </x:c>
      <x:c r="E54" s="40" t="n">
        <x:v>52651862086</x:v>
      </x:c>
      <x:c r="F54" s="43" t="n">
        <x:v>0.0489</x:v>
      </x:c>
      <x:c r="G54" s="31" t="str">
        <x:v>勞工退休基金-115年2月.pdf</x:v>
      </x:c>
      <x:c r="H54" s="32" t="str">
        <x:v>資產配置（舊制勞工退休基金）</x:v>
      </x:c>
    </x:row>
    <x:row r="55">
      <x:c r="A55" s="37" t="n">
        <x:v>46054</x:v>
      </x:c>
      <x:c r="B55" s="31" t="str">
        <x:v>115年2月</x:v>
      </x:c>
      <x:c r="C55" s="31" t="str">
        <x:v>舊制</x:v>
      </x:c>
      <x:c r="D55" s="31" t="str">
        <x:v>公債、金融債券、公司債及證券化商品</x:v>
      </x:c>
      <x:c r="E55" s="40" t="n">
        <x:v>90590980711</x:v>
      </x:c>
      <x:c r="F55" s="43" t="n">
        <x:v>0.084</x:v>
      </x:c>
      <x:c r="G55" s="31" t="str">
        <x:v>勞工退休基金-115年2月.pdf</x:v>
      </x:c>
      <x:c r="H55" s="32" t="str">
        <x:v>資產配置（舊制勞工退休基金）</x:v>
      </x:c>
    </x:row>
    <x:row r="56">
      <x:c r="A56" s="37" t="n">
        <x:v>46054</x:v>
      </x:c>
      <x:c r="B56" s="31" t="str">
        <x:v>115年2月</x:v>
      </x:c>
      <x:c r="C56" s="31" t="str">
        <x:v>舊制</x:v>
      </x:c>
      <x:c r="D56" s="31" t="str">
        <x:v>股票及受益憑證投資（含期貨）</x:v>
      </x:c>
      <x:c r="E56" s="40" t="n">
        <x:v>125212612391</x:v>
      </x:c>
      <x:c r="F56" s="43" t="n">
        <x:v>0.1162</x:v>
      </x:c>
      <x:c r="G56" s="31" t="str">
        <x:v>勞工退休基金-115年2月.pdf</x:v>
      </x:c>
      <x:c r="H56" s="32" t="str">
        <x:v>資產配置（舊制勞工退休基金）</x:v>
      </x:c>
    </x:row>
    <x:row r="57">
      <x:c r="A57" s="37" t="n">
        <x:v>46054</x:v>
      </x:c>
      <x:c r="B57" s="31" t="str">
        <x:v>115年2月</x:v>
      </x:c>
      <x:c r="C57" s="31" t="str">
        <x:v>舊制</x:v>
      </x:c>
      <x:c r="D57" s="31" t="str">
        <x:v>國外投資</x:v>
      </x:c>
      <x:c r="E57" s="40" t="n">
        <x:v>71370468493</x:v>
      </x:c>
      <x:c r="F57" s="43" t="n">
        <x:v>0.0662</x:v>
      </x:c>
      <x:c r="G57" s="31" t="str">
        <x:v>勞工退休基金-115年2月.pdf</x:v>
      </x:c>
      <x:c r="H57" s="32" t="str">
        <x:v>資產配置（舊制勞工退休基金）</x:v>
      </x:c>
    </x:row>
    <x:row r="58">
      <x:c r="A58" s="37" t="n">
        <x:v>46054</x:v>
      </x:c>
      <x:c r="B58" s="31" t="str">
        <x:v>115年2月</x:v>
      </x:c>
      <x:c r="C58" s="31" t="str">
        <x:v>舊制</x:v>
      </x:c>
      <x:c r="D58" s="31" t="str">
        <x:v>自行運用-國外-固定收益</x:v>
      </x:c>
      <x:c r="E58" s="40" t="n">
        <x:v>37975916576</x:v>
      </x:c>
      <x:c r="F58" s="43" t="n">
        <x:v>0.0352</x:v>
      </x:c>
      <x:c r="G58" s="31" t="str">
        <x:v>勞工退休基金-115年2月.pdf</x:v>
      </x:c>
      <x:c r="H58" s="32" t="str">
        <x:v>資產配置（舊制勞工退休基金）</x:v>
      </x:c>
    </x:row>
    <x:row r="59">
      <x:c r="A59" s="37" t="n">
        <x:v>46054</x:v>
      </x:c>
      <x:c r="B59" s="31" t="str">
        <x:v>115年2月</x:v>
      </x:c>
      <x:c r="C59" s="31" t="str">
        <x:v>舊制</x:v>
      </x:c>
      <x:c r="D59" s="31" t="str">
        <x:v>自行運用-國外-權益證券</x:v>
      </x:c>
      <x:c r="E59" s="40" t="n">
        <x:v>29688137371</x:v>
      </x:c>
      <x:c r="F59" s="43" t="n">
        <x:v>0.0276</x:v>
      </x:c>
      <x:c r="G59" s="31" t="str">
        <x:v>勞工退休基金-115年2月.pdf</x:v>
      </x:c>
      <x:c r="H59" s="32" t="str">
        <x:v>資產配置（舊制勞工退休基金）</x:v>
      </x:c>
    </x:row>
    <x:row r="60">
      <x:c r="A60" s="37" t="n">
        <x:v>46054</x:v>
      </x:c>
      <x:c r="B60" s="31" t="str">
        <x:v>115年2月</x:v>
      </x:c>
      <x:c r="C60" s="31" t="str">
        <x:v>舊制</x:v>
      </x:c>
      <x:c r="D60" s="31" t="str">
        <x:v>自行運用-國外-另類投資</x:v>
      </x:c>
      <x:c r="E60" s="40" t="n">
        <x:v>3706414546</x:v>
      </x:c>
      <x:c r="F60" s="43" t="n">
        <x:v>0.0034000000000000002</x:v>
      </x:c>
      <x:c r="G60" s="31" t="str">
        <x:v>勞工退休基金-115年2月.pdf</x:v>
      </x:c>
      <x:c r="H60" s="32" t="str">
        <x:v>資產配置（舊制勞工退休基金）</x:v>
      </x:c>
    </x:row>
    <x:row r="61">
      <x:c r="A61" s="37" t="n">
        <x:v>46054</x:v>
      </x:c>
      <x:c r="B61" s="31" t="str">
        <x:v>115年2月</x:v>
      </x:c>
      <x:c r="C61" s="31" t="str">
        <x:v>舊制</x:v>
      </x:c>
      <x:c r="D61" s="31" t="str">
        <x:v>委託經營</x:v>
      </x:c>
      <x:c r="E61" s="40" t="n">
        <x:v>615376145148</x:v>
      </x:c>
      <x:c r="F61" s="43" t="n">
        <x:v>0.5709000000000001</x:v>
      </x:c>
      <x:c r="G61" s="31" t="str">
        <x:v>勞工退休基金-115年2月.pdf</x:v>
      </x:c>
      <x:c r="H61" s="32" t="str">
        <x:v>資產配置（舊制勞工退休基金）</x:v>
      </x:c>
    </x:row>
    <x:row r="62">
      <x:c r="A62" s="37" t="n">
        <x:v>46054</x:v>
      </x:c>
      <x:c r="B62" s="31" t="str">
        <x:v>115年2月</x:v>
      </x:c>
      <x:c r="C62" s="31" t="str">
        <x:v>舊制</x:v>
      </x:c>
      <x:c r="D62" s="31" t="str">
        <x:v>委託經營-國內-權益證券</x:v>
      </x:c>
      <x:c r="E62" s="40" t="n">
        <x:v>151292602643</x:v>
      </x:c>
      <x:c r="F62" s="43" t="n">
        <x:v>0.1404</x:v>
      </x:c>
      <x:c r="G62" s="31" t="str">
        <x:v>勞工退休基金-115年2月.pdf</x:v>
      </x:c>
      <x:c r="H62" s="32" t="str">
        <x:v>資產配置（舊制勞工退休基金）</x:v>
      </x:c>
    </x:row>
    <x:row r="63">
      <x:c r="A63" s="37" t="n">
        <x:v>46054</x:v>
      </x:c>
      <x:c r="B63" s="31" t="str">
        <x:v>115年2月</x:v>
      </x:c>
      <x:c r="C63" s="31" t="str">
        <x:v>舊制</x:v>
      </x:c>
      <x:c r="D63" s="31" t="str">
        <x:v>國外委託經營</x:v>
      </x:c>
      <x:c r="E63" s="40" t="n">
        <x:v>464083542505</x:v>
      </x:c>
      <x:c r="F63" s="43" t="n">
        <x:v>0.4305</x:v>
      </x:c>
      <x:c r="G63" s="31" t="str">
        <x:v>勞工退休基金-115年2月.pdf</x:v>
      </x:c>
      <x:c r="H63" s="32" t="str">
        <x:v>資產配置（舊制勞工退休基金）</x:v>
      </x:c>
    </x:row>
    <x:row r="64">
      <x:c r="A64" s="37" t="n">
        <x:v>46054</x:v>
      </x:c>
      <x:c r="B64" s="31" t="str">
        <x:v>115年2月</x:v>
      </x:c>
      <x:c r="C64" s="31" t="str">
        <x:v>舊制</x:v>
      </x:c>
      <x:c r="D64" s="31" t="str">
        <x:v>委託經營-國外-固定收益</x:v>
      </x:c>
      <x:c r="E64" s="40" t="n">
        <x:v>103179007498</x:v>
      </x:c>
      <x:c r="F64" s="43" t="n">
        <x:v>0.09570000000000001</x:v>
      </x:c>
      <x:c r="G64" s="31" t="str">
        <x:v>勞工退休基金-115年2月.pdf</x:v>
      </x:c>
      <x:c r="H64" s="32" t="str">
        <x:v>資產配置（舊制勞工退休基金）</x:v>
      </x:c>
    </x:row>
    <x:row r="65">
      <x:c r="A65" s="37" t="n">
        <x:v>46054</x:v>
      </x:c>
      <x:c r="B65" s="31" t="str">
        <x:v>115年2月</x:v>
      </x:c>
      <x:c r="C65" s="31" t="str">
        <x:v>舊制</x:v>
      </x:c>
      <x:c r="D65" s="31" t="str">
        <x:v>委託經營-國外-權益證券</x:v>
      </x:c>
      <x:c r="E65" s="40" t="n">
        <x:v>246431525266</x:v>
      </x:c>
      <x:c r="F65" s="43" t="n">
        <x:v>0.2286</x:v>
      </x:c>
      <x:c r="G65" s="31" t="str">
        <x:v>勞工退休基金-115年2月.pdf</x:v>
      </x:c>
      <x:c r="H65" s="32" t="str">
        <x:v>資產配置（舊制勞工退休基金）</x:v>
      </x:c>
    </x:row>
    <x:row r="66">
      <x:c r="A66" s="37" t="n">
        <x:v>46054</x:v>
      </x:c>
      <x:c r="B66" s="31" t="str">
        <x:v>115年2月</x:v>
      </x:c>
      <x:c r="C66" s="31" t="str">
        <x:v>舊制</x:v>
      </x:c>
      <x:c r="D66" s="31" t="str">
        <x:v>委託經營-國外-另類投資</x:v>
      </x:c>
      <x:c r="E66" s="40" t="n">
        <x:v>114473009741</x:v>
      </x:c>
      <x:c r="F66" s="43" t="n">
        <x:v>0.10619999999999999</x:v>
      </x:c>
      <x:c r="G66" s="31" t="str">
        <x:v>勞工退休基金-115年2月.pdf</x:v>
      </x:c>
      <x:c r="H66" s="32" t="str">
        <x:v>資產配置（舊制勞工退休基金）</x:v>
      </x:c>
    </x:row>
    <x:row r="67">
      <x:c r="A67" s="37" t="n">
        <x:v>46054</x:v>
      </x:c>
      <x:c r="B67" s="31" t="str">
        <x:v>115年2月</x:v>
      </x:c>
      <x:c r="C67" s="31" t="str">
        <x:v>舊制</x:v>
      </x:c>
      <x:c r="D67" s="31" t="str">
        <x:v>合計</x:v>
      </x:c>
      <x:c r="E67" s="40" t="n">
        <x:v>1077829855276</x:v>
      </x:c>
      <x:c r="F67" s="43" t="n">
        <x:v>1</x:v>
      </x:c>
      <x:c r="G67" s="31" t="str">
        <x:v>勞工退休基金-115年2月.pdf</x:v>
      </x:c>
      <x:c r="H67" s="32" t="str">
        <x:v>資產配置（舊制勞工退休基金）</x:v>
      </x:c>
    </x:row>
    <x:row r="68">
      <x:c r="A68" s="37" t="n">
        <x:v>46082</x:v>
      </x:c>
      <x:c r="B68" s="31" t="str">
        <x:v>115年3月</x:v>
      </x:c>
      <x:c r="C68" s="31" t="str">
        <x:v>新制</x:v>
      </x:c>
      <x:c r="D68" s="31" t="str">
        <x:v>自行運用</x:v>
      </x:c>
      <x:c r="E68" s="40" t="n">
        <x:v>2030548903388</x:v>
      </x:c>
      <x:c r="F68" s="43" t="n">
        <x:v>0.3738</x:v>
      </x:c>
      <x:c r="G68" s="31" t="str">
        <x:v>勞工退休基金-115年3月.pdf</x:v>
      </x:c>
      <x:c r="H68" s="32" t="str">
        <x:v>資產配置（新制勞工退休基金）</x:v>
      </x:c>
    </x:row>
    <x:row r="69">
      <x:c r="A69" s="37" t="n">
        <x:v>46082</x:v>
      </x:c>
      <x:c r="B69" s="31" t="str">
        <x:v>115年3月</x:v>
      </x:c>
      <x:c r="C69" s="31" t="str">
        <x:v>新制</x:v>
      </x:c>
      <x:c r="D69" s="31" t="str">
        <x:v>轉存金融機構</x:v>
      </x:c>
      <x:c r="E69" s="40" t="n">
        <x:v>539000516913</x:v>
      </x:c>
      <x:c r="F69" s="43" t="n">
        <x:v>0.0992</x:v>
      </x:c>
      <x:c r="G69" s="31" t="str">
        <x:v>勞工退休基金-115年3月.pdf</x:v>
      </x:c>
      <x:c r="H69" s="32" t="str">
        <x:v>資產配置（新制勞工退休基金）</x:v>
      </x:c>
    </x:row>
    <x:row r="70">
      <x:c r="A70" s="37" t="n">
        <x:v>46082</x:v>
      </x:c>
      <x:c r="B70" s="31" t="str">
        <x:v>115年3月</x:v>
      </x:c>
      <x:c r="C70" s="31" t="str">
        <x:v>新制</x:v>
      </x:c>
      <x:c r="D70" s="31" t="str">
        <x:v>短期票券</x:v>
      </x:c>
      <x:c r="E70" s="40" t="n">
        <x:v>126144961054</x:v>
      </x:c>
      <x:c r="F70" s="43" t="n">
        <x:v>0.0232</x:v>
      </x:c>
      <x:c r="G70" s="31" t="str">
        <x:v>勞工退休基金-115年3月.pdf</x:v>
      </x:c>
      <x:c r="H70" s="32" t="str">
        <x:v>資產配置（新制勞工退休基金）</x:v>
      </x:c>
    </x:row>
    <x:row r="71">
      <x:c r="A71" s="37" t="n">
        <x:v>46082</x:v>
      </x:c>
      <x:c r="B71" s="31" t="str">
        <x:v>115年3月</x:v>
      </x:c>
      <x:c r="C71" s="31" t="str">
        <x:v>新制</x:v>
      </x:c>
      <x:c r="D71" s="31" t="str">
        <x:v>公債、公司債、金融債券及特別股</x:v>
      </x:c>
      <x:c r="E71" s="40" t="n">
        <x:v>247398098097</x:v>
      </x:c>
      <x:c r="F71" s="43" t="n">
        <x:v>0.045599999999999995</x:v>
      </x:c>
      <x:c r="G71" s="31" t="str">
        <x:v>勞工退休基金-115年3月.pdf</x:v>
      </x:c>
      <x:c r="H71" s="32" t="str">
        <x:v>資產配置（新制勞工退休基金）</x:v>
      </x:c>
    </x:row>
    <x:row r="72">
      <x:c r="A72" s="37" t="n">
        <x:v>46082</x:v>
      </x:c>
      <x:c r="B72" s="31" t="str">
        <x:v>115年3月</x:v>
      </x:c>
      <x:c r="C72" s="31" t="str">
        <x:v>新制</x:v>
      </x:c>
      <x:c r="D72" s="31" t="str">
        <x:v>股票及受益憑證投資（含期貨）</x:v>
      </x:c>
      <x:c r="E72" s="40" t="n">
        <x:v>294916473298</x:v>
      </x:c>
      <x:c r="F72" s="43" t="n">
        <x:v>0.054299999999999994</x:v>
      </x:c>
      <x:c r="G72" s="31" t="str">
        <x:v>勞工退休基金-115年3月.pdf</x:v>
      </x:c>
      <x:c r="H72" s="32" t="str">
        <x:v>資產配置（新制勞工退休基金）</x:v>
      </x:c>
    </x:row>
    <x:row r="73">
      <x:c r="A73" s="37" t="n">
        <x:v>46082</x:v>
      </x:c>
      <x:c r="B73" s="31" t="str">
        <x:v>115年3月</x:v>
      </x:c>
      <x:c r="C73" s="31" t="str">
        <x:v>新制</x:v>
      </x:c>
      <x:c r="D73" s="31" t="str">
        <x:v>國外投資</x:v>
      </x:c>
      <x:c r="E73" s="40" t="n">
        <x:v>823088854026</x:v>
      </x:c>
      <x:c r="F73" s="43" t="n">
        <x:v>0.1515</x:v>
      </x:c>
      <x:c r="G73" s="31" t="str">
        <x:v>勞工退休基金-115年3月.pdf</x:v>
      </x:c>
      <x:c r="H73" s="32" t="str">
        <x:v>資產配置（新制勞工退休基金）</x:v>
      </x:c>
    </x:row>
    <x:row r="74">
      <x:c r="A74" s="37" t="n">
        <x:v>46082</x:v>
      </x:c>
      <x:c r="B74" s="31" t="str">
        <x:v>115年3月</x:v>
      </x:c>
      <x:c r="C74" s="31" t="str">
        <x:v>新制</x:v>
      </x:c>
      <x:c r="D74" s="31" t="str">
        <x:v>自行運用-國外-固定收益</x:v>
      </x:c>
      <x:c r="E74" s="40" t="n">
        <x:v>705413959933</x:v>
      </x:c>
      <x:c r="F74" s="43" t="n">
        <x:v>0.1298</x:v>
      </x:c>
      <x:c r="G74" s="31" t="str">
        <x:v>勞工退休基金-115年3月.pdf</x:v>
      </x:c>
      <x:c r="H74" s="32" t="str">
        <x:v>資產配置（新制勞工退休基金）</x:v>
      </x:c>
    </x:row>
    <x:row r="75">
      <x:c r="A75" s="37" t="n">
        <x:v>46082</x:v>
      </x:c>
      <x:c r="B75" s="31" t="str">
        <x:v>115年3月</x:v>
      </x:c>
      <x:c r="C75" s="31" t="str">
        <x:v>新制</x:v>
      </x:c>
      <x:c r="D75" s="31" t="str">
        <x:v>自行運用-國外-權益證券</x:v>
      </x:c>
      <x:c r="E75" s="40" t="n">
        <x:v>70940137440</x:v>
      </x:c>
      <x:c r="F75" s="43" t="n">
        <x:v>0.0131</x:v>
      </x:c>
      <x:c r="G75" s="31" t="str">
        <x:v>勞工退休基金-115年3月.pdf</x:v>
      </x:c>
      <x:c r="H75" s="32" t="str">
        <x:v>資產配置（新制勞工退休基金）</x:v>
      </x:c>
    </x:row>
    <x:row r="76">
      <x:c r="A76" s="37" t="n">
        <x:v>46082</x:v>
      </x:c>
      <x:c r="B76" s="31" t="str">
        <x:v>115年3月</x:v>
      </x:c>
      <x:c r="C76" s="31" t="str">
        <x:v>新制</x:v>
      </x:c>
      <x:c r="D76" s="31" t="str">
        <x:v>自行運用-國外-另類投資</x:v>
      </x:c>
      <x:c r="E76" s="40" t="n">
        <x:v>46734756653</x:v>
      </x:c>
      <x:c r="F76" s="43" t="n">
        <x:v>0.0086</x:v>
      </x:c>
      <x:c r="G76" s="31" t="str">
        <x:v>勞工退休基金-115年3月.pdf</x:v>
      </x:c>
      <x:c r="H76" s="32" t="str">
        <x:v>資產配置（新制勞工退休基金）</x:v>
      </x:c>
    </x:row>
    <x:row r="77">
      <x:c r="A77" s="37" t="n">
        <x:v>46082</x:v>
      </x:c>
      <x:c r="B77" s="31" t="str">
        <x:v>115年3月</x:v>
      </x:c>
      <x:c r="C77" s="31" t="str">
        <x:v>新制</x:v>
      </x:c>
      <x:c r="D77" s="31" t="str">
        <x:v>委託經營</x:v>
      </x:c>
      <x:c r="E77" s="40" t="n">
        <x:v>3401830156578</x:v>
      </x:c>
      <x:c r="F77" s="43" t="n">
        <x:v>0.6262</x:v>
      </x:c>
      <x:c r="G77" s="31" t="str">
        <x:v>勞工退休基金-115年3月.pdf</x:v>
      </x:c>
      <x:c r="H77" s="32" t="str">
        <x:v>資產配置（新制勞工退休基金）</x:v>
      </x:c>
    </x:row>
    <x:row r="78">
      <x:c r="A78" s="37" t="n">
        <x:v>46082</x:v>
      </x:c>
      <x:c r="B78" s="31" t="str">
        <x:v>115年3月</x:v>
      </x:c>
      <x:c r="C78" s="31" t="str">
        <x:v>新制</x:v>
      </x:c>
      <x:c r="D78" s="31" t="str">
        <x:v>委託經營-國內-權益證券</x:v>
      </x:c>
      <x:c r="E78" s="40" t="n">
        <x:v>858114899169</x:v>
      </x:c>
      <x:c r="F78" s="43" t="n">
        <x:v>0.158</x:v>
      </x:c>
      <x:c r="G78" s="31" t="str">
        <x:v>勞工退休基金-115年3月.pdf</x:v>
      </x:c>
      <x:c r="H78" s="32" t="str">
        <x:v>資產配置（新制勞工退休基金）</x:v>
      </x:c>
    </x:row>
    <x:row r="79">
      <x:c r="A79" s="37" t="n">
        <x:v>46082</x:v>
      </x:c>
      <x:c r="B79" s="31" t="str">
        <x:v>115年3月</x:v>
      </x:c>
      <x:c r="C79" s="31" t="str">
        <x:v>新制</x:v>
      </x:c>
      <x:c r="D79" s="31" t="str">
        <x:v>國外委託經營</x:v>
      </x:c>
      <x:c r="E79" s="40" t="n">
        <x:v>2543715257409</x:v>
      </x:c>
      <x:c r="F79" s="43" t="n">
        <x:v>0.4682</x:v>
      </x:c>
      <x:c r="G79" s="31" t="str">
        <x:v>勞工退休基金-115年3月.pdf</x:v>
      </x:c>
      <x:c r="H79" s="32" t="str">
        <x:v>資產配置（新制勞工退休基金）</x:v>
      </x:c>
    </x:row>
    <x:row r="80">
      <x:c r="A80" s="37" t="n">
        <x:v>46082</x:v>
      </x:c>
      <x:c r="B80" s="31" t="str">
        <x:v>115年3月</x:v>
      </x:c>
      <x:c r="C80" s="31" t="str">
        <x:v>新制</x:v>
      </x:c>
      <x:c r="D80" s="31" t="str">
        <x:v>委託經營-國外-固定收益</x:v>
      </x:c>
      <x:c r="E80" s="40" t="n">
        <x:v>573717349033</x:v>
      </x:c>
      <x:c r="F80" s="43" t="n">
        <x:v>0.1056</x:v>
      </x:c>
      <x:c r="G80" s="31" t="str">
        <x:v>勞工退休基金-115年3月.pdf</x:v>
      </x:c>
      <x:c r="H80" s="32" t="str">
        <x:v>資產配置（新制勞工退休基金）</x:v>
      </x:c>
    </x:row>
    <x:row r="81">
      <x:c r="A81" s="37" t="n">
        <x:v>46082</x:v>
      </x:c>
      <x:c r="B81" s="31" t="str">
        <x:v>115年3月</x:v>
      </x:c>
      <x:c r="C81" s="31" t="str">
        <x:v>新制</x:v>
      </x:c>
      <x:c r="D81" s="31" t="str">
        <x:v>委託經營-國外-權益證券</x:v>
      </x:c>
      <x:c r="E81" s="40" t="n">
        <x:v>1415972359796</x:v>
      </x:c>
      <x:c r="F81" s="43" t="n">
        <x:v>0.2606</x:v>
      </x:c>
      <x:c r="G81" s="31" t="str">
        <x:v>勞工退休基金-115年3月.pdf</x:v>
      </x:c>
      <x:c r="H81" s="32" t="str">
        <x:v>資產配置（新制勞工退休基金）</x:v>
      </x:c>
    </x:row>
    <x:row r="82">
      <x:c r="A82" s="37" t="n">
        <x:v>46082</x:v>
      </x:c>
      <x:c r="B82" s="31" t="str">
        <x:v>115年3月</x:v>
      </x:c>
      <x:c r="C82" s="31" t="str">
        <x:v>新制</x:v>
      </x:c>
      <x:c r="D82" s="31" t="str">
        <x:v>委託經營-國外-另類投資</x:v>
      </x:c>
      <x:c r="E82" s="40" t="n">
        <x:v>554025548580</x:v>
      </x:c>
      <x:c r="F82" s="43" t="n">
        <x:v>0.102</x:v>
      </x:c>
      <x:c r="G82" s="31" t="str">
        <x:v>勞工退休基金-115年3月.pdf</x:v>
      </x:c>
      <x:c r="H82" s="32" t="str">
        <x:v>資產配置（新制勞工退休基金）</x:v>
      </x:c>
    </x:row>
    <x:row r="83">
      <x:c r="A83" s="37" t="n">
        <x:v>46082</x:v>
      </x:c>
      <x:c r="B83" s="31" t="str">
        <x:v>115年3月</x:v>
      </x:c>
      <x:c r="C83" s="31" t="str">
        <x:v>新制</x:v>
      </x:c>
      <x:c r="D83" s="31" t="str">
        <x:v>合計</x:v>
      </x:c>
      <x:c r="E83" s="40" t="n">
        <x:v>5432379059966</x:v>
      </x:c>
      <x:c r="F83" s="43" t="n">
        <x:v>1</x:v>
      </x:c>
      <x:c r="G83" s="31" t="str">
        <x:v>勞工退休基金-115年3月.pdf</x:v>
      </x:c>
      <x:c r="H83" s="32" t="str">
        <x:v>資產配置（新制勞工退休基金）</x:v>
      </x:c>
    </x:row>
    <x:row r="84">
      <x:c r="A84" s="37" t="n">
        <x:v>46082</x:v>
      </x:c>
      <x:c r="B84" s="31" t="str">
        <x:v>115年3月</x:v>
      </x:c>
      <x:c r="C84" s="31" t="str">
        <x:v>舊制</x:v>
      </x:c>
      <x:c r="D84" s="31" t="str">
        <x:v>自行運用</x:v>
      </x:c>
      <x:c r="E84" s="40" t="n">
        <x:v>464879275632</x:v>
      </x:c>
      <x:c r="F84" s="43" t="n">
        <x:v>0.4219</x:v>
      </x:c>
      <x:c r="G84" s="31" t="str">
        <x:v>勞工退休基金-115年3月.pdf</x:v>
      </x:c>
      <x:c r="H84" s="32" t="str">
        <x:v>資產配置（舊制勞工退休基金）</x:v>
      </x:c>
    </x:row>
    <x:row r="85">
      <x:c r="A85" s="37" t="n">
        <x:v>46082</x:v>
      </x:c>
      <x:c r="B85" s="31" t="str">
        <x:v>115年3月</x:v>
      </x:c>
      <x:c r="C85" s="31" t="str">
        <x:v>舊制</x:v>
      </x:c>
      <x:c r="D85" s="31" t="str">
        <x:v>轉存金融機構</x:v>
      </x:c>
      <x:c r="E85" s="40" t="n">
        <x:v>127440875273</x:v>
      </x:c>
      <x:c r="F85" s="43" t="n">
        <x:v>0.1157</x:v>
      </x:c>
      <x:c r="G85" s="31" t="str">
        <x:v>勞工退休基金-115年3月.pdf</x:v>
      </x:c>
      <x:c r="H85" s="32" t="str">
        <x:v>資產配置（舊制勞工退休基金）</x:v>
      </x:c>
    </x:row>
    <x:row r="86">
      <x:c r="A86" s="37" t="n">
        <x:v>46082</x:v>
      </x:c>
      <x:c r="B86" s="31" t="str">
        <x:v>115年3月</x:v>
      </x:c>
      <x:c r="C86" s="31" t="str">
        <x:v>舊制</x:v>
      </x:c>
      <x:c r="D86" s="31" t="str">
        <x:v>短期票券</x:v>
      </x:c>
      <x:c r="E86" s="40" t="n">
        <x:v>57047796776</x:v>
      </x:c>
      <x:c r="F86" s="43" t="n">
        <x:v>0.0518</x:v>
      </x:c>
      <x:c r="G86" s="31" t="str">
        <x:v>勞工退休基金-115年3月.pdf</x:v>
      </x:c>
      <x:c r="H86" s="32" t="str">
        <x:v>資產配置（舊制勞工退休基金）</x:v>
      </x:c>
    </x:row>
    <x:row r="87">
      <x:c r="A87" s="37" t="n">
        <x:v>46082</x:v>
      </x:c>
      <x:c r="B87" s="31" t="str">
        <x:v>115年3月</x:v>
      </x:c>
      <x:c r="C87" s="31" t="str">
        <x:v>舊制</x:v>
      </x:c>
      <x:c r="D87" s="31" t="str">
        <x:v>公債、金融債券、公司債及證券化商品</x:v>
      </x:c>
      <x:c r="E87" s="40" t="n">
        <x:v>90701879368</x:v>
      </x:c>
      <x:c r="F87" s="43" t="n">
        <x:v>0.0823</x:v>
      </x:c>
      <x:c r="G87" s="31" t="str">
        <x:v>勞工退休基金-115年3月.pdf</x:v>
      </x:c>
      <x:c r="H87" s="32" t="str">
        <x:v>資產配置（舊制勞工退休基金）</x:v>
      </x:c>
    </x:row>
    <x:row r="88">
      <x:c r="A88" s="37" t="n">
        <x:v>46082</x:v>
      </x:c>
      <x:c r="B88" s="31" t="str">
        <x:v>115年3月</x:v>
      </x:c>
      <x:c r="C88" s="31" t="str">
        <x:v>舊制</x:v>
      </x:c>
      <x:c r="D88" s="31" t="str">
        <x:v>股票及受益憑證投資（含期貨）</x:v>
      </x:c>
      <x:c r="E88" s="40" t="n">
        <x:v>122925052696</x:v>
      </x:c>
      <x:c r="F88" s="43" t="n">
        <x:v>0.1115</x:v>
      </x:c>
      <x:c r="G88" s="31" t="str">
        <x:v>勞工退休基金-115年3月.pdf</x:v>
      </x:c>
      <x:c r="H88" s="32" t="str">
        <x:v>資產配置（舊制勞工退休基金）</x:v>
      </x:c>
    </x:row>
    <x:row r="89">
      <x:c r="A89" s="37" t="n">
        <x:v>46082</x:v>
      </x:c>
      <x:c r="B89" s="31" t="str">
        <x:v>115年3月</x:v>
      </x:c>
      <x:c r="C89" s="31" t="str">
        <x:v>舊制</x:v>
      </x:c>
      <x:c r="D89" s="31" t="str">
        <x:v>國外投資</x:v>
      </x:c>
      <x:c r="E89" s="40" t="n">
        <x:v>66763671519</x:v>
      </x:c>
      <x:c r="F89" s="43" t="n">
        <x:v>0.060599999999999994</x:v>
      </x:c>
      <x:c r="G89" s="31" t="str">
        <x:v>勞工退休基金-115年3月.pdf</x:v>
      </x:c>
      <x:c r="H89" s="32" t="str">
        <x:v>資產配置（舊制勞工退休基金）</x:v>
      </x:c>
    </x:row>
    <x:row r="90">
      <x:c r="A90" s="37" t="n">
        <x:v>46082</x:v>
      </x:c>
      <x:c r="B90" s="31" t="str">
        <x:v>115年3月</x:v>
      </x:c>
      <x:c r="C90" s="31" t="str">
        <x:v>舊制</x:v>
      </x:c>
      <x:c r="D90" s="31" t="str">
        <x:v>自行運用-國外-固定收益</x:v>
      </x:c>
      <x:c r="E90" s="40" t="n">
        <x:v>36247107869</x:v>
      </x:c>
      <x:c r="F90" s="43" t="n">
        <x:v>0.0329</x:v>
      </x:c>
      <x:c r="G90" s="31" t="str">
        <x:v>勞工退休基金-115年3月.pdf</x:v>
      </x:c>
      <x:c r="H90" s="32" t="str">
        <x:v>資產配置（舊制勞工退休基金）</x:v>
      </x:c>
    </x:row>
    <x:row r="91">
      <x:c r="A91" s="37" t="n">
        <x:v>46082</x:v>
      </x:c>
      <x:c r="B91" s="31" t="str">
        <x:v>115年3月</x:v>
      </x:c>
      <x:c r="C91" s="31" t="str">
        <x:v>舊制</x:v>
      </x:c>
      <x:c r="D91" s="31" t="str">
        <x:v>自行運用-國外-權益證券</x:v>
      </x:c>
      <x:c r="E91" s="40" t="n">
        <x:v>28026080031</x:v>
      </x:c>
      <x:c r="F91" s="43" t="n">
        <x:v>0.0254</x:v>
      </x:c>
      <x:c r="G91" s="31" t="str">
        <x:v>勞工退休基金-115年3月.pdf</x:v>
      </x:c>
      <x:c r="H91" s="32" t="str">
        <x:v>資產配置（舊制勞工退休基金）</x:v>
      </x:c>
    </x:row>
    <x:row r="92">
      <x:c r="A92" s="37" t="n">
        <x:v>46082</x:v>
      </x:c>
      <x:c r="B92" s="31" t="str">
        <x:v>115年3月</x:v>
      </x:c>
      <x:c r="C92" s="31" t="str">
        <x:v>舊制</x:v>
      </x:c>
      <x:c r="D92" s="31" t="str">
        <x:v>自行運用-國外-另類投資</x:v>
      </x:c>
      <x:c r="E92" s="40" t="n">
        <x:v>2490483619</x:v>
      </x:c>
      <x:c r="F92" s="43" t="n">
        <x:v>0.0023</x:v>
      </x:c>
      <x:c r="G92" s="31" t="str">
        <x:v>勞工退休基金-115年3月.pdf</x:v>
      </x:c>
      <x:c r="H92" s="32" t="str">
        <x:v>資產配置（舊制勞工退休基金）</x:v>
      </x:c>
    </x:row>
    <x:row r="93">
      <x:c r="A93" s="37" t="n">
        <x:v>46082</x:v>
      </x:c>
      <x:c r="B93" s="31" t="str">
        <x:v>115年3月</x:v>
      </x:c>
      <x:c r="C93" s="31" t="str">
        <x:v>舊制</x:v>
      </x:c>
      <x:c r="D93" s="31" t="str">
        <x:v>委託經營</x:v>
      </x:c>
      <x:c r="E93" s="40" t="n">
        <x:v>636995424130</x:v>
      </x:c>
      <x:c r="F93" s="43" t="n">
        <x:v>0.5781000000000001</x:v>
      </x:c>
      <x:c r="G93" s="31" t="str">
        <x:v>勞工退休基金-115年3月.pdf</x:v>
      </x:c>
      <x:c r="H93" s="32" t="str">
        <x:v>資產配置（舊制勞工退休基金）</x:v>
      </x:c>
    </x:row>
    <x:row r="94">
      <x:c r="A94" s="37" t="n">
        <x:v>46082</x:v>
      </x:c>
      <x:c r="B94" s="31" t="str">
        <x:v>115年3月</x:v>
      </x:c>
      <x:c r="C94" s="31" t="str">
        <x:v>舊制</x:v>
      </x:c>
      <x:c r="D94" s="31" t="str">
        <x:v>委託經營-國內-權益證券</x:v>
      </x:c>
      <x:c r="E94" s="40" t="n">
        <x:v>153907814001</x:v>
      </x:c>
      <x:c r="F94" s="43" t="n">
        <x:v>0.13970000000000002</x:v>
      </x:c>
      <x:c r="G94" s="31" t="str">
        <x:v>勞工退休基金-115年3月.pdf</x:v>
      </x:c>
      <x:c r="H94" s="32" t="str">
        <x:v>資產配置（舊制勞工退休基金）</x:v>
      </x:c>
    </x:row>
    <x:row r="95">
      <x:c r="A95" s="37" t="n">
        <x:v>46082</x:v>
      </x:c>
      <x:c r="B95" s="31" t="str">
        <x:v>115年3月</x:v>
      </x:c>
      <x:c r="C95" s="31" t="str">
        <x:v>舊制</x:v>
      </x:c>
      <x:c r="D95" s="31" t="str">
        <x:v>國外委託經營</x:v>
      </x:c>
      <x:c r="E95" s="40" t="n">
        <x:v>483087610129</x:v>
      </x:c>
      <x:c r="F95" s="43" t="n">
        <x:v>0.4384</x:v>
      </x:c>
      <x:c r="G95" s="31" t="str">
        <x:v>勞工退休基金-115年3月.pdf</x:v>
      </x:c>
      <x:c r="H95" s="32" t="str">
        <x:v>資產配置（舊制勞工退休基金）</x:v>
      </x:c>
    </x:row>
    <x:row r="96">
      <x:c r="A96" s="37" t="n">
        <x:v>46082</x:v>
      </x:c>
      <x:c r="B96" s="31" t="str">
        <x:v>115年3月</x:v>
      </x:c>
      <x:c r="C96" s="31" t="str">
        <x:v>舊制</x:v>
      </x:c>
      <x:c r="D96" s="31" t="str">
        <x:v>委託經營-國外-固定收益</x:v>
      </x:c>
      <x:c r="E96" s="40" t="n">
        <x:v>107937883777</x:v>
      </x:c>
      <x:c r="F96" s="43" t="n">
        <x:v>0.098</x:v>
      </x:c>
      <x:c r="G96" s="31" t="str">
        <x:v>勞工退休基金-115年3月.pdf</x:v>
      </x:c>
      <x:c r="H96" s="32" t="str">
        <x:v>資產配置（舊制勞工退休基金）</x:v>
      </x:c>
    </x:row>
    <x:row r="97">
      <x:c r="A97" s="37" t="n">
        <x:v>46082</x:v>
      </x:c>
      <x:c r="B97" s="31" t="str">
        <x:v>115年3月</x:v>
      </x:c>
      <x:c r="C97" s="31" t="str">
        <x:v>舊制</x:v>
      </x:c>
      <x:c r="D97" s="31" t="str">
        <x:v>委託經營-國外-權益證券</x:v>
      </x:c>
      <x:c r="E97" s="40" t="n">
        <x:v>256515293681</x:v>
      </x:c>
      <x:c r="F97" s="43" t="n">
        <x:v>0.2328</x:v>
      </x:c>
      <x:c r="G97" s="31" t="str">
        <x:v>勞工退休基金-115年3月.pdf</x:v>
      </x:c>
      <x:c r="H97" s="32" t="str">
        <x:v>資產配置（舊制勞工退休基金）</x:v>
      </x:c>
    </x:row>
    <x:row r="98">
      <x:c r="A98" s="37" t="n">
        <x:v>46082</x:v>
      </x:c>
      <x:c r="B98" s="31" t="str">
        <x:v>115年3月</x:v>
      </x:c>
      <x:c r="C98" s="31" t="str">
        <x:v>舊制</x:v>
      </x:c>
      <x:c r="D98" s="31" t="str">
        <x:v>委託經營-國外-另類投資</x:v>
      </x:c>
      <x:c r="E98" s="40" t="n">
        <x:v>118634432671</x:v>
      </x:c>
      <x:c r="F98" s="43" t="n">
        <x:v>0.1076</x:v>
      </x:c>
      <x:c r="G98" s="31" t="str">
        <x:v>勞工退休基金-115年3月.pdf</x:v>
      </x:c>
      <x:c r="H98" s="32" t="str">
        <x:v>資產配置（舊制勞工退休基金）</x:v>
      </x:c>
    </x:row>
    <x:row r="99">
      <x:c r="A99" s="37" t="n">
        <x:v>46082</x:v>
      </x:c>
      <x:c r="B99" s="31" t="str">
        <x:v>115年3月</x:v>
      </x:c>
      <x:c r="C99" s="31" t="str">
        <x:v>舊制</x:v>
      </x:c>
      <x:c r="D99" s="31" t="str">
        <x:v>合計</x:v>
      </x:c>
      <x:c r="E99" s="40" t="n">
        <x:v>1101874699762</x:v>
      </x:c>
      <x:c r="F99" s="43" t="n">
        <x:v>1</x:v>
      </x:c>
      <x:c r="G99" s="31" t="str">
        <x:v>勞工退休基金-115年3月.pdf</x:v>
      </x:c>
      <x:c r="H99" s="32" t="str">
        <x:v>資產配置（舊制勞工退休基金）</x:v>
      </x:c>
    </x:row>
    <x:row r="100">
      <x:c r="A100" s="37" t="n">
        <x:v>46113</x:v>
      </x:c>
      <x:c r="B100" s="31" t="str">
        <x:v>115年4月</x:v>
      </x:c>
      <x:c r="C100" s="31" t="str">
        <x:v>新制</x:v>
      </x:c>
      <x:c r="D100" s="31" t="str">
        <x:v>自行運用</x:v>
      </x:c>
      <x:c r="E100" s="40" t="n">
        <x:v>2031486510214</x:v>
      </x:c>
      <x:c r="F100" s="43" t="n">
        <x:v>0.3711</x:v>
      </x:c>
      <x:c r="G100" s="31" t="str">
        <x:v>勞工退休基金-115年4月.pdf</x:v>
      </x:c>
      <x:c r="H100" s="32" t="str">
        <x:v>資產配置（新制勞工退休基金）</x:v>
      </x:c>
    </x:row>
    <x:row r="101">
      <x:c r="A101" s="37" t="n">
        <x:v>46113</x:v>
      </x:c>
      <x:c r="B101" s="31" t="str">
        <x:v>115年4月</x:v>
      </x:c>
      <x:c r="C101" s="31" t="str">
        <x:v>新制</x:v>
      </x:c>
      <x:c r="D101" s="31" t="str">
        <x:v>轉存金融機構</x:v>
      </x:c>
      <x:c r="E101" s="40" t="n">
        <x:v>528249368270</x:v>
      </x:c>
      <x:c r="F101" s="43" t="n">
        <x:v>0.0965</x:v>
      </x:c>
      <x:c r="G101" s="31" t="str">
        <x:v>勞工退休基金-115年4月.pdf</x:v>
      </x:c>
      <x:c r="H101" s="32" t="str">
        <x:v>資產配置（新制勞工退休基金）</x:v>
      </x:c>
    </x:row>
    <x:row r="102">
      <x:c r="A102" s="37" t="n">
        <x:v>46113</x:v>
      </x:c>
      <x:c r="B102" s="31" t="str">
        <x:v>115年4月</x:v>
      </x:c>
      <x:c r="C102" s="31" t="str">
        <x:v>新制</x:v>
      </x:c>
      <x:c r="D102" s="31" t="str">
        <x:v>短期票券</x:v>
      </x:c>
      <x:c r="E102" s="40" t="n">
        <x:v>128478928640</x:v>
      </x:c>
      <x:c r="F102" s="43" t="n">
        <x:v>0.0235</x:v>
      </x:c>
      <x:c r="G102" s="31" t="str">
        <x:v>勞工退休基金-115年4月.pdf</x:v>
      </x:c>
      <x:c r="H102" s="32" t="str">
        <x:v>資產配置（新制勞工退休基金）</x:v>
      </x:c>
    </x:row>
    <x:row r="103">
      <x:c r="A103" s="37" t="n">
        <x:v>46113</x:v>
      </x:c>
      <x:c r="B103" s="31" t="str">
        <x:v>115年4月</x:v>
      </x:c>
      <x:c r="C103" s="31" t="str">
        <x:v>新制</x:v>
      </x:c>
      <x:c r="D103" s="31" t="str">
        <x:v>公債、公司債、金融債券及特別股</x:v>
      </x:c>
      <x:c r="E103" s="40" t="n">
        <x:v>247293267422</x:v>
      </x:c>
      <x:c r="F103" s="43" t="n">
        <x:v>0.0452</x:v>
      </x:c>
      <x:c r="G103" s="31" t="str">
        <x:v>勞工退休基金-115年4月.pdf</x:v>
      </x:c>
      <x:c r="H103" s="32" t="str">
        <x:v>資產配置（新制勞工退休基金）</x:v>
      </x:c>
    </x:row>
    <x:row r="104">
      <x:c r="A104" s="37" t="n">
        <x:v>46113</x:v>
      </x:c>
      <x:c r="B104" s="31" t="str">
        <x:v>115年4月</x:v>
      </x:c>
      <x:c r="C104" s="31" t="str">
        <x:v>新制</x:v>
      </x:c>
      <x:c r="D104" s="31" t="str">
        <x:v>股票及受益憑證投資（含期貨）</x:v>
      </x:c>
      <x:c r="E104" s="40" t="n">
        <x:v>294128828840</x:v>
      </x:c>
      <x:c r="F104" s="43" t="n">
        <x:v>0.0537</x:v>
      </x:c>
      <x:c r="G104" s="31" t="str">
        <x:v>勞工退休基金-115年4月.pdf</x:v>
      </x:c>
      <x:c r="H104" s="32" t="str">
        <x:v>資產配置（新制勞工退休基金）</x:v>
      </x:c>
    </x:row>
    <x:row r="105">
      <x:c r="A105" s="37" t="n">
        <x:v>46113</x:v>
      </x:c>
      <x:c r="B105" s="31" t="str">
        <x:v>115年4月</x:v>
      </x:c>
      <x:c r="C105" s="31" t="str">
        <x:v>新制</x:v>
      </x:c>
      <x:c r="D105" s="31" t="str">
        <x:v>國外投資</x:v>
      </x:c>
      <x:c r="E105" s="40" t="n">
        <x:v>833336117042</x:v>
      </x:c>
      <x:c r="F105" s="43" t="n">
        <x:v>0.1522</x:v>
      </x:c>
      <x:c r="G105" s="31" t="str">
        <x:v>勞工退休基金-115年4月.pdf</x:v>
      </x:c>
      <x:c r="H105" s="32" t="str">
        <x:v>資產配置（新制勞工退休基金）</x:v>
      </x:c>
    </x:row>
    <x:row r="106">
      <x:c r="A106" s="37" t="n">
        <x:v>46113</x:v>
      </x:c>
      <x:c r="B106" s="31" t="str">
        <x:v>115年4月</x:v>
      </x:c>
      <x:c r="C106" s="31" t="str">
        <x:v>新制</x:v>
      </x:c>
      <x:c r="D106" s="31" t="str">
        <x:v>自行運用-國外-固定收益</x:v>
      </x:c>
      <x:c r="E106" s="40" t="n">
        <x:v>716865063430</x:v>
      </x:c>
      <x:c r="F106" s="43" t="n">
        <x:v>0.1309</x:v>
      </x:c>
      <x:c r="G106" s="31" t="str">
        <x:v>勞工退休基金-115年4月.pdf</x:v>
      </x:c>
      <x:c r="H106" s="32" t="str">
        <x:v>資產配置（新制勞工退休基金）</x:v>
      </x:c>
    </x:row>
    <x:row r="107">
      <x:c r="A107" s="37" t="n">
        <x:v>46113</x:v>
      </x:c>
      <x:c r="B107" s="31" t="str">
        <x:v>115年4月</x:v>
      </x:c>
      <x:c r="C107" s="31" t="str">
        <x:v>新制</x:v>
      </x:c>
      <x:c r="D107" s="31" t="str">
        <x:v>自行運用-國外-權益證券</x:v>
      </x:c>
      <x:c r="E107" s="40" t="n">
        <x:v>70735735443</x:v>
      </x:c>
      <x:c r="F107" s="43" t="n">
        <x:v>0.0129</x:v>
      </x:c>
      <x:c r="G107" s="31" t="str">
        <x:v>勞工退休基金-115年4月.pdf</x:v>
      </x:c>
      <x:c r="H107" s="32" t="str">
        <x:v>資產配置（新制勞工退休基金）</x:v>
      </x:c>
    </x:row>
    <x:row r="108">
      <x:c r="A108" s="37" t="n">
        <x:v>46113</x:v>
      </x:c>
      <x:c r="B108" s="31" t="str">
        <x:v>115年4月</x:v>
      </x:c>
      <x:c r="C108" s="31" t="str">
        <x:v>新制</x:v>
      </x:c>
      <x:c r="D108" s="31" t="str">
        <x:v>自行運用-國外-另類投資</x:v>
      </x:c>
      <x:c r="E108" s="40" t="n">
        <x:v>45735318169</x:v>
      </x:c>
      <x:c r="F108" s="43" t="n">
        <x:v>0.0084</x:v>
      </x:c>
      <x:c r="G108" s="31" t="str">
        <x:v>勞工退休基金-115年4月.pdf</x:v>
      </x:c>
      <x:c r="H108" s="32" t="str">
        <x:v>資產配置（新制勞工退休基金）</x:v>
      </x:c>
    </x:row>
    <x:row r="109">
      <x:c r="A109" s="37" t="n">
        <x:v>46113</x:v>
      </x:c>
      <x:c r="B109" s="31" t="str">
        <x:v>115年4月</x:v>
      </x:c>
      <x:c r="C109" s="31" t="str">
        <x:v>新制</x:v>
      </x:c>
      <x:c r="D109" s="31" t="str">
        <x:v>委託經營</x:v>
      </x:c>
      <x:c r="E109" s="40" t="n">
        <x:v>3443249246243</x:v>
      </x:c>
      <x:c r="F109" s="43" t="n">
        <x:v>0.6289</x:v>
      </x:c>
      <x:c r="G109" s="31" t="str">
        <x:v>勞工退休基金-115年4月.pdf</x:v>
      </x:c>
      <x:c r="H109" s="32" t="str">
        <x:v>資產配置（新制勞工退休基金）</x:v>
      </x:c>
    </x:row>
    <x:row r="110">
      <x:c r="A110" s="37" t="n">
        <x:v>46113</x:v>
      </x:c>
      <x:c r="B110" s="31" t="str">
        <x:v>115年4月</x:v>
      </x:c>
      <x:c r="C110" s="31" t="str">
        <x:v>新制</x:v>
      </x:c>
      <x:c r="D110" s="31" t="str">
        <x:v>委託經營-國內-權益證券</x:v>
      </x:c>
      <x:c r="E110" s="40" t="n">
        <x:v>901284116115</x:v>
      </x:c>
      <x:c r="F110" s="43" t="n">
        <x:v>0.1646</x:v>
      </x:c>
      <x:c r="G110" s="31" t="str">
        <x:v>勞工退休基金-115年4月.pdf</x:v>
      </x:c>
      <x:c r="H110" s="32" t="str">
        <x:v>資產配置（新制勞工退休基金）</x:v>
      </x:c>
    </x:row>
    <x:row r="111">
      <x:c r="A111" s="37" t="n">
        <x:v>46113</x:v>
      </x:c>
      <x:c r="B111" s="31" t="str">
        <x:v>115年4月</x:v>
      </x:c>
      <x:c r="C111" s="31" t="str">
        <x:v>新制</x:v>
      </x:c>
      <x:c r="D111" s="31" t="str">
        <x:v>國外委託經營</x:v>
      </x:c>
      <x:c r="E111" s="40" t="n">
        <x:v>2541965130128</x:v>
      </x:c>
      <x:c r="F111" s="43" t="n">
        <x:v>0.4643</x:v>
      </x:c>
      <x:c r="G111" s="31" t="str">
        <x:v>勞工退休基金-115年4月.pdf</x:v>
      </x:c>
      <x:c r="H111" s="32" t="str">
        <x:v>資產配置（新制勞工退休基金）</x:v>
      </x:c>
    </x:row>
    <x:row r="112">
      <x:c r="A112" s="37" t="n">
        <x:v>46113</x:v>
      </x:c>
      <x:c r="B112" s="31" t="str">
        <x:v>115年4月</x:v>
      </x:c>
      <x:c r="C112" s="31" t="str">
        <x:v>新制</x:v>
      </x:c>
      <x:c r="D112" s="31" t="str">
        <x:v>委託經營-國外-固定收益</x:v>
      </x:c>
      <x:c r="E112" s="40" t="n">
        <x:v>570715984373</x:v>
      </x:c>
      <x:c r="F112" s="43" t="n">
        <x:v>0.1042</x:v>
      </x:c>
      <x:c r="G112" s="31" t="str">
        <x:v>勞工退休基金-115年4月.pdf</x:v>
      </x:c>
      <x:c r="H112" s="32" t="str">
        <x:v>資產配置（新制勞工退休基金）</x:v>
      </x:c>
    </x:row>
    <x:row r="113">
      <x:c r="A113" s="37" t="n">
        <x:v>46113</x:v>
      </x:c>
      <x:c r="B113" s="31" t="str">
        <x:v>115年4月</x:v>
      </x:c>
      <x:c r="C113" s="31" t="str">
        <x:v>新制</x:v>
      </x:c>
      <x:c r="D113" s="31" t="str">
        <x:v>委託經營-國外-權益證券</x:v>
      </x:c>
      <x:c r="E113" s="40" t="n">
        <x:v>1420766174238</x:v>
      </x:c>
      <x:c r="F113" s="43" t="n">
        <x:v>0.2595</x:v>
      </x:c>
      <x:c r="G113" s="31" t="str">
        <x:v>勞工退休基金-115年4月.pdf</x:v>
      </x:c>
      <x:c r="H113" s="32" t="str">
        <x:v>資產配置（新制勞工退休基金）</x:v>
      </x:c>
    </x:row>
    <x:row r="114">
      <x:c r="A114" s="37" t="n">
        <x:v>46113</x:v>
      </x:c>
      <x:c r="B114" s="31" t="str">
        <x:v>115年4月</x:v>
      </x:c>
      <x:c r="C114" s="31" t="str">
        <x:v>新制</x:v>
      </x:c>
      <x:c r="D114" s="31" t="str">
        <x:v>委託經營-國外-另類投資</x:v>
      </x:c>
      <x:c r="E114" s="40" t="n">
        <x:v>550482971517</x:v>
      </x:c>
      <x:c r="F114" s="43" t="n">
        <x:v>0.10060000000000001</x:v>
      </x:c>
      <x:c r="G114" s="31" t="str">
        <x:v>勞工退休基金-115年4月.pdf</x:v>
      </x:c>
      <x:c r="H114" s="32" t="str">
        <x:v>資產配置（新制勞工退休基金）</x:v>
      </x:c>
    </x:row>
    <x:row r="115">
      <x:c r="A115" s="37" t="n">
        <x:v>46113</x:v>
      </x:c>
      <x:c r="B115" s="31" t="str">
        <x:v>115年4月</x:v>
      </x:c>
      <x:c r="C115" s="31" t="str">
        <x:v>新制</x:v>
      </x:c>
      <x:c r="D115" s="31" t="str">
        <x:v>合計</x:v>
      </x:c>
      <x:c r="E115" s="40" t="n">
        <x:v>5474735756457</x:v>
      </x:c>
      <x:c r="F115" s="43" t="n">
        <x:v>1</x:v>
      </x:c>
      <x:c r="G115" s="31" t="str">
        <x:v>勞工退休基金-115年4月.pdf</x:v>
      </x:c>
      <x:c r="H115" s="32" t="str">
        <x:v>資產配置（新制勞工退休基金）</x:v>
      </x:c>
    </x:row>
    <x:row r="116">
      <x:c r="A116" s="37" t="n">
        <x:v>46113</x:v>
      </x:c>
      <x:c r="B116" s="31" t="str">
        <x:v>115年4月</x:v>
      </x:c>
      <x:c r="C116" s="31" t="str">
        <x:v>舊制</x:v>
      </x:c>
      <x:c r="D116" s="31" t="str">
        <x:v>自行運用</x:v>
      </x:c>
      <x:c r="E116" s="40" t="n">
        <x:v>464107300003</x:v>
      </x:c>
      <x:c r="F116" s="43" t="n">
        <x:v>0.41960000000000003</x:v>
      </x:c>
      <x:c r="G116" s="31" t="str">
        <x:v>勞工退休基金-115年4月.pdf</x:v>
      </x:c>
      <x:c r="H116" s="32" t="str">
        <x:v>資產配置（舊制勞工退休基金）</x:v>
      </x:c>
    </x:row>
    <x:row r="117">
      <x:c r="A117" s="37" t="n">
        <x:v>46113</x:v>
      </x:c>
      <x:c r="B117" s="31" t="str">
        <x:v>115年4月</x:v>
      </x:c>
      <x:c r="C117" s="31" t="str">
        <x:v>舊制</x:v>
      </x:c>
      <x:c r="D117" s="31" t="str">
        <x:v>轉存金融機構</x:v>
      </x:c>
      <x:c r="E117" s="40" t="n">
        <x:v>135814606553</x:v>
      </x:c>
      <x:c r="F117" s="43" t="n">
        <x:v>0.12279999999999999</x:v>
      </x:c>
      <x:c r="G117" s="31" t="str">
        <x:v>勞工退休基金-115年4月.pdf</x:v>
      </x:c>
      <x:c r="H117" s="32" t="str">
        <x:v>資產配置（舊制勞工退休基金）</x:v>
      </x:c>
    </x:row>
    <x:row r="118">
      <x:c r="A118" s="37" t="n">
        <x:v>46113</x:v>
      </x:c>
      <x:c r="B118" s="31" t="str">
        <x:v>115年4月</x:v>
      </x:c>
      <x:c r="C118" s="31" t="str">
        <x:v>舊制</x:v>
      </x:c>
      <x:c r="D118" s="31" t="str">
        <x:v>短期票券</x:v>
      </x:c>
      <x:c r="E118" s="40" t="n">
        <x:v>59321568064</x:v>
      </x:c>
      <x:c r="F118" s="43" t="n">
        <x:v>0.0536</x:v>
      </x:c>
      <x:c r="G118" s="31" t="str">
        <x:v>勞工退休基金-115年4月.pdf</x:v>
      </x:c>
      <x:c r="H118" s="32" t="str">
        <x:v>資產配置（舊制勞工退休基金）</x:v>
      </x:c>
    </x:row>
    <x:row r="119">
      <x:c r="A119" s="37" t="n">
        <x:v>46113</x:v>
      </x:c>
      <x:c r="B119" s="31" t="str">
        <x:v>115年4月</x:v>
      </x:c>
      <x:c r="C119" s="31" t="str">
        <x:v>舊制</x:v>
      </x:c>
      <x:c r="D119" s="31" t="str">
        <x:v>公債、金融債券、公司債及證券化商品</x:v>
      </x:c>
      <x:c r="E119" s="40" t="n">
        <x:v>89511720577</x:v>
      </x:c>
      <x:c r="F119" s="43" t="n">
        <x:v>0.0809</x:v>
      </x:c>
      <x:c r="G119" s="31" t="str">
        <x:v>勞工退休基金-115年4月.pdf</x:v>
      </x:c>
      <x:c r="H119" s="32" t="str">
        <x:v>資產配置（舊制勞工退休基金）</x:v>
      </x:c>
    </x:row>
    <x:row r="120">
      <x:c r="A120" s="37" t="n">
        <x:v>46113</x:v>
      </x:c>
      <x:c r="B120" s="31" t="str">
        <x:v>115年4月</x:v>
      </x:c>
      <x:c r="C120" s="31" t="str">
        <x:v>舊制</x:v>
      </x:c>
      <x:c r="D120" s="31" t="str">
        <x:v>股票及受益憑證投資（含期貨）</x:v>
      </x:c>
      <x:c r="E120" s="40" t="n">
        <x:v>116463210207</x:v>
      </x:c>
      <x:c r="F120" s="43" t="n">
        <x:v>0.10529999999999999</x:v>
      </x:c>
      <x:c r="G120" s="31" t="str">
        <x:v>勞工退休基金-115年4月.pdf</x:v>
      </x:c>
      <x:c r="H120" s="32" t="str">
        <x:v>資產配置（舊制勞工退休基金）</x:v>
      </x:c>
    </x:row>
    <x:row r="121">
      <x:c r="A121" s="37" t="n">
        <x:v>46113</x:v>
      </x:c>
      <x:c r="B121" s="31" t="str">
        <x:v>115年4月</x:v>
      </x:c>
      <x:c r="C121" s="31" t="str">
        <x:v>舊制</x:v>
      </x:c>
      <x:c r="D121" s="31" t="str">
        <x:v>國外投資</x:v>
      </x:c>
      <x:c r="E121" s="40" t="n">
        <x:v>62996194602</x:v>
      </x:c>
      <x:c r="F121" s="43" t="n">
        <x:v>0.057</x:v>
      </x:c>
      <x:c r="G121" s="31" t="str">
        <x:v>勞工退休基金-115年4月.pdf</x:v>
      </x:c>
      <x:c r="H121" s="32" t="str">
        <x:v>資產配置（舊制勞工退休基金）</x:v>
      </x:c>
    </x:row>
    <x:row r="122">
      <x:c r="A122" s="37" t="n">
        <x:v>46113</x:v>
      </x:c>
      <x:c r="B122" s="31" t="str">
        <x:v>115年4月</x:v>
      </x:c>
      <x:c r="C122" s="31" t="str">
        <x:v>舊制</x:v>
      </x:c>
      <x:c r="D122" s="31" t="str">
        <x:v>自行運用-國外-固定收益</x:v>
      </x:c>
      <x:c r="E122" s="40" t="n">
        <x:v>33645097307</x:v>
      </x:c>
      <x:c r="F122" s="43" t="n">
        <x:v>0.0305</x:v>
      </x:c>
      <x:c r="G122" s="31" t="str">
        <x:v>勞工退休基金-115年4月.pdf</x:v>
      </x:c>
      <x:c r="H122" s="32" t="str">
        <x:v>資產配置（舊制勞工退休基金）</x:v>
      </x:c>
    </x:row>
    <x:row r="123">
      <x:c r="A123" s="37" t="n">
        <x:v>46113</x:v>
      </x:c>
      <x:c r="B123" s="31" t="str">
        <x:v>115年4月</x:v>
      </x:c>
      <x:c r="C123" s="31" t="str">
        <x:v>舊制</x:v>
      </x:c>
      <x:c r="D123" s="31" t="str">
        <x:v>自行運用-國外-權益證券</x:v>
      </x:c>
      <x:c r="E123" s="40" t="n">
        <x:v>27416980369</x:v>
      </x:c>
      <x:c r="F123" s="43" t="n">
        <x:v>0.024700000000000003</x:v>
      </x:c>
      <x:c r="G123" s="31" t="str">
        <x:v>勞工退休基金-115年4月.pdf</x:v>
      </x:c>
      <x:c r="H123" s="32" t="str">
        <x:v>資產配置（舊制勞工退休基金）</x:v>
      </x:c>
    </x:row>
    <x:row r="124">
      <x:c r="A124" s="37" t="n">
        <x:v>46113</x:v>
      </x:c>
      <x:c r="B124" s="31" t="str">
        <x:v>115年4月</x:v>
      </x:c>
      <x:c r="C124" s="31" t="str">
        <x:v>舊制</x:v>
      </x:c>
      <x:c r="D124" s="31" t="str">
        <x:v>自行運用-國外-另類投資</x:v>
      </x:c>
      <x:c r="E124" s="40" t="n">
        <x:v>1934116926</x:v>
      </x:c>
      <x:c r="F124" s="43" t="n">
        <x:v>0.0018</x:v>
      </x:c>
      <x:c r="G124" s="31" t="str">
        <x:v>勞工退休基金-115年4月.pdf</x:v>
      </x:c>
      <x:c r="H124" s="32" t="str">
        <x:v>資產配置（舊制勞工退休基金）</x:v>
      </x:c>
    </x:row>
    <x:row r="125">
      <x:c r="A125" s="37" t="n">
        <x:v>46113</x:v>
      </x:c>
      <x:c r="B125" s="31" t="str">
        <x:v>115年4月</x:v>
      </x:c>
      <x:c r="C125" s="31" t="str">
        <x:v>舊制</x:v>
      </x:c>
      <x:c r="D125" s="31" t="str">
        <x:v>委託經營</x:v>
      </x:c>
      <x:c r="E125" s="40" t="n">
        <x:v>642061536212</x:v>
      </x:c>
      <x:c r="F125" s="43" t="n">
        <x:v>0.5804</x:v>
      </x:c>
      <x:c r="G125" s="31" t="str">
        <x:v>勞工退休基金-115年4月.pdf</x:v>
      </x:c>
      <x:c r="H125" s="32" t="str">
        <x:v>資產配置（舊制勞工退休基金）</x:v>
      </x:c>
    </x:row>
    <x:row r="126">
      <x:c r="A126" s="37" t="n">
        <x:v>46113</x:v>
      </x:c>
      <x:c r="B126" s="31" t="str">
        <x:v>115年4月</x:v>
      </x:c>
      <x:c r="C126" s="31" t="str">
        <x:v>舊制</x:v>
      </x:c>
      <x:c r="D126" s="31" t="str">
        <x:v>委託經營-國內-權益證券</x:v>
      </x:c>
      <x:c r="E126" s="40" t="n">
        <x:v>160958872991</x:v>
      </x:c>
      <x:c r="F126" s="43" t="n">
        <x:v>0.14550000000000002</x:v>
      </x:c>
      <x:c r="G126" s="31" t="str">
        <x:v>勞工退休基金-115年4月.pdf</x:v>
      </x:c>
      <x:c r="H126" s="32" t="str">
        <x:v>資產配置（舊制勞工退休基金）</x:v>
      </x:c>
    </x:row>
    <x:row r="127">
      <x:c r="A127" s="37" t="n">
        <x:v>46113</x:v>
      </x:c>
      <x:c r="B127" s="31" t="str">
        <x:v>115年4月</x:v>
      </x:c>
      <x:c r="C127" s="31" t="str">
        <x:v>舊制</x:v>
      </x:c>
      <x:c r="D127" s="31" t="str">
        <x:v>國外委託經營</x:v>
      </x:c>
      <x:c r="E127" s="40" t="n">
        <x:v>481102663221</x:v>
      </x:c>
      <x:c r="F127" s="43" t="n">
        <x:v>0.4349</x:v>
      </x:c>
      <x:c r="G127" s="31" t="str">
        <x:v>勞工退休基金-115年4月.pdf</x:v>
      </x:c>
      <x:c r="H127" s="32" t="str">
        <x:v>資產配置（舊制勞工退休基金）</x:v>
      </x:c>
    </x:row>
    <x:row r="128">
      <x:c r="A128" s="37" t="n">
        <x:v>46113</x:v>
      </x:c>
      <x:c r="B128" s="31" t="str">
        <x:v>115年4月</x:v>
      </x:c>
      <x:c r="C128" s="31" t="str">
        <x:v>舊制</x:v>
      </x:c>
      <x:c r="D128" s="31" t="str">
        <x:v>委託經營-國外-固定收益</x:v>
      </x:c>
      <x:c r="E128" s="40" t="n">
        <x:v>105802722537</x:v>
      </x:c>
      <x:c r="F128" s="43" t="n">
        <x:v>0.0956</x:v>
      </x:c>
      <x:c r="G128" s="31" t="str">
        <x:v>勞工退休基金-115年4月.pdf</x:v>
      </x:c>
      <x:c r="H128" s="32" t="str">
        <x:v>資產配置（舊制勞工退休基金）</x:v>
      </x:c>
    </x:row>
    <x:row r="129">
      <x:c r="A129" s="37" t="n">
        <x:v>46113</x:v>
      </x:c>
      <x:c r="B129" s="31" t="str">
        <x:v>115年4月</x:v>
      </x:c>
      <x:c r="C129" s="31" t="str">
        <x:v>舊制</x:v>
      </x:c>
      <x:c r="D129" s="31" t="str">
        <x:v>委託經營-國外-權益證券</x:v>
      </x:c>
      <x:c r="E129" s="40" t="n">
        <x:v>257687903958</x:v>
      </x:c>
      <x:c r="F129" s="43" t="n">
        <x:v>0.233</x:v>
      </x:c>
      <x:c r="G129" s="31" t="str">
        <x:v>勞工退休基金-115年4月.pdf</x:v>
      </x:c>
      <x:c r="H129" s="32" t="str">
        <x:v>資產配置（舊制勞工退休基金）</x:v>
      </x:c>
    </x:row>
    <x:row r="130">
      <x:c r="A130" s="37" t="n">
        <x:v>46113</x:v>
      </x:c>
      <x:c r="B130" s="31" t="str">
        <x:v>115年4月</x:v>
      </x:c>
      <x:c r="C130" s="31" t="str">
        <x:v>舊制</x:v>
      </x:c>
      <x:c r="D130" s="31" t="str">
        <x:v>委託經營-國外-另類投資</x:v>
      </x:c>
      <x:c r="E130" s="40" t="n">
        <x:v>117612036726</x:v>
      </x:c>
      <x:c r="F130" s="43" t="n">
        <x:v>0.1063</x:v>
      </x:c>
      <x:c r="G130" s="31" t="str">
        <x:v>勞工退休基金-115年4月.pdf</x:v>
      </x:c>
      <x:c r="H130" s="32" t="str">
        <x:v>資產配置（舊制勞工退休基金）</x:v>
      </x:c>
    </x:row>
    <x:row r="131">
      <x:c r="A131" s="37" t="n">
        <x:v>46113</x:v>
      </x:c>
      <x:c r="B131" s="31" t="str">
        <x:v>115年4月</x:v>
      </x:c>
      <x:c r="C131" s="31" t="str">
        <x:v>舊制</x:v>
      </x:c>
      <x:c r="D131" s="31" t="str">
        <x:v>合計</x:v>
      </x:c>
      <x:c r="E131" s="40" t="n">
        <x:v>1106168836215</x:v>
      </x:c>
      <x:c r="F131" s="43" t="n">
        <x:v>1</x:v>
      </x:c>
      <x:c r="G131" s="31" t="str">
        <x:v>勞工退休基金-115年4月.pdf</x:v>
      </x:c>
      <x:c r="H131" s="32" t="str">
        <x:v>資產配置（舊制勞工退休基金）</x:v>
      </x:c>
    </x:row>
    <x:row r="132">
      <x:c r="A132" s="37" t="n">
        <x:v>46143</x:v>
      </x:c>
      <x:c r="B132" s="31" t="str">
        <x:v>115年5月</x:v>
      </x:c>
      <x:c r="C132" s="31" t="str">
        <x:v>新制</x:v>
      </x:c>
      <x:c r="D132" s="31" t="str">
        <x:v>自行運用</x:v>
      </x:c>
      <x:c r="E132" s="40" t="n">
        <x:v>2038324813796</x:v>
      </x:c>
      <x:c r="F132" s="43" t="n">
        <x:v>0.3627</x:v>
      </x:c>
      <x:c r="G132" s="31" t="str">
        <x:v>勞工退休基金-115年5月.pdf</x:v>
      </x:c>
      <x:c r="H132" s="32" t="str">
        <x:v>資產配置（新制勞工退休基金）</x:v>
      </x:c>
    </x:row>
    <x:row r="133">
      <x:c r="A133" s="37" t="n">
        <x:v>46143</x:v>
      </x:c>
      <x:c r="B133" s="31" t="str">
        <x:v>115年5月</x:v>
      </x:c>
      <x:c r="C133" s="31" t="str">
        <x:v>新制</x:v>
      </x:c>
      <x:c r="D133" s="31" t="str">
        <x:v>轉存金融機構</x:v>
      </x:c>
      <x:c r="E133" s="40" t="n">
        <x:v>511890661574</x:v>
      </x:c>
      <x:c r="F133" s="43" t="n">
        <x:v>0.0911</x:v>
      </x:c>
      <x:c r="G133" s="31" t="str">
        <x:v>勞工退休基金-115年5月.pdf</x:v>
      </x:c>
      <x:c r="H133" s="32" t="str">
        <x:v>資產配置（新制勞工退休基金）</x:v>
      </x:c>
    </x:row>
    <x:row r="134">
      <x:c r="A134" s="37" t="n">
        <x:v>46143</x:v>
      </x:c>
      <x:c r="B134" s="31" t="str">
        <x:v>115年5月</x:v>
      </x:c>
      <x:c r="C134" s="31" t="str">
        <x:v>新制</x:v>
      </x:c>
      <x:c r="D134" s="31" t="str">
        <x:v>短期票券</x:v>
      </x:c>
      <x:c r="E134" s="40" t="n">
        <x:v>146607791068</x:v>
      </x:c>
      <x:c r="F134" s="43" t="n">
        <x:v>0.026099999999999998</x:v>
      </x:c>
      <x:c r="G134" s="31" t="str">
        <x:v>勞工退休基金-115年5月.pdf</x:v>
      </x:c>
      <x:c r="H134" s="32" t="str">
        <x:v>資產配置（新制勞工退休基金）</x:v>
      </x:c>
    </x:row>
    <x:row r="135">
      <x:c r="A135" s="37" t="n">
        <x:v>46143</x:v>
      </x:c>
      <x:c r="B135" s="31" t="str">
        <x:v>115年5月</x:v>
      </x:c>
      <x:c r="C135" s="31" t="str">
        <x:v>新制</x:v>
      </x:c>
      <x:c r="D135" s="31" t="str">
        <x:v>公債、公司債、金融債券及特別股</x:v>
      </x:c>
      <x:c r="E135" s="40" t="n">
        <x:v>249188409061</x:v>
      </x:c>
      <x:c r="F135" s="43" t="n">
        <x:v>0.0443</x:v>
      </x:c>
      <x:c r="G135" s="31" t="str">
        <x:v>勞工退休基金-115年5月.pdf</x:v>
      </x:c>
      <x:c r="H135" s="32" t="str">
        <x:v>資產配置（新制勞工退休基金）</x:v>
      </x:c>
    </x:row>
    <x:row r="136">
      <x:c r="A136" s="37" t="n">
        <x:v>46143</x:v>
      </x:c>
      <x:c r="B136" s="31" t="str">
        <x:v>115年5月</x:v>
      </x:c>
      <x:c r="C136" s="31" t="str">
        <x:v>新制</x:v>
      </x:c>
      <x:c r="D136" s="31" t="str">
        <x:v>股票及受益憑證投資（含期貨）</x:v>
      </x:c>
      <x:c r="E136" s="40" t="n">
        <x:v>294805547685</x:v>
      </x:c>
      <x:c r="F136" s="43" t="n">
        <x:v>0.0525</x:v>
      </x:c>
      <x:c r="G136" s="31" t="str">
        <x:v>勞工退休基金-115年5月.pdf</x:v>
      </x:c>
      <x:c r="H136" s="32" t="str">
        <x:v>資產配置（新制勞工退休基金）</x:v>
      </x:c>
    </x:row>
    <x:row r="137">
      <x:c r="A137" s="37" t="n">
        <x:v>46143</x:v>
      </x:c>
      <x:c r="B137" s="31" t="str">
        <x:v>115年5月</x:v>
      </x:c>
      <x:c r="C137" s="31" t="str">
        <x:v>新制</x:v>
      </x:c>
      <x:c r="D137" s="31" t="str">
        <x:v>國外投資</x:v>
      </x:c>
      <x:c r="E137" s="40" t="n">
        <x:v>835832404408</x:v>
      </x:c>
      <x:c r="F137" s="43" t="n">
        <x:v>0.1487</x:v>
      </x:c>
      <x:c r="G137" s="31" t="str">
        <x:v>勞工退休基金-115年5月.pdf</x:v>
      </x:c>
      <x:c r="H137" s="32" t="str">
        <x:v>資產配置（新制勞工退休基金）</x:v>
      </x:c>
    </x:row>
    <x:row r="138">
      <x:c r="A138" s="37" t="n">
        <x:v>46143</x:v>
      </x:c>
      <x:c r="B138" s="31" t="str">
        <x:v>115年5月</x:v>
      </x:c>
      <x:c r="C138" s="31" t="str">
        <x:v>新制</x:v>
      </x:c>
      <x:c r="D138" s="31" t="str">
        <x:v>自行運用-國外-固定收益</x:v>
      </x:c>
      <x:c r="E138" s="40" t="n">
        <x:v>721001943257</x:v>
      </x:c>
      <x:c r="F138" s="43" t="n">
        <x:v>0.1283</x:v>
      </x:c>
      <x:c r="G138" s="31" t="str">
        <x:v>勞工退休基金-115年5月.pdf</x:v>
      </x:c>
      <x:c r="H138" s="32" t="str">
        <x:v>資產配置（新制勞工退休基金）</x:v>
      </x:c>
    </x:row>
    <x:row r="139">
      <x:c r="A139" s="37" t="n">
        <x:v>46143</x:v>
      </x:c>
      <x:c r="B139" s="31" t="str">
        <x:v>115年5月</x:v>
      </x:c>
      <x:c r="C139" s="31" t="str">
        <x:v>新制</x:v>
      </x:c>
      <x:c r="D139" s="31" t="str">
        <x:v>自行運用-國外-權益證券</x:v>
      </x:c>
      <x:c r="E139" s="40" t="n">
        <x:v>70252614076</x:v>
      </x:c>
      <x:c r="F139" s="43" t="n">
        <x:v>0.0125</x:v>
      </x:c>
      <x:c r="G139" s="31" t="str">
        <x:v>勞工退休基金-115年5月.pdf</x:v>
      </x:c>
      <x:c r="H139" s="32" t="str">
        <x:v>資產配置（新制勞工退休基金）</x:v>
      </x:c>
    </x:row>
    <x:row r="140">
      <x:c r="A140" s="37" t="n">
        <x:v>46143</x:v>
      </x:c>
      <x:c r="B140" s="31" t="str">
        <x:v>115年5月</x:v>
      </x:c>
      <x:c r="C140" s="31" t="str">
        <x:v>新制</x:v>
      </x:c>
      <x:c r="D140" s="31" t="str">
        <x:v>自行運用-國外-另類投資</x:v>
      </x:c>
      <x:c r="E140" s="40" t="n">
        <x:v>44577847075</x:v>
      </x:c>
      <x:c r="F140" s="43" t="n">
        <x:v>0.0079</x:v>
      </x:c>
      <x:c r="G140" s="31" t="str">
        <x:v>勞工退休基金-115年5月.pdf</x:v>
      </x:c>
      <x:c r="H140" s="32" t="str">
        <x:v>資產配置（新制勞工退休基金）</x:v>
      </x:c>
    </x:row>
    <x:row r="141">
      <x:c r="A141" s="37" t="n">
        <x:v>46143</x:v>
      </x:c>
      <x:c r="B141" s="31" t="str">
        <x:v>115年5月</x:v>
      </x:c>
      <x:c r="C141" s="31" t="str">
        <x:v>新制</x:v>
      </x:c>
      <x:c r="D141" s="31" t="str">
        <x:v>委託經營</x:v>
      </x:c>
      <x:c r="E141" s="40" t="n">
        <x:v>3581489216316</x:v>
      </x:c>
      <x:c r="F141" s="43" t="n">
        <x:v>0.6373</x:v>
      </x:c>
      <x:c r="G141" s="31" t="str">
        <x:v>勞工退休基金-115年5月.pdf</x:v>
      </x:c>
      <x:c r="H141" s="32" t="str">
        <x:v>資產配置（新制勞工退休基金）</x:v>
      </x:c>
    </x:row>
    <x:row r="142">
      <x:c r="A142" s="37" t="n">
        <x:v>46143</x:v>
      </x:c>
      <x:c r="B142" s="31" t="str">
        <x:v>115年5月</x:v>
      </x:c>
      <x:c r="C142" s="31" t="str">
        <x:v>新制</x:v>
      </x:c>
      <x:c r="D142" s="31" t="str">
        <x:v>委託經營-國內-權益證券</x:v>
      </x:c>
      <x:c r="E142" s="40" t="n">
        <x:v>1004764361217</x:v>
      </x:c>
      <x:c r="F142" s="43" t="n">
        <x:v>0.1788</x:v>
      </x:c>
      <x:c r="G142" s="31" t="str">
        <x:v>勞工退休基金-115年5月.pdf</x:v>
      </x:c>
      <x:c r="H142" s="32" t="str">
        <x:v>資產配置（新制勞工退休基金）</x:v>
      </x:c>
    </x:row>
    <x:row r="143">
      <x:c r="A143" s="37" t="n">
        <x:v>46143</x:v>
      </x:c>
      <x:c r="B143" s="31" t="str">
        <x:v>115年5月</x:v>
      </x:c>
      <x:c r="C143" s="31" t="str">
        <x:v>新制</x:v>
      </x:c>
      <x:c r="D143" s="31" t="str">
        <x:v>國外委託經營</x:v>
      </x:c>
      <x:c r="E143" s="40" t="n">
        <x:v>2576724855099</x:v>
      </x:c>
      <x:c r="F143" s="43" t="n">
        <x:v>0.4585</x:v>
      </x:c>
      <x:c r="G143" s="31" t="str">
        <x:v>勞工退休基金-115年5月.pdf</x:v>
      </x:c>
      <x:c r="H143" s="32" t="str">
        <x:v>資產配置（新制勞工退休基金）</x:v>
      </x:c>
    </x:row>
    <x:row r="144">
      <x:c r="A144" s="37" t="n">
        <x:v>46143</x:v>
      </x:c>
      <x:c r="B144" s="31" t="str">
        <x:v>115年5月</x:v>
      </x:c>
      <x:c r="C144" s="31" t="str">
        <x:v>新制</x:v>
      </x:c>
      <x:c r="D144" s="31" t="str">
        <x:v>委託經營-國外-固定收益</x:v>
      </x:c>
      <x:c r="E144" s="40" t="n">
        <x:v>567538729831</x:v>
      </x:c>
      <x:c r="F144" s="43" t="n">
        <x:v>0.10099999999999999</x:v>
      </x:c>
      <x:c r="G144" s="31" t="str">
        <x:v>勞工退休基金-115年5月.pdf</x:v>
      </x:c>
      <x:c r="H144" s="32" t="str">
        <x:v>資產配置（新制勞工退休基金）</x:v>
      </x:c>
    </x:row>
    <x:row r="145">
      <x:c r="A145" s="37" t="n">
        <x:v>46143</x:v>
      </x:c>
      <x:c r="B145" s="31" t="str">
        <x:v>115年5月</x:v>
      </x:c>
      <x:c r="C145" s="31" t="str">
        <x:v>新制</x:v>
      </x:c>
      <x:c r="D145" s="31" t="str">
        <x:v>委託經營-國外-權益證券</x:v>
      </x:c>
      <x:c r="E145" s="40" t="n">
        <x:v>1459780141200</x:v>
      </x:c>
      <x:c r="F145" s="43" t="n">
        <x:v>0.2597</x:v>
      </x:c>
      <x:c r="G145" s="31" t="str">
        <x:v>勞工退休基金-115年5月.pdf</x:v>
      </x:c>
      <x:c r="H145" s="32" t="str">
        <x:v>資產配置（新制勞工退休基金）</x:v>
      </x:c>
    </x:row>
    <x:row r="146">
      <x:c r="A146" s="37" t="n">
        <x:v>46143</x:v>
      </x:c>
      <x:c r="B146" s="31" t="str">
        <x:v>115年5月</x:v>
      </x:c>
      <x:c r="C146" s="31" t="str">
        <x:v>新制</x:v>
      </x:c>
      <x:c r="D146" s="31" t="str">
        <x:v>委託經營-國外-另類投資</x:v>
      </x:c>
      <x:c r="E146" s="40" t="n">
        <x:v>549405984068</x:v>
      </x:c>
      <x:c r="F146" s="43" t="n">
        <x:v>0.0978</x:v>
      </x:c>
      <x:c r="G146" s="31" t="str">
        <x:v>勞工退休基金-115年5月.pdf</x:v>
      </x:c>
      <x:c r="H146" s="32" t="str">
        <x:v>資產配置（新制勞工退休基金）</x:v>
      </x:c>
    </x:row>
    <x:row r="147">
      <x:c r="A147" s="37" t="n">
        <x:v>46143</x:v>
      </x:c>
      <x:c r="B147" s="31" t="str">
        <x:v>115年5月</x:v>
      </x:c>
      <x:c r="C147" s="31" t="str">
        <x:v>新制</x:v>
      </x:c>
      <x:c r="D147" s="31" t="str">
        <x:v>合計</x:v>
      </x:c>
      <x:c r="E147" s="40" t="n">
        <x:v>5619814030112</x:v>
      </x:c>
      <x:c r="F147" s="43" t="n">
        <x:v>1</x:v>
      </x:c>
      <x:c r="G147" s="31" t="str">
        <x:v>勞工退休基金-115年5月.pdf</x:v>
      </x:c>
      <x:c r="H147" s="32" t="str">
        <x:v>資產配置（新制勞工退休基金）</x:v>
      </x:c>
    </x:row>
    <x:row r="148">
      <x:c r="A148" s="37" t="n">
        <x:v>46143</x:v>
      </x:c>
      <x:c r="B148" s="31" t="str">
        <x:v>115年5月</x:v>
      </x:c>
      <x:c r="C148" s="31" t="str">
        <x:v>舊制</x:v>
      </x:c>
      <x:c r="D148" s="31" t="str">
        <x:v>自行運用</x:v>
      </x:c>
      <x:c r="E148" s="40" t="n">
        <x:v>481884011327</x:v>
      </x:c>
      <x:c r="F148" s="43" t="n">
        <x:v>0.4275</x:v>
      </x:c>
      <x:c r="G148" s="31" t="str">
        <x:v>勞工退休基金-115年5月.pdf</x:v>
      </x:c>
      <x:c r="H148" s="32" t="str">
        <x:v>資產配置（舊制勞工退休基金）</x:v>
      </x:c>
    </x:row>
    <x:row r="149">
      <x:c r="A149" s="37" t="n">
        <x:v>46143</x:v>
      </x:c>
      <x:c r="B149" s="31" t="str">
        <x:v>115年5月</x:v>
      </x:c>
      <x:c r="C149" s="31" t="str">
        <x:v>舊制</x:v>
      </x:c>
      <x:c r="D149" s="31" t="str">
        <x:v>轉存金融機構</x:v>
      </x:c>
      <x:c r="E149" s="40" t="n">
        <x:v>163530527013</x:v>
      </x:c>
      <x:c r="F149" s="43" t="n">
        <x:v>0.1451</x:v>
      </x:c>
      <x:c r="G149" s="31" t="str">
        <x:v>勞工退休基金-115年5月.pdf</x:v>
      </x:c>
      <x:c r="H149" s="32" t="str">
        <x:v>資產配置（舊制勞工退休基金）</x:v>
      </x:c>
    </x:row>
    <x:row r="150">
      <x:c r="A150" s="37" t="n">
        <x:v>46143</x:v>
      </x:c>
      <x:c r="B150" s="31" t="str">
        <x:v>115年5月</x:v>
      </x:c>
      <x:c r="C150" s="31" t="str">
        <x:v>舊制</x:v>
      </x:c>
      <x:c r="D150" s="31" t="str">
        <x:v>短期票券</x:v>
      </x:c>
      <x:c r="E150" s="40" t="n">
        <x:v>61833340577</x:v>
      </x:c>
      <x:c r="F150" s="43" t="n">
        <x:v>0.054900000000000004</x:v>
      </x:c>
      <x:c r="G150" s="31" t="str">
        <x:v>勞工退休基金-115年5月.pdf</x:v>
      </x:c>
      <x:c r="H150" s="32" t="str">
        <x:v>資產配置（舊制勞工退休基金）</x:v>
      </x:c>
    </x:row>
    <x:row r="151">
      <x:c r="A151" s="37" t="n">
        <x:v>46143</x:v>
      </x:c>
      <x:c r="B151" s="31" t="str">
        <x:v>115年5月</x:v>
      </x:c>
      <x:c r="C151" s="31" t="str">
        <x:v>舊制</x:v>
      </x:c>
      <x:c r="D151" s="31" t="str">
        <x:v>公債、金融債券、公司債及證券化商品</x:v>
      </x:c>
      <x:c r="E151" s="40" t="n">
        <x:v>88320656641</x:v>
      </x:c>
      <x:c r="F151" s="43" t="n">
        <x:v>0.0783</x:v>
      </x:c>
      <x:c r="G151" s="31" t="str">
        <x:v>勞工退休基金-115年5月.pdf</x:v>
      </x:c>
      <x:c r="H151" s="32" t="str">
        <x:v>資產配置（舊制勞工退休基金）</x:v>
      </x:c>
    </x:row>
    <x:row r="152">
      <x:c r="A152" s="37" t="n">
        <x:v>46143</x:v>
      </x:c>
      <x:c r="B152" s="31" t="str">
        <x:v>115年5月</x:v>
      </x:c>
      <x:c r="C152" s="31" t="str">
        <x:v>舊制</x:v>
      </x:c>
      <x:c r="D152" s="31" t="str">
        <x:v>股票及受益憑證投資（含期貨）</x:v>
      </x:c>
      <x:c r="E152" s="40" t="n">
        <x:v>106406576892</x:v>
      </x:c>
      <x:c r="F152" s="43" t="n">
        <x:v>0.0944</x:v>
      </x:c>
      <x:c r="G152" s="31" t="str">
        <x:v>勞工退休基金-115年5月.pdf</x:v>
      </x:c>
      <x:c r="H152" s="32" t="str">
        <x:v>資產配置（舊制勞工退休基金）</x:v>
      </x:c>
    </x:row>
    <x:row r="153">
      <x:c r="A153" s="37" t="n">
        <x:v>46143</x:v>
      </x:c>
      <x:c r="B153" s="31" t="str">
        <x:v>115年5月</x:v>
      </x:c>
      <x:c r="C153" s="31" t="str">
        <x:v>舊制</x:v>
      </x:c>
      <x:c r="D153" s="31" t="str">
        <x:v>國外投資</x:v>
      </x:c>
      <x:c r="E153" s="40" t="n">
        <x:v>61792910204</x:v>
      </x:c>
      <x:c r="F153" s="43" t="n">
        <x:v>0.0548</x:v>
      </x:c>
      <x:c r="G153" s="31" t="str">
        <x:v>勞工退休基金-115年5月.pdf</x:v>
      </x:c>
      <x:c r="H153" s="32" t="str">
        <x:v>資產配置（舊制勞工退休基金）</x:v>
      </x:c>
    </x:row>
    <x:row r="154">
      <x:c r="A154" s="37" t="n">
        <x:v>46143</x:v>
      </x:c>
      <x:c r="B154" s="31" t="str">
        <x:v>115年5月</x:v>
      </x:c>
      <x:c r="C154" s="31" t="str">
        <x:v>舊制</x:v>
      </x:c>
      <x:c r="D154" s="31" t="str">
        <x:v>自行運用-國外-固定收益</x:v>
      </x:c>
      <x:c r="E154" s="40" t="n">
        <x:v>36505162373</x:v>
      </x:c>
      <x:c r="F154" s="43" t="n">
        <x:v>0.032400000000000005</x:v>
      </x:c>
      <x:c r="G154" s="31" t="str">
        <x:v>勞工退休基金-115年5月.pdf</x:v>
      </x:c>
      <x:c r="H154" s="32" t="str">
        <x:v>資產配置（舊制勞工退休基金）</x:v>
      </x:c>
    </x:row>
    <x:row r="155">
      <x:c r="A155" s="37" t="n">
        <x:v>46143</x:v>
      </x:c>
      <x:c r="B155" s="31" t="str">
        <x:v>115年5月</x:v>
      </x:c>
      <x:c r="C155" s="31" t="str">
        <x:v>舊制</x:v>
      </x:c>
      <x:c r="D155" s="31" t="str">
        <x:v>自行運用-國外-權益證券</x:v>
      </x:c>
      <x:c r="E155" s="40" t="n">
        <x:v>25287747831</x:v>
      </x:c>
      <x:c r="F155" s="43" t="n">
        <x:v>0.022400000000000003</x:v>
      </x:c>
      <x:c r="G155" s="31" t="str">
        <x:v>勞工退休基金-115年5月.pdf</x:v>
      </x:c>
      <x:c r="H155" s="32" t="str">
        <x:v>資產配置（舊制勞工退休基金）</x:v>
      </x:c>
    </x:row>
    <x:row r="156">
      <x:c r="A156" s="37" t="n">
        <x:v>46143</x:v>
      </x:c>
      <x:c r="B156" s="31" t="str">
        <x:v>115年5月</x:v>
      </x:c>
      <x:c r="C156" s="31" t="str">
        <x:v>舊制</x:v>
      </x:c>
      <x:c r="D156" s="31" t="str">
        <x:v>自行運用-國外-另類投資</x:v>
      </x:c>
      <x:c r="E156" s="40" t="n">
        <x:v>0</x:v>
      </x:c>
      <x:c r="F156" s="43" t="n">
        <x:v>0</x:v>
      </x:c>
      <x:c r="G156" s="31" t="str">
        <x:v>勞工退休基金-115年5月.pdf</x:v>
      </x:c>
      <x:c r="H156" s="32" t="str">
        <x:v>資產配置（舊制勞工退休基金）</x:v>
      </x:c>
    </x:row>
    <x:row r="157">
      <x:c r="A157" s="37" t="n">
        <x:v>46143</x:v>
      </x:c>
      <x:c r="B157" s="31" t="str">
        <x:v>115年5月</x:v>
      </x:c>
      <x:c r="C157" s="31" t="str">
        <x:v>舊制</x:v>
      </x:c>
      <x:c r="D157" s="31" t="str">
        <x:v>委託經營</x:v>
      </x:c>
      <x:c r="E157" s="40" t="n">
        <x:v>645325256157</x:v>
      </x:c>
      <x:c r="F157" s="43" t="n">
        <x:v>0.5725</x:v>
      </x:c>
      <x:c r="G157" s="31" t="str">
        <x:v>勞工退休基金-115年5月.pdf</x:v>
      </x:c>
      <x:c r="H157" s="32" t="str">
        <x:v>資產配置（舊制勞工退休基金）</x:v>
      </x:c>
    </x:row>
    <x:row r="158">
      <x:c r="A158" s="37" t="n">
        <x:v>46143</x:v>
      </x:c>
      <x:c r="B158" s="31" t="str">
        <x:v>115年5月</x:v>
      </x:c>
      <x:c r="C158" s="31" t="str">
        <x:v>舊制</x:v>
      </x:c>
      <x:c r="D158" s="31" t="str">
        <x:v>委託經營-國內-權益證券</x:v>
      </x:c>
      <x:c r="E158" s="40" t="n">
        <x:v>167766138109</x:v>
      </x:c>
      <x:c r="F158" s="43" t="n">
        <x:v>0.14880000000000002</x:v>
      </x:c>
      <x:c r="G158" s="31" t="str">
        <x:v>勞工退休基金-115年5月.pdf</x:v>
      </x:c>
      <x:c r="H158" s="32" t="str">
        <x:v>資產配置（舊制勞工退休基金）</x:v>
      </x:c>
    </x:row>
    <x:row r="159">
      <x:c r="A159" s="37" t="n">
        <x:v>46143</x:v>
      </x:c>
      <x:c r="B159" s="31" t="str">
        <x:v>115年5月</x:v>
      </x:c>
      <x:c r="C159" s="31" t="str">
        <x:v>舊制</x:v>
      </x:c>
      <x:c r="D159" s="31" t="str">
        <x:v>國外委託經營</x:v>
      </x:c>
      <x:c r="E159" s="40" t="n">
        <x:v>477559118048</x:v>
      </x:c>
      <x:c r="F159" s="43" t="n">
        <x:v>0.42369999999999997</x:v>
      </x:c>
      <x:c r="G159" s="31" t="str">
        <x:v>勞工退休基金-115年5月.pdf</x:v>
      </x:c>
      <x:c r="H159" s="32" t="str">
        <x:v>資產配置（舊制勞工退休基金）</x:v>
      </x:c>
    </x:row>
    <x:row r="160">
      <x:c r="A160" s="37" t="n">
        <x:v>46143</x:v>
      </x:c>
      <x:c r="B160" s="31" t="str">
        <x:v>115年5月</x:v>
      </x:c>
      <x:c r="C160" s="31" t="str">
        <x:v>舊制</x:v>
      </x:c>
      <x:c r="D160" s="31" t="str">
        <x:v>委託經營-國外-固定收益</x:v>
      </x:c>
      <x:c r="E160" s="40" t="n">
        <x:v>106097885207</x:v>
      </x:c>
      <x:c r="F160" s="43" t="n">
        <x:v>0.0941</x:v>
      </x:c>
      <x:c r="G160" s="31" t="str">
        <x:v>勞工退休基金-115年5月.pdf</x:v>
      </x:c>
      <x:c r="H160" s="32" t="str">
        <x:v>資產配置（舊制勞工退休基金）</x:v>
      </x:c>
    </x:row>
    <x:row r="161">
      <x:c r="A161" s="37" t="n">
        <x:v>46143</x:v>
      </x:c>
      <x:c r="B161" s="31" t="str">
        <x:v>115年5月</x:v>
      </x:c>
      <x:c r="C161" s="31" t="str">
        <x:v>舊制</x:v>
      </x:c>
      <x:c r="D161" s="31" t="str">
        <x:v>委託經營-國外-權益證券</x:v>
      </x:c>
      <x:c r="E161" s="40" t="n">
        <x:v>254032981401</x:v>
      </x:c>
      <x:c r="F161" s="43" t="n">
        <x:v>0.2254</x:v>
      </x:c>
      <x:c r="G161" s="31" t="str">
        <x:v>勞工退休基金-115年5月.pdf</x:v>
      </x:c>
      <x:c r="H161" s="32" t="str">
        <x:v>資產配置（舊制勞工退休基金）</x:v>
      </x:c>
    </x:row>
    <x:row r="162">
      <x:c r="A162" s="37" t="n">
        <x:v>46143</x:v>
      </x:c>
      <x:c r="B162" s="31" t="str">
        <x:v>115年5月</x:v>
      </x:c>
      <x:c r="C162" s="31" t="str">
        <x:v>舊制</x:v>
      </x:c>
      <x:c r="D162" s="31" t="str">
        <x:v>委託經營-國外-另類投資</x:v>
      </x:c>
      <x:c r="E162" s="40" t="n">
        <x:v>117428251440</x:v>
      </x:c>
      <x:c r="F162" s="43" t="n">
        <x:v>0.1042</x:v>
      </x:c>
      <x:c r="G162" s="31" t="str">
        <x:v>勞工退休基金-115年5月.pdf</x:v>
      </x:c>
      <x:c r="H162" s="32" t="str">
        <x:v>資產配置（舊制勞工退休基金）</x:v>
      </x:c>
    </x:row>
    <x:row r="163">
      <x:c r="A163" s="37" t="n">
        <x:v>46143</x:v>
      </x:c>
      <x:c r="B163" s="31" t="str">
        <x:v>115年5月</x:v>
      </x:c>
      <x:c r="C163" s="31" t="str">
        <x:v>舊制</x:v>
      </x:c>
      <x:c r="D163" s="31" t="str">
        <x:v>合計</x:v>
      </x:c>
      <x:c r="E163" s="40" t="n">
        <x:v>1127209267484</x:v>
      </x:c>
      <x:c r="F163" s="43" t="n">
        <x:v>1</x:v>
      </x:c>
      <x:c r="G163" s="31" t="str">
        <x:v>勞工退休基金-115年5月.pdf</x:v>
      </x:c>
      <x:c r="H163" s="32" t="str">
        <x:v>資產配置（舊制勞工退休基金）</x:v>
      </x:c>
    </x:row>
    <x:row r="164">
      <x:c r="A164" s="37" t="n">
        <x:v>46174</x:v>
      </x:c>
      <x:c r="B164" s="31" t="str">
        <x:v>115年6月</x:v>
      </x:c>
      <x:c r="C164" s="31" t="str">
        <x:v>新制</x:v>
      </x:c>
      <x:c r="D164" s="31" t="str">
        <x:v>自行運用</x:v>
      </x:c>
      <x:c r="E164" s="40" t="n">
        <x:v>2039012229569</x:v>
      </x:c>
      <x:c r="F164" s="43" t="n">
        <x:v>0.3518</x:v>
      </x:c>
      <x:c r="G164" s="31" t="str">
        <x:v>勞工退休基金-115年6月.pdf</x:v>
      </x:c>
      <x:c r="H164" s="32" t="str">
        <x:v>資產配置（新制勞工退休基金）</x:v>
      </x:c>
    </x:row>
    <x:row r="165">
      <x:c r="A165" s="37" t="n">
        <x:v>46174</x:v>
      </x:c>
      <x:c r="B165" s="31" t="str">
        <x:v>115年6月</x:v>
      </x:c>
      <x:c r="C165" s="31" t="str">
        <x:v>新制</x:v>
      </x:c>
      <x:c r="D165" s="31" t="str">
        <x:v>轉存金融機構</x:v>
      </x:c>
      <x:c r="E165" s="40" t="n">
        <x:v>498218329846</x:v>
      </x:c>
      <x:c r="F165" s="43" t="n">
        <x:v>0.086</x:v>
      </x:c>
      <x:c r="G165" s="31" t="str">
        <x:v>勞工退休基金-115年6月.pdf</x:v>
      </x:c>
      <x:c r="H165" s="32" t="str">
        <x:v>資產配置（新制勞工退休基金）</x:v>
      </x:c>
    </x:row>
    <x:row r="166">
      <x:c r="A166" s="37" t="n">
        <x:v>46174</x:v>
      </x:c>
      <x:c r="B166" s="31" t="str">
        <x:v>115年6月</x:v>
      </x:c>
      <x:c r="C166" s="31" t="str">
        <x:v>新制</x:v>
      </x:c>
      <x:c r="D166" s="31" t="str">
        <x:v>短期票券</x:v>
      </x:c>
      <x:c r="E166" s="40" t="n">
        <x:v>153766771194</x:v>
      </x:c>
      <x:c r="F166" s="43" t="n">
        <x:v>0.0265</x:v>
      </x:c>
      <x:c r="G166" s="31" t="str">
        <x:v>勞工退休基金-115年6月.pdf</x:v>
      </x:c>
      <x:c r="H166" s="32" t="str">
        <x:v>資產配置（新制勞工退休基金）</x:v>
      </x:c>
    </x:row>
    <x:row r="167">
      <x:c r="A167" s="37" t="n">
        <x:v>46174</x:v>
      </x:c>
      <x:c r="B167" s="31" t="str">
        <x:v>115年6月</x:v>
      </x:c>
      <x:c r="C167" s="31" t="str">
        <x:v>新制</x:v>
      </x:c>
      <x:c r="D167" s="31" t="str">
        <x:v>公債、公司債、金融債券及特別股</x:v>
      </x:c>
      <x:c r="E167" s="40" t="n">
        <x:v>249685462861</x:v>
      </x:c>
      <x:c r="F167" s="43" t="n">
        <x:v>0.0431</x:v>
      </x:c>
      <x:c r="G167" s="31" t="str">
        <x:v>勞工退休基金-115年6月.pdf</x:v>
      </x:c>
      <x:c r="H167" s="32" t="str">
        <x:v>資產配置（新制勞工退休基金）</x:v>
      </x:c>
    </x:row>
    <x:row r="168">
      <x:c r="A168" s="37" t="n">
        <x:v>46174</x:v>
      </x:c>
      <x:c r="B168" s="31" t="str">
        <x:v>115年6月</x:v>
      </x:c>
      <x:c r="C168" s="31" t="str">
        <x:v>新制</x:v>
      </x:c>
      <x:c r="D168" s="31" t="str">
        <x:v>股票及受益憑證投資（含期貨）</x:v>
      </x:c>
      <x:c r="E168" s="40" t="n">
        <x:v>301498149513</x:v>
      </x:c>
      <x:c r="F168" s="43" t="n">
        <x:v>0.052000000000000005</x:v>
      </x:c>
      <x:c r="G168" s="31" t="str">
        <x:v>勞工退休基金-115年6月.pdf</x:v>
      </x:c>
      <x:c r="H168" s="32" t="str">
        <x:v>資產配置（新制勞工退休基金）</x:v>
      </x:c>
    </x:row>
    <x:row r="169">
      <x:c r="A169" s="37" t="n">
        <x:v>46174</x:v>
      </x:c>
      <x:c r="B169" s="31" t="str">
        <x:v>115年6月</x:v>
      </x:c>
      <x:c r="C169" s="31" t="str">
        <x:v>新制</x:v>
      </x:c>
      <x:c r="D169" s="31" t="str">
        <x:v>國外投資</x:v>
      </x:c>
      <x:c r="E169" s="40" t="n">
        <x:v>835843516155</x:v>
      </x:c>
      <x:c r="F169" s="43" t="n">
        <x:v>0.1442</x:v>
      </x:c>
      <x:c r="G169" s="31" t="str">
        <x:v>勞工退休基金-115年6月.pdf</x:v>
      </x:c>
      <x:c r="H169" s="32" t="str">
        <x:v>資產配置（新制勞工退休基金）</x:v>
      </x:c>
    </x:row>
    <x:row r="170">
      <x:c r="A170" s="37" t="n">
        <x:v>46174</x:v>
      </x:c>
      <x:c r="B170" s="31" t="str">
        <x:v>115年6月</x:v>
      </x:c>
      <x:c r="C170" s="31" t="str">
        <x:v>新制</x:v>
      </x:c>
      <x:c r="D170" s="31" t="str">
        <x:v>自行運用-國外-固定收益</x:v>
      </x:c>
      <x:c r="E170" s="40" t="n">
        <x:v>715655062812</x:v>
      </x:c>
      <x:c r="F170" s="43" t="n">
        <x:v>0.1235</x:v>
      </x:c>
      <x:c r="G170" s="31" t="str">
        <x:v>勞工退休基金-115年6月.pdf</x:v>
      </x:c>
      <x:c r="H170" s="32" t="str">
        <x:v>資產配置（新制勞工退休基金）</x:v>
      </x:c>
    </x:row>
    <x:row r="171">
      <x:c r="A171" s="37" t="n">
        <x:v>46174</x:v>
      </x:c>
      <x:c r="B171" s="31" t="str">
        <x:v>115年6月</x:v>
      </x:c>
      <x:c r="C171" s="31" t="str">
        <x:v>新制</x:v>
      </x:c>
      <x:c r="D171" s="31" t="str">
        <x:v>自行運用-國外-權益證券</x:v>
      </x:c>
      <x:c r="E171" s="40" t="n">
        <x:v>74774832699</x:v>
      </x:c>
      <x:c r="F171" s="43" t="n">
        <x:v>0.0129</x:v>
      </x:c>
      <x:c r="G171" s="31" t="str">
        <x:v>勞工退休基金-115年6月.pdf</x:v>
      </x:c>
      <x:c r="H171" s="32" t="str">
        <x:v>資產配置（新制勞工退休基金）</x:v>
      </x:c>
    </x:row>
    <x:row r="172">
      <x:c r="A172" s="37" t="n">
        <x:v>46174</x:v>
      </x:c>
      <x:c r="B172" s="31" t="str">
        <x:v>115年6月</x:v>
      </x:c>
      <x:c r="C172" s="31" t="str">
        <x:v>新制</x:v>
      </x:c>
      <x:c r="D172" s="31" t="str">
        <x:v>自行運用-國外-另類投資</x:v>
      </x:c>
      <x:c r="E172" s="40" t="n">
        <x:v>45413620644</x:v>
      </x:c>
      <x:c r="F172" s="43" t="n">
        <x:v>0.0078000000000000005</x:v>
      </x:c>
      <x:c r="G172" s="31" t="str">
        <x:v>勞工退休基金-115年6月.pdf</x:v>
      </x:c>
      <x:c r="H172" s="32" t="str">
        <x:v>資產配置（新制勞工退休基金）</x:v>
      </x:c>
    </x:row>
    <x:row r="173">
      <x:c r="A173" s="37" t="n">
        <x:v>46174</x:v>
      </x:c>
      <x:c r="B173" s="31" t="str">
        <x:v>115年6月</x:v>
      </x:c>
      <x:c r="C173" s="31" t="str">
        <x:v>新制</x:v>
      </x:c>
      <x:c r="D173" s="31" t="str">
        <x:v>委託經營</x:v>
      </x:c>
      <x:c r="E173" s="40" t="n">
        <x:v>3757338200194</x:v>
      </x:c>
      <x:c r="F173" s="43" t="n">
        <x:v>0.6481999999999999</x:v>
      </x:c>
      <x:c r="G173" s="31" t="str">
        <x:v>勞工退休基金-115年6月.pdf</x:v>
      </x:c>
      <x:c r="H173" s="32" t="str">
        <x:v>資產配置（新制勞工退休基金）</x:v>
      </x:c>
    </x:row>
    <x:row r="174">
      <x:c r="A174" s="37" t="n">
        <x:v>46174</x:v>
      </x:c>
      <x:c r="B174" s="31" t="str">
        <x:v>115年6月</x:v>
      </x:c>
      <x:c r="C174" s="31" t="str">
        <x:v>新制</x:v>
      </x:c>
      <x:c r="D174" s="31" t="str">
        <x:v>委託經營-國內-權益證券</x:v>
      </x:c>
      <x:c r="E174" s="40" t="n">
        <x:v>1096284105994</x:v>
      </x:c>
      <x:c r="F174" s="43" t="n">
        <x:v>0.1891</x:v>
      </x:c>
      <x:c r="G174" s="31" t="str">
        <x:v>勞工退休基金-115年6月.pdf</x:v>
      </x:c>
      <x:c r="H174" s="32" t="str">
        <x:v>資產配置（新制勞工退休基金）</x:v>
      </x:c>
    </x:row>
    <x:row r="175">
      <x:c r="A175" s="37" t="n">
        <x:v>46174</x:v>
      </x:c>
      <x:c r="B175" s="31" t="str">
        <x:v>115年6月</x:v>
      </x:c>
      <x:c r="C175" s="31" t="str">
        <x:v>新制</x:v>
      </x:c>
      <x:c r="D175" s="31" t="str">
        <x:v>國外委託經營</x:v>
      </x:c>
      <x:c r="E175" s="40" t="n">
        <x:v>2661054094200</x:v>
      </x:c>
      <x:c r="F175" s="43" t="n">
        <x:v>0.45909999999999995</x:v>
      </x:c>
      <x:c r="G175" s="31" t="str">
        <x:v>勞工退休基金-115年6月.pdf</x:v>
      </x:c>
      <x:c r="H175" s="32" t="str">
        <x:v>資產配置（新制勞工退休基金）</x:v>
      </x:c>
    </x:row>
    <x:row r="176">
      <x:c r="A176" s="37" t="n">
        <x:v>46174</x:v>
      </x:c>
      <x:c r="B176" s="31" t="str">
        <x:v>115年6月</x:v>
      </x:c>
      <x:c r="C176" s="31" t="str">
        <x:v>新制</x:v>
      </x:c>
      <x:c r="D176" s="31" t="str">
        <x:v>委託經營-國外-固定收益</x:v>
      </x:c>
      <x:c r="E176" s="40" t="n">
        <x:v>585932807329</x:v>
      </x:c>
      <x:c r="F176" s="43" t="n">
        <x:v>0.1011</x:v>
      </x:c>
      <x:c r="G176" s="31" t="str">
        <x:v>勞工退休基金-115年6月.pdf</x:v>
      </x:c>
      <x:c r="H176" s="32" t="str">
        <x:v>資產配置（新制勞工退休基金）</x:v>
      </x:c>
    </x:row>
    <x:row r="177">
      <x:c r="A177" s="37" t="n">
        <x:v>46174</x:v>
      </x:c>
      <x:c r="B177" s="31" t="str">
        <x:v>115年6月</x:v>
      </x:c>
      <x:c r="C177" s="31" t="str">
        <x:v>新制</x:v>
      </x:c>
      <x:c r="D177" s="31" t="str">
        <x:v>委託經營-國外-權益證券</x:v>
      </x:c>
      <x:c r="E177" s="40" t="n">
        <x:v>1518091521122</x:v>
      </x:c>
      <x:c r="F177" s="43" t="n">
        <x:v>0.2619</x:v>
      </x:c>
      <x:c r="G177" s="31" t="str">
        <x:v>勞工退休基金-115年6月.pdf</x:v>
      </x:c>
      <x:c r="H177" s="32" t="str">
        <x:v>資產配置（新制勞工退休基金）</x:v>
      </x:c>
    </x:row>
    <x:row r="178">
      <x:c r="A178" s="37" t="n">
        <x:v>46174</x:v>
      </x:c>
      <x:c r="B178" s="31" t="str">
        <x:v>115年6月</x:v>
      </x:c>
      <x:c r="C178" s="31" t="str">
        <x:v>新制</x:v>
      </x:c>
      <x:c r="D178" s="31" t="str">
        <x:v>委託經營-國外-另類投資</x:v>
      </x:c>
      <x:c r="E178" s="40" t="n">
        <x:v>557029765749</x:v>
      </x:c>
      <x:c r="F178" s="43" t="n">
        <x:v>0.09609999999999999</x:v>
      </x:c>
      <x:c r="G178" s="31" t="str">
        <x:v>勞工退休基金-115年6月.pdf</x:v>
      </x:c>
      <x:c r="H178" s="32" t="str">
        <x:v>資產配置（新制勞工退休基金）</x:v>
      </x:c>
    </x:row>
    <x:row r="179">
      <x:c r="A179" s="37" t="n">
        <x:v>46174</x:v>
      </x:c>
      <x:c r="B179" s="31" t="str">
        <x:v>115年6月</x:v>
      </x:c>
      <x:c r="C179" s="31" t="str">
        <x:v>新制</x:v>
      </x:c>
      <x:c r="D179" s="31" t="str">
        <x:v>合計</x:v>
      </x:c>
      <x:c r="E179" s="40" t="n">
        <x:v>5796350429763</x:v>
      </x:c>
      <x:c r="F179" s="43" t="n">
        <x:v>1</x:v>
      </x:c>
      <x:c r="G179" s="31" t="str">
        <x:v>勞工退休基金-115年6月.pdf</x:v>
      </x:c>
      <x:c r="H179" s="32" t="str">
        <x:v>資產配置（新制勞工退休基金）</x:v>
      </x:c>
    </x:row>
    <x:row r="180">
      <x:c r="A180" s="37" t="n">
        <x:v>46174</x:v>
      </x:c>
      <x:c r="B180" s="31" t="str">
        <x:v>115年6月</x:v>
      </x:c>
      <x:c r="C180" s="31" t="str">
        <x:v>舊制</x:v>
      </x:c>
      <x:c r="D180" s="31" t="str">
        <x:v>自行運用</x:v>
      </x:c>
      <x:c r="E180" s="40" t="n">
        <x:v>515241051164</x:v>
      </x:c>
      <x:c r="F180" s="43" t="n">
        <x:v>0.44329999999999997</x:v>
      </x:c>
      <x:c r="G180" s="31" t="str">
        <x:v>勞工退休基金-115年6月.pdf</x:v>
      </x:c>
      <x:c r="H180" s="32" t="str">
        <x:v>資產配置（舊制勞工退休基金）</x:v>
      </x:c>
    </x:row>
    <x:row r="181">
      <x:c r="A181" s="37" t="n">
        <x:v>46174</x:v>
      </x:c>
      <x:c r="B181" s="31" t="str">
        <x:v>115年6月</x:v>
      </x:c>
      <x:c r="C181" s="31" t="str">
        <x:v>舊制</x:v>
      </x:c>
      <x:c r="D181" s="31" t="str">
        <x:v>轉存金融機構</x:v>
      </x:c>
      <x:c r="E181" s="40" t="n">
        <x:v>206753965948</x:v>
      </x:c>
      <x:c r="F181" s="43" t="n">
        <x:v>0.1779</x:v>
      </x:c>
      <x:c r="G181" s="31" t="str">
        <x:v>勞工退休基金-115年6月.pdf</x:v>
      </x:c>
      <x:c r="H181" s="32" t="str">
        <x:v>資產配置（舊制勞工退休基金）</x:v>
      </x:c>
    </x:row>
    <x:row r="182">
      <x:c r="A182" s="37" t="n">
        <x:v>46174</x:v>
      </x:c>
      <x:c r="B182" s="31" t="str">
        <x:v>115年6月</x:v>
      </x:c>
      <x:c r="C182" s="31" t="str">
        <x:v>舊制</x:v>
      </x:c>
      <x:c r="D182" s="31" t="str">
        <x:v>短期票券</x:v>
      </x:c>
      <x:c r="E182" s="40" t="n">
        <x:v>70907889232</x:v>
      </x:c>
      <x:c r="F182" s="43" t="n">
        <x:v>0.061</x:v>
      </x:c>
      <x:c r="G182" s="31" t="str">
        <x:v>勞工退休基金-115年6月.pdf</x:v>
      </x:c>
      <x:c r="H182" s="32" t="str">
        <x:v>資產配置（舊制勞工退休基金）</x:v>
      </x:c>
    </x:row>
    <x:row r="183">
      <x:c r="A183" s="37" t="n">
        <x:v>46174</x:v>
      </x:c>
      <x:c r="B183" s="31" t="str">
        <x:v>115年6月</x:v>
      </x:c>
      <x:c r="C183" s="31" t="str">
        <x:v>舊制</x:v>
      </x:c>
      <x:c r="D183" s="31" t="str">
        <x:v>公債、金融債券、公司債及證券化商品</x:v>
      </x:c>
      <x:c r="E183" s="40" t="n">
        <x:v>87428925594</x:v>
      </x:c>
      <x:c r="F183" s="43" t="n">
        <x:v>0.07519999999999999</x:v>
      </x:c>
      <x:c r="G183" s="31" t="str">
        <x:v>勞工退休基金-115年6月.pdf</x:v>
      </x:c>
      <x:c r="H183" s="32" t="str">
        <x:v>資產配置（舊制勞工退休基金）</x:v>
      </x:c>
    </x:row>
    <x:row r="184">
      <x:c r="A184" s="37" t="n">
        <x:v>46174</x:v>
      </x:c>
      <x:c r="B184" s="31" t="str">
        <x:v>115年6月</x:v>
      </x:c>
      <x:c r="C184" s="31" t="str">
        <x:v>舊制</x:v>
      </x:c>
      <x:c r="D184" s="31" t="str">
        <x:v>股票及受益憑證投資（含期貨）</x:v>
      </x:c>
      <x:c r="E184" s="40" t="n">
        <x:v>95909996878</x:v>
      </x:c>
      <x:c r="F184" s="43" t="n">
        <x:v>0.0825</x:v>
      </x:c>
      <x:c r="G184" s="31" t="str">
        <x:v>勞工退休基金-115年6月.pdf</x:v>
      </x:c>
      <x:c r="H184" s="32" t="str">
        <x:v>資產配置（舊制勞工退休基金）</x:v>
      </x:c>
    </x:row>
    <x:row r="185">
      <x:c r="A185" s="37" t="n">
        <x:v>46174</x:v>
      </x:c>
      <x:c r="B185" s="31" t="str">
        <x:v>115年6月</x:v>
      </x:c>
      <x:c r="C185" s="31" t="str">
        <x:v>舊制</x:v>
      </x:c>
      <x:c r="D185" s="31" t="str">
        <x:v>國外投資</x:v>
      </x:c>
      <x:c r="E185" s="40" t="n">
        <x:v>54240273512</x:v>
      </x:c>
      <x:c r="F185" s="43" t="n">
        <x:v>0.0467</x:v>
      </x:c>
      <x:c r="G185" s="31" t="str">
        <x:v>勞工退休基金-115年6月.pdf</x:v>
      </x:c>
      <x:c r="H185" s="32" t="str">
        <x:v>資產配置（舊制勞工退休基金）</x:v>
      </x:c>
    </x:row>
    <x:row r="186">
      <x:c r="A186" s="37" t="n">
        <x:v>46174</x:v>
      </x:c>
      <x:c r="B186" s="31" t="str">
        <x:v>115年6月</x:v>
      </x:c>
      <x:c r="C186" s="31" t="str">
        <x:v>舊制</x:v>
      </x:c>
      <x:c r="D186" s="31" t="str">
        <x:v>自行運用-國外-固定收益</x:v>
      </x:c>
      <x:c r="E186" s="40" t="n">
        <x:v>30843423120</x:v>
      </x:c>
      <x:c r="F186" s="43" t="n">
        <x:v>0.0265</x:v>
      </x:c>
      <x:c r="G186" s="31" t="str">
        <x:v>勞工退休基金-115年6月.pdf</x:v>
      </x:c>
      <x:c r="H186" s="32" t="str">
        <x:v>資產配置（舊制勞工退休基金）</x:v>
      </x:c>
    </x:row>
    <x:row r="187">
      <x:c r="A187" s="37" t="n">
        <x:v>46174</x:v>
      </x:c>
      <x:c r="B187" s="31" t="str">
        <x:v>115年6月</x:v>
      </x:c>
      <x:c r="C187" s="31" t="str">
        <x:v>舊制</x:v>
      </x:c>
      <x:c r="D187" s="31" t="str">
        <x:v>自行運用-國外-權益證券</x:v>
      </x:c>
      <x:c r="E187" s="40" t="n">
        <x:v>23396850392</x:v>
      </x:c>
      <x:c r="F187" s="43" t="n">
        <x:v>0.0202</x:v>
      </x:c>
      <x:c r="G187" s="31" t="str">
        <x:v>勞工退休基金-115年6月.pdf</x:v>
      </x:c>
      <x:c r="H187" s="32" t="str">
        <x:v>資產配置（舊制勞工退休基金）</x:v>
      </x:c>
    </x:row>
    <x:row r="188">
      <x:c r="A188" s="37" t="n">
        <x:v>46174</x:v>
      </x:c>
      <x:c r="B188" s="31" t="str">
        <x:v>115年6月</x:v>
      </x:c>
      <x:c r="C188" s="31" t="str">
        <x:v>舊制</x:v>
      </x:c>
      <x:c r="D188" s="31" t="str">
        <x:v>自行運用-國外-另類投資</x:v>
      </x:c>
      <x:c r="E188" s="40" t="n">
        <x:v>0</x:v>
      </x:c>
      <x:c r="F188" s="43" t="n">
        <x:v>0</x:v>
      </x:c>
      <x:c r="G188" s="31" t="str">
        <x:v>勞工退休基金-115年6月.pdf</x:v>
      </x:c>
      <x:c r="H188" s="32" t="str">
        <x:v>資產配置（舊制勞工退休基金）</x:v>
      </x:c>
    </x:row>
    <x:row r="189">
      <x:c r="A189" s="37" t="n">
        <x:v>46174</x:v>
      </x:c>
      <x:c r="B189" s="31" t="str">
        <x:v>115年6月</x:v>
      </x:c>
      <x:c r="C189" s="31" t="str">
        <x:v>舊制</x:v>
      </x:c>
      <x:c r="D189" s="31" t="str">
        <x:v>委託經營</x:v>
      </x:c>
      <x:c r="E189" s="40" t="n">
        <x:v>647017391284</x:v>
      </x:c>
      <x:c r="F189" s="43" t="n">
        <x:v>0.5567</x:v>
      </x:c>
      <x:c r="G189" s="31" t="str">
        <x:v>勞工退休基金-115年6月.pdf</x:v>
      </x:c>
      <x:c r="H189" s="32" t="str">
        <x:v>資產配置（舊制勞工退休基金）</x:v>
      </x:c>
    </x:row>
    <x:row r="190">
      <x:c r="A190" s="37" t="n">
        <x:v>46174</x:v>
      </x:c>
      <x:c r="B190" s="31" t="str">
        <x:v>115年6月</x:v>
      </x:c>
      <x:c r="C190" s="31" t="str">
        <x:v>舊制</x:v>
      </x:c>
      <x:c r="D190" s="31" t="str">
        <x:v>委託經營-國內-權益證券</x:v>
      </x:c>
      <x:c r="E190" s="40" t="n">
        <x:v>177545692702</x:v>
      </x:c>
      <x:c r="F190" s="43" t="n">
        <x:v>0.1527</x:v>
      </x:c>
      <x:c r="G190" s="31" t="str">
        <x:v>勞工退休基金-115年6月.pdf</x:v>
      </x:c>
      <x:c r="H190" s="32" t="str">
        <x:v>資產配置（舊制勞工退休基金）</x:v>
      </x:c>
    </x:row>
    <x:row r="191">
      <x:c r="A191" s="37" t="n">
        <x:v>46174</x:v>
      </x:c>
      <x:c r="B191" s="31" t="str">
        <x:v>115年6月</x:v>
      </x:c>
      <x:c r="C191" s="31" t="str">
        <x:v>舊制</x:v>
      </x:c>
      <x:c r="D191" s="31" t="str">
        <x:v>國外委託經營</x:v>
      </x:c>
      <x:c r="E191" s="40" t="n">
        <x:v>469471698582</x:v>
      </x:c>
      <x:c r="F191" s="43" t="n">
        <x:v>0.40399999999999997</x:v>
      </x:c>
      <x:c r="G191" s="31" t="str">
        <x:v>勞工退休基金-115年6月.pdf</x:v>
      </x:c>
      <x:c r="H191" s="32" t="str">
        <x:v>資產配置（舊制勞工退休基金）</x:v>
      </x:c>
    </x:row>
    <x:row r="192">
      <x:c r="A192" s="37" t="n">
        <x:v>46174</x:v>
      </x:c>
      <x:c r="B192" s="31" t="str">
        <x:v>115年6月</x:v>
      </x:c>
      <x:c r="C192" s="31" t="str">
        <x:v>舊制</x:v>
      </x:c>
      <x:c r="D192" s="31" t="str">
        <x:v>委託經營-國外-固定收益</x:v>
      </x:c>
      <x:c r="E192" s="40" t="n">
        <x:v>108036669123</x:v>
      </x:c>
      <x:c r="F192" s="43" t="n">
        <x:v>0.09300000000000001</x:v>
      </x:c>
      <x:c r="G192" s="31" t="str">
        <x:v>勞工退休基金-115年6月.pdf</x:v>
      </x:c>
      <x:c r="H192" s="32" t="str">
        <x:v>資產配置（舊制勞工退休基金）</x:v>
      </x:c>
    </x:row>
    <x:row r="193">
      <x:c r="A193" s="37" t="n">
        <x:v>46174</x:v>
      </x:c>
      <x:c r="B193" s="31" t="str">
        <x:v>115年6月</x:v>
      </x:c>
      <x:c r="C193" s="31" t="str">
        <x:v>舊制</x:v>
      </x:c>
      <x:c r="D193" s="31" t="str">
        <x:v>委託經營-國外-權益證券</x:v>
      </x:c>
      <x:c r="E193" s="40" t="n">
        <x:v>241307746600</x:v>
      </x:c>
      <x:c r="F193" s="43" t="n">
        <x:v>0.2076</x:v>
      </x:c>
      <x:c r="G193" s="31" t="str">
        <x:v>勞工退休基金-115年6月.pdf</x:v>
      </x:c>
      <x:c r="H193" s="32" t="str">
        <x:v>資產配置（舊制勞工退休基金）</x:v>
      </x:c>
    </x:row>
    <x:row r="194">
      <x:c r="A194" s="37" t="n">
        <x:v>46174</x:v>
      </x:c>
      <x:c r="B194" s="31" t="str">
        <x:v>115年6月</x:v>
      </x:c>
      <x:c r="C194" s="31" t="str">
        <x:v>舊制</x:v>
      </x:c>
      <x:c r="D194" s="31" t="str">
        <x:v>委託經營-國外-另類投資</x:v>
      </x:c>
      <x:c r="E194" s="40" t="n">
        <x:v>120127282859</x:v>
      </x:c>
      <x:c r="F194" s="43" t="n">
        <x:v>0.10339999999999999</x:v>
      </x:c>
      <x:c r="G194" s="31" t="str">
        <x:v>勞工退休基金-115年6月.pdf</x:v>
      </x:c>
      <x:c r="H194" s="32" t="str">
        <x:v>資產配置（舊制勞工退休基金）</x:v>
      </x:c>
    </x:row>
    <x:row r="195">
      <x:c r="A195" s="37" t="n">
        <x:v>46174</x:v>
      </x:c>
      <x:c r="B195" s="31" t="str">
        <x:v>115年6月</x:v>
      </x:c>
      <x:c r="C195" s="31" t="str">
        <x:v>舊制</x:v>
      </x:c>
      <x:c r="D195" s="31" t="str">
        <x:v>合計</x:v>
      </x:c>
      <x:c r="E195" s="40" t="n">
        <x:v>1162258442448</x:v>
      </x:c>
      <x:c r="F195" s="43" t="n">
        <x:v>1</x:v>
      </x:c>
      <x:c r="G195" s="31" t="str">
        <x:v>勞工退休基金-115年6月.pdf</x:v>
      </x:c>
      <x:c r="H195" s="32" t="str">
        <x:v>資產配置（舊制勞工退休基金）</x:v>
      </x:c>
    </x:row>
    <x:row r="196">
      <x:c r="A196" s="37" t="n">
        <x:v>46204</x:v>
      </x:c>
      <x:c r="B196" s="31" t="str">
        <x:v>115年7月</x:v>
      </x:c>
      <x:c r="C196" s="31" t="str">
        <x:v>新制</x:v>
      </x:c>
      <x:c r="D196" s="31" t="str">
        <x:v>自行運用</x:v>
      </x:c>
      <x:c r="E196" s="40" t="n">
        <x:v>2045726190154</x:v>
      </x:c>
      <x:c r="F196" s="43" t="n">
        <x:v>0.34259999999999996</x:v>
      </x:c>
      <x:c r="G196" s="31" t="str">
        <x:v>勞工退休基金-115年7月.pdf</x:v>
      </x:c>
      <x:c r="H196" s="32" t="str">
        <x:v>資產配置（新制勞工退休基金）</x:v>
      </x:c>
    </x:row>
    <x:row r="197">
      <x:c r="A197" s="37" t="n">
        <x:v>46204</x:v>
      </x:c>
      <x:c r="B197" s="31" t="str">
        <x:v>115年7月</x:v>
      </x:c>
      <x:c r="C197" s="31" t="str">
        <x:v>新制</x:v>
      </x:c>
      <x:c r="D197" s="31" t="str">
        <x:v>轉存金融機構</x:v>
      </x:c>
      <x:c r="E197" s="40" t="n">
        <x:v>478291754572</x:v>
      </x:c>
      <x:c r="F197" s="43" t="n">
        <x:v>0.0801</x:v>
      </x:c>
      <x:c r="G197" s="31" t="str">
        <x:v>勞工退休基金-115年7月.pdf</x:v>
      </x:c>
      <x:c r="H197" s="32" t="str">
        <x:v>資產配置（新制勞工退休基金）</x:v>
      </x:c>
    </x:row>
    <x:row r="198">
      <x:c r="A198" s="37" t="n">
        <x:v>46204</x:v>
      </x:c>
      <x:c r="B198" s="31" t="str">
        <x:v>115年7月</x:v>
      </x:c>
      <x:c r="C198" s="31" t="str">
        <x:v>新制</x:v>
      </x:c>
      <x:c r="D198" s="31" t="str">
        <x:v>短期票券</x:v>
      </x:c>
      <x:c r="E198" s="40" t="n">
        <x:v>152803509826</x:v>
      </x:c>
      <x:c r="F198" s="43" t="n">
        <x:v>0.0256</x:v>
      </x:c>
      <x:c r="G198" s="31" t="str">
        <x:v>勞工退休基金-115年7月.pdf</x:v>
      </x:c>
      <x:c r="H198" s="32" t="str">
        <x:v>資產配置（新制勞工退休基金）</x:v>
      </x:c>
    </x:row>
    <x:row r="199">
      <x:c r="A199" s="37" t="n">
        <x:v>46204</x:v>
      </x:c>
      <x:c r="B199" s="31" t="str">
        <x:v>115年7月</x:v>
      </x:c>
      <x:c r="C199" s="31" t="str">
        <x:v>新制</x:v>
      </x:c>
      <x:c r="D199" s="31" t="str">
        <x:v>公債、公司債、金融債券及特別股</x:v>
      </x:c>
      <x:c r="E199" s="40" t="n">
        <x:v>251734539206</x:v>
      </x:c>
      <x:c r="F199" s="43" t="n">
        <x:v>0.0421</x:v>
      </x:c>
      <x:c r="G199" s="31" t="str">
        <x:v>勞工退休基金-115年7月.pdf</x:v>
      </x:c>
      <x:c r="H199" s="32" t="str">
        <x:v>資產配置（新制勞工退休基金）</x:v>
      </x:c>
    </x:row>
    <x:row r="200">
      <x:c r="A200" s="37" t="n">
        <x:v>46204</x:v>
      </x:c>
      <x:c r="B200" s="31" t="str">
        <x:v>115年7月</x:v>
      </x:c>
      <x:c r="C200" s="31" t="str">
        <x:v>新制</x:v>
      </x:c>
      <x:c r="D200" s="31" t="str">
        <x:v>股票及受益憑證投資（含期貨）</x:v>
      </x:c>
      <x:c r="E200" s="40" t="n">
        <x:v>311555741999</x:v>
      </x:c>
      <x:c r="F200" s="43" t="n">
        <x:v>0.052199999999999996</x:v>
      </x:c>
      <x:c r="G200" s="31" t="str">
        <x:v>勞工退休基金-115年7月.pdf</x:v>
      </x:c>
      <x:c r="H200" s="32" t="str">
        <x:v>資產配置（新制勞工退休基金）</x:v>
      </x:c>
    </x:row>
    <x:row r="201">
      <x:c r="A201" s="37" t="n">
        <x:v>46204</x:v>
      </x:c>
      <x:c r="B201" s="31" t="str">
        <x:v>115年7月</x:v>
      </x:c>
      <x:c r="C201" s="31" t="str">
        <x:v>新制</x:v>
      </x:c>
      <x:c r="D201" s="31" t="str">
        <x:v>國外投資</x:v>
      </x:c>
      <x:c r="E201" s="40" t="n">
        <x:v>851340644551</x:v>
      </x:c>
      <x:c r="F201" s="43" t="n">
        <x:v>0.1426</x:v>
      </x:c>
      <x:c r="G201" s="31" t="str">
        <x:v>勞工退休基金-115年7月.pdf</x:v>
      </x:c>
      <x:c r="H201" s="32" t="str">
        <x:v>資產配置（新制勞工退休基金）</x:v>
      </x:c>
    </x:row>
    <x:row r="202">
      <x:c r="A202" s="37" t="n">
        <x:v>46204</x:v>
      </x:c>
      <x:c r="B202" s="31" t="str">
        <x:v>115年7月</x:v>
      </x:c>
      <x:c r="C202" s="31" t="str">
        <x:v>新制</x:v>
      </x:c>
      <x:c r="D202" s="31" t="str">
        <x:v>自行運用-國外-固定收益</x:v>
      </x:c>
      <x:c r="E202" s="40" t="n">
        <x:v>721154157630</x:v>
      </x:c>
      <x:c r="F202" s="43" t="n">
        <x:v>0.1208</x:v>
      </x:c>
      <x:c r="G202" s="31" t="str">
        <x:v>勞工退休基金-115年7月.pdf</x:v>
      </x:c>
      <x:c r="H202" s="32" t="str">
        <x:v>資產配置（新制勞工退休基金）</x:v>
      </x:c>
    </x:row>
    <x:row r="203">
      <x:c r="A203" s="37" t="n">
        <x:v>46204</x:v>
      </x:c>
      <x:c r="B203" s="31" t="str">
        <x:v>115年7月</x:v>
      </x:c>
      <x:c r="C203" s="31" t="str">
        <x:v>新制</x:v>
      </x:c>
      <x:c r="D203" s="31" t="str">
        <x:v>自行運用-國外-權益證券</x:v>
      </x:c>
      <x:c r="E203" s="40" t="n">
        <x:v>84027862506</x:v>
      </x:c>
      <x:c r="F203" s="43" t="n">
        <x:v>0.0141</x:v>
      </x:c>
      <x:c r="G203" s="31" t="str">
        <x:v>勞工退休基金-115年7月.pdf</x:v>
      </x:c>
      <x:c r="H203" s="32" t="str">
        <x:v>資產配置（新制勞工退休基金）</x:v>
      </x:c>
    </x:row>
    <x:row r="204">
      <x:c r="A204" s="37" t="n">
        <x:v>46204</x:v>
      </x:c>
      <x:c r="B204" s="31" t="str">
        <x:v>115年7月</x:v>
      </x:c>
      <x:c r="C204" s="31" t="str">
        <x:v>新制</x:v>
      </x:c>
      <x:c r="D204" s="31" t="str">
        <x:v>自行運用-國外-另類投資</x:v>
      </x:c>
      <x:c r="E204" s="40" t="n">
        <x:v>46158624415</x:v>
      </x:c>
      <x:c r="F204" s="43" t="n">
        <x:v>0.0077</x:v>
      </x:c>
      <x:c r="G204" s="31" t="str">
        <x:v>勞工退休基金-115年7月.pdf</x:v>
      </x:c>
      <x:c r="H204" s="32" t="str">
        <x:v>資產配置（新制勞工退休基金）</x:v>
      </x:c>
    </x:row>
    <x:row r="205">
      <x:c r="A205" s="37" t="n">
        <x:v>46204</x:v>
      </x:c>
      <x:c r="B205" s="31" t="str">
        <x:v>115年7月</x:v>
      </x:c>
      <x:c r="C205" s="31" t="str">
        <x:v>新制</x:v>
      </x:c>
      <x:c r="D205" s="31" t="str">
        <x:v>委託經營</x:v>
      </x:c>
      <x:c r="E205" s="40" t="n">
        <x:v>3926165175689</x:v>
      </x:c>
      <x:c r="F205" s="43" t="n">
        <x:v>0.6574</x:v>
      </x:c>
      <x:c r="G205" s="31" t="str">
        <x:v>勞工退休基金-115年7月.pdf</x:v>
      </x:c>
      <x:c r="H205" s="32" t="str">
        <x:v>資產配置（新制勞工退休基金）</x:v>
      </x:c>
    </x:row>
    <x:row r="206">
      <x:c r="A206" s="37" t="n">
        <x:v>46204</x:v>
      </x:c>
      <x:c r="B206" s="31" t="str">
        <x:v>115年7月</x:v>
      </x:c>
      <x:c r="C206" s="31" t="str">
        <x:v>新制</x:v>
      </x:c>
      <x:c r="D206" s="31" t="str">
        <x:v>委託經營-國內-權益證券</x:v>
      </x:c>
      <x:c r="E206" s="40" t="n">
        <x:v>1171597084307</x:v>
      </x:c>
      <x:c r="F206" s="43" t="n">
        <x:v>0.1962</x:v>
      </x:c>
      <x:c r="G206" s="31" t="str">
        <x:v>勞工退休基金-115年7月.pdf</x:v>
      </x:c>
      <x:c r="H206" s="32" t="str">
        <x:v>資產配置（新制勞工退休基金）</x:v>
      </x:c>
    </x:row>
    <x:row r="207">
      <x:c r="A207" s="37" t="n">
        <x:v>46204</x:v>
      </x:c>
      <x:c r="B207" s="31" t="str">
        <x:v>115年7月</x:v>
      </x:c>
      <x:c r="C207" s="31" t="str">
        <x:v>新制</x:v>
      </x:c>
      <x:c r="D207" s="31" t="str">
        <x:v>國外委託經營</x:v>
      </x:c>
      <x:c r="E207" s="40" t="n">
        <x:v>2754568091382</x:v>
      </x:c>
      <x:c r="F207" s="43" t="n">
        <x:v>0.4612</x:v>
      </x:c>
      <x:c r="G207" s="31" t="str">
        <x:v>勞工退休基金-115年7月.pdf</x:v>
      </x:c>
      <x:c r="H207" s="32" t="str">
        <x:v>資產配置（新制勞工退休基金）</x:v>
      </x:c>
    </x:row>
    <x:row r="208">
      <x:c r="A208" s="37" t="n">
        <x:v>46204</x:v>
      </x:c>
      <x:c r="B208" s="31" t="str">
        <x:v>115年7月</x:v>
      </x:c>
      <x:c r="C208" s="31" t="str">
        <x:v>新制</x:v>
      </x:c>
      <x:c r="D208" s="31" t="str">
        <x:v>委託經營-國外-固定收益</x:v>
      </x:c>
      <x:c r="E208" s="40" t="n">
        <x:v>596266506088</x:v>
      </x:c>
      <x:c r="F208" s="43" t="n">
        <x:v>0.0998</x:v>
      </x:c>
      <x:c r="G208" s="31" t="str">
        <x:v>勞工退休基金-115年7月.pdf</x:v>
      </x:c>
      <x:c r="H208" s="32" t="str">
        <x:v>資產配置（新制勞工退休基金）</x:v>
      </x:c>
    </x:row>
    <x:row r="209">
      <x:c r="A209" s="37" t="n">
        <x:v>46204</x:v>
      </x:c>
      <x:c r="B209" s="31" t="str">
        <x:v>115年7月</x:v>
      </x:c>
      <x:c r="C209" s="31" t="str">
        <x:v>新制</x:v>
      </x:c>
      <x:c r="D209" s="31" t="str">
        <x:v>委託經營-國外-權益證券</x:v>
      </x:c>
      <x:c r="E209" s="40" t="n">
        <x:v>1574426402328</x:v>
      </x:c>
      <x:c r="F209" s="43" t="n">
        <x:v>0.2636</x:v>
      </x:c>
      <x:c r="G209" s="31" t="str">
        <x:v>勞工退休基金-115年7月.pdf</x:v>
      </x:c>
      <x:c r="H209" s="32" t="str">
        <x:v>資產配置（新制勞工退休基金）</x:v>
      </x:c>
    </x:row>
    <x:row r="210">
      <x:c r="A210" s="37" t="n">
        <x:v>46204</x:v>
      </x:c>
      <x:c r="B210" s="31" t="str">
        <x:v>115年7月</x:v>
      </x:c>
      <x:c r="C210" s="31" t="str">
        <x:v>新制</x:v>
      </x:c>
      <x:c r="D210" s="31" t="str">
        <x:v>委託經營-國外-另類投資</x:v>
      </x:c>
      <x:c r="E210" s="40" t="n">
        <x:v>583875182966</x:v>
      </x:c>
      <x:c r="F210" s="43" t="n">
        <x:v>0.0978</x:v>
      </x:c>
      <x:c r="G210" s="31" t="str">
        <x:v>勞工退休基金-115年7月.pdf</x:v>
      </x:c>
      <x:c r="H210" s="32" t="str">
        <x:v>資產配置（新制勞工退休基金）</x:v>
      </x:c>
    </x:row>
    <x:row r="211">
      <x:c r="A211" s="37" t="n">
        <x:v>46204</x:v>
      </x:c>
      <x:c r="B211" s="31" t="str">
        <x:v>115年7月</x:v>
      </x:c>
      <x:c r="C211" s="31" t="str">
        <x:v>新制</x:v>
      </x:c>
      <x:c r="D211" s="31" t="str">
        <x:v>合計</x:v>
      </x:c>
      <x:c r="E211" s="40" t="n">
        <x:v>5971891365843</x:v>
      </x:c>
      <x:c r="F211" s="43" t="n">
        <x:v>1</x:v>
      </x:c>
      <x:c r="G211" s="31" t="str">
        <x:v>勞工退休基金-115年7月.pdf</x:v>
      </x:c>
      <x:c r="H211" s="32" t="str">
        <x:v>資產配置（新制勞工退休基金）</x:v>
      </x:c>
    </x:row>
    <x:row r="212">
      <x:c r="A212" s="37" t="n">
        <x:v>46204</x:v>
      </x:c>
      <x:c r="B212" s="31" t="str">
        <x:v>115年7月</x:v>
      </x:c>
      <x:c r="C212" s="31" t="str">
        <x:v>舊制</x:v>
      </x:c>
      <x:c r="D212" s="31" t="str">
        <x:v>自行運用</x:v>
      </x:c>
      <x:c r="E212" s="40" t="n">
        <x:v>542814149168</x:v>
      </x:c>
      <x:c r="F212" s="43" t="n">
        <x:v>0.4518</x:v>
      </x:c>
      <x:c r="G212" s="31" t="str">
        <x:v>勞工退休基金-115年7月.pdf</x:v>
      </x:c>
      <x:c r="H212" s="32" t="str">
        <x:v>資產配置（舊制勞工退休基金）</x:v>
      </x:c>
    </x:row>
    <x:row r="213">
      <x:c r="A213" s="37" t="n">
        <x:v>46204</x:v>
      </x:c>
      <x:c r="B213" s="31" t="str">
        <x:v>115年7月</x:v>
      </x:c>
      <x:c r="C213" s="31" t="str">
        <x:v>舊制</x:v>
      </x:c>
      <x:c r="D213" s="31" t="str">
        <x:v>轉存金融機構</x:v>
      </x:c>
      <x:c r="E213" s="40" t="n">
        <x:v>243818801079</x:v>
      </x:c>
      <x:c r="F213" s="43" t="n">
        <x:v>0.2029</x:v>
      </x:c>
      <x:c r="G213" s="31" t="str">
        <x:v>勞工退休基金-115年7月.pdf</x:v>
      </x:c>
      <x:c r="H213" s="32" t="str">
        <x:v>資產配置（舊制勞工退休基金）</x:v>
      </x:c>
    </x:row>
    <x:row r="214">
      <x:c r="A214" s="37" t="n">
        <x:v>46204</x:v>
      </x:c>
      <x:c r="B214" s="31" t="str">
        <x:v>115年7月</x:v>
      </x:c>
      <x:c r="C214" s="31" t="str">
        <x:v>舊制</x:v>
      </x:c>
      <x:c r="D214" s="31" t="str">
        <x:v>短期票券</x:v>
      </x:c>
      <x:c r="E214" s="40" t="n">
        <x:v>73524579727</x:v>
      </x:c>
      <x:c r="F214" s="43" t="n">
        <x:v>0.061200000000000004</x:v>
      </x:c>
      <x:c r="G214" s="31" t="str">
        <x:v>勞工退休基金-115年7月.pdf</x:v>
      </x:c>
      <x:c r="H214" s="32" t="str">
        <x:v>資產配置（舊制勞工退休基金）</x:v>
      </x:c>
    </x:row>
    <x:row r="215">
      <x:c r="A215" s="37" t="n">
        <x:v>46204</x:v>
      </x:c>
      <x:c r="B215" s="31" t="str">
        <x:v>115年7月</x:v>
      </x:c>
      <x:c r="C215" s="31" t="str">
        <x:v>舊制</x:v>
      </x:c>
      <x:c r="D215" s="31" t="str">
        <x:v>公債、金融債券、公司債及證券化商品</x:v>
      </x:c>
      <x:c r="E215" s="40" t="n">
        <x:v>86936556465</x:v>
      </x:c>
      <x:c r="F215" s="43" t="n">
        <x:v>0.0724</x:v>
      </x:c>
      <x:c r="G215" s="31" t="str">
        <x:v>勞工退休基金-115年7月.pdf</x:v>
      </x:c>
      <x:c r="H215" s="32" t="str">
        <x:v>資產配置（舊制勞工退休基金）</x:v>
      </x:c>
    </x:row>
    <x:row r="216">
      <x:c r="A216" s="37" t="n">
        <x:v>46204</x:v>
      </x:c>
      <x:c r="B216" s="31" t="str">
        <x:v>115年7月</x:v>
      </x:c>
      <x:c r="C216" s="31" t="str">
        <x:v>舊制</x:v>
      </x:c>
      <x:c r="D216" s="31" t="str">
        <x:v>股票及受益憑證投資（含期貨）</x:v>
      </x:c>
      <x:c r="E216" s="40" t="n">
        <x:v>86679774630</x:v>
      </x:c>
      <x:c r="F216" s="43" t="n">
        <x:v>0.0721</x:v>
      </x:c>
      <x:c r="G216" s="31" t="str">
        <x:v>勞工退休基金-115年7月.pdf</x:v>
      </x:c>
      <x:c r="H216" s="32" t="str">
        <x:v>資產配置（舊制勞工退休基金）</x:v>
      </x:c>
    </x:row>
    <x:row r="217">
      <x:c r="A217" s="37" t="n">
        <x:v>46204</x:v>
      </x:c>
      <x:c r="B217" s="31" t="str">
        <x:v>115年7月</x:v>
      </x:c>
      <x:c r="C217" s="31" t="str">
        <x:v>舊制</x:v>
      </x:c>
      <x:c r="D217" s="31" t="str">
        <x:v>國外投資</x:v>
      </x:c>
      <x:c r="E217" s="40" t="n">
        <x:v>51854437267</x:v>
      </x:c>
      <x:c r="F217" s="43" t="n">
        <x:v>0.0432</x:v>
      </x:c>
      <x:c r="G217" s="31" t="str">
        <x:v>勞工退休基金-115年7月.pdf</x:v>
      </x:c>
      <x:c r="H217" s="32" t="str">
        <x:v>資產配置（舊制勞工退休基金）</x:v>
      </x:c>
    </x:row>
    <x:row r="218">
      <x:c r="A218" s="37" t="n">
        <x:v>46204</x:v>
      </x:c>
      <x:c r="B218" s="31" t="str">
        <x:v>115年7月</x:v>
      </x:c>
      <x:c r="C218" s="31" t="str">
        <x:v>舊制</x:v>
      </x:c>
      <x:c r="D218" s="31" t="str">
        <x:v>自行運用-國外-固定收益</x:v>
      </x:c>
      <x:c r="E218" s="40" t="n">
        <x:v>29814460239</x:v>
      </x:c>
      <x:c r="F218" s="43" t="n">
        <x:v>0.0248</x:v>
      </x:c>
      <x:c r="G218" s="31" t="str">
        <x:v>勞工退休基金-115年7月.pdf</x:v>
      </x:c>
      <x:c r="H218" s="32" t="str">
        <x:v>資產配置（舊制勞工退休基金）</x:v>
      </x:c>
    </x:row>
    <x:row r="219">
      <x:c r="A219" s="37" t="n">
        <x:v>46204</x:v>
      </x:c>
      <x:c r="B219" s="31" t="str">
        <x:v>115年7月</x:v>
      </x:c>
      <x:c r="C219" s="31" t="str">
        <x:v>舊制</x:v>
      </x:c>
      <x:c r="D219" s="31" t="str">
        <x:v>自行運用-國外-權益證券</x:v>
      </x:c>
      <x:c r="E219" s="40" t="n">
        <x:v>22039977028</x:v>
      </x:c>
      <x:c r="F219" s="43" t="n">
        <x:v>0.0184</x:v>
      </x:c>
      <x:c r="G219" s="31" t="str">
        <x:v>勞工退休基金-115年7月.pdf</x:v>
      </x:c>
      <x:c r="H219" s="32" t="str">
        <x:v>資產配置（舊制勞工退休基金）</x:v>
      </x:c>
    </x:row>
    <x:row r="220">
      <x:c r="A220" s="37" t="n">
        <x:v>46204</x:v>
      </x:c>
      <x:c r="B220" s="31" t="str">
        <x:v>115年7月</x:v>
      </x:c>
      <x:c r="C220" s="31" t="str">
        <x:v>舊制</x:v>
      </x:c>
      <x:c r="D220" s="31" t="str">
        <x:v>自行運用-國外-另類投資</x:v>
      </x:c>
      <x:c r="E220" s="40" t="n">
        <x:v>0</x:v>
      </x:c>
      <x:c r="F220" s="43" t="n">
        <x:v>0</x:v>
      </x:c>
      <x:c r="G220" s="31" t="str">
        <x:v>勞工退休基金-115年7月.pdf</x:v>
      </x:c>
      <x:c r="H220" s="32" t="str">
        <x:v>資產配置（舊制勞工退休基金）</x:v>
      </x:c>
    </x:row>
    <x:row r="221">
      <x:c r="A221" s="37" t="n">
        <x:v>46204</x:v>
      </x:c>
      <x:c r="B221" s="31" t="str">
        <x:v>115年7月</x:v>
      </x:c>
      <x:c r="C221" s="31" t="str">
        <x:v>舊制</x:v>
      </x:c>
      <x:c r="D221" s="31" t="str">
        <x:v>委託經營</x:v>
      </x:c>
      <x:c r="E221" s="40" t="n">
        <x:v>658577983800</x:v>
      </x:c>
      <x:c r="F221" s="43" t="n">
        <x:v>0.5482</x:v>
      </x:c>
      <x:c r="G221" s="31" t="str">
        <x:v>勞工退休基金-115年7月.pdf</x:v>
      </x:c>
      <x:c r="H221" s="32" t="str">
        <x:v>資產配置（舊制勞工退休基金）</x:v>
      </x:c>
    </x:row>
    <x:row r="222">
      <x:c r="A222" s="37" t="n">
        <x:v>46204</x:v>
      </x:c>
      <x:c r="B222" s="31" t="str">
        <x:v>115年7月</x:v>
      </x:c>
      <x:c r="C222" s="31" t="str">
        <x:v>舊制</x:v>
      </x:c>
      <x:c r="D222" s="31" t="str">
        <x:v>委託經營-國內-權益證券</x:v>
      </x:c>
      <x:c r="E222" s="40" t="n">
        <x:v>183853928809</x:v>
      </x:c>
      <x:c r="F222" s="43" t="n">
        <x:v>0.153</x:v>
      </x:c>
      <x:c r="G222" s="31" t="str">
        <x:v>勞工退休基金-115年7月.pdf</x:v>
      </x:c>
      <x:c r="H222" s="32" t="str">
        <x:v>資產配置（舊制勞工退休基金）</x:v>
      </x:c>
    </x:row>
    <x:row r="223">
      <x:c r="A223" s="37" t="n">
        <x:v>46204</x:v>
      </x:c>
      <x:c r="B223" s="31" t="str">
        <x:v>115年7月</x:v>
      </x:c>
      <x:c r="C223" s="31" t="str">
        <x:v>舊制</x:v>
      </x:c>
      <x:c r="D223" s="31" t="str">
        <x:v>國外委託經營</x:v>
      </x:c>
      <x:c r="E223" s="40" t="n">
        <x:v>474724054991</x:v>
      </x:c>
      <x:c r="F223" s="43" t="n">
        <x:v>0.39520000000000005</x:v>
      </x:c>
      <x:c r="G223" s="31" t="str">
        <x:v>勞工退休基金-115年7月.pdf</x:v>
      </x:c>
      <x:c r="H223" s="32" t="str">
        <x:v>資產配置（舊制勞工退休基金）</x:v>
      </x:c>
    </x:row>
    <x:row r="224">
      <x:c r="A224" s="37" t="n">
        <x:v>46204</x:v>
      </x:c>
      <x:c r="B224" s="31" t="str">
        <x:v>115年7月</x:v>
      </x:c>
      <x:c r="C224" s="31" t="str">
        <x:v>舊制</x:v>
      </x:c>
      <x:c r="D224" s="31" t="str">
        <x:v>委託經營-國外-固定收益</x:v>
      </x:c>
      <x:c r="E224" s="40" t="n">
        <x:v>110143623315</x:v>
      </x:c>
      <x:c r="F224" s="43" t="n">
        <x:v>0.0917</x:v>
      </x:c>
      <x:c r="G224" s="31" t="str">
        <x:v>勞工退休基金-115年7月.pdf</x:v>
      </x:c>
      <x:c r="H224" s="32" t="str">
        <x:v>資產配置（舊制勞工退休基金）</x:v>
      </x:c>
    </x:row>
    <x:row r="225">
      <x:c r="A225" s="37" t="n">
        <x:v>46204</x:v>
      </x:c>
      <x:c r="B225" s="31" t="str">
        <x:v>115年7月</x:v>
      </x:c>
      <x:c r="C225" s="31" t="str">
        <x:v>舊制</x:v>
      </x:c>
      <x:c r="D225" s="31" t="str">
        <x:v>委託經營-國外-權益證券</x:v>
      </x:c>
      <x:c r="E225" s="40" t="n">
        <x:v>243869586211</x:v>
      </x:c>
      <x:c r="F225" s="43" t="n">
        <x:v>0.203</x:v>
      </x:c>
      <x:c r="G225" s="31" t="str">
        <x:v>勞工退休基金-115年7月.pdf</x:v>
      </x:c>
      <x:c r="H225" s="32" t="str">
        <x:v>資產配置（舊制勞工退休基金）</x:v>
      </x:c>
    </x:row>
    <x:row r="226">
      <x:c r="A226" s="37" t="n">
        <x:v>46204</x:v>
      </x:c>
      <x:c r="B226" s="31" t="str">
        <x:v>115年7月</x:v>
      </x:c>
      <x:c r="C226" s="31" t="str">
        <x:v>舊制</x:v>
      </x:c>
      <x:c r="D226" s="31" t="str">
        <x:v>委託經營-國外-另類投資</x:v>
      </x:c>
      <x:c r="E226" s="40" t="n">
        <x:v>120710845465</x:v>
      </x:c>
      <x:c r="F226" s="43" t="n">
        <x:v>0.1005</x:v>
      </x:c>
      <x:c r="G226" s="31" t="str">
        <x:v>勞工退休基金-115年7月.pdf</x:v>
      </x:c>
      <x:c r="H226" s="32" t="str">
        <x:v>資產配置（舊制勞工退休基金）</x:v>
      </x:c>
    </x:row>
    <x:row r="227">
      <x:c r="A227" s="37" t="n">
        <x:v>46204</x:v>
      </x:c>
      <x:c r="B227" s="31" t="str">
        <x:v>115年7月</x:v>
      </x:c>
      <x:c r="C227" s="31" t="str">
        <x:v>舊制</x:v>
      </x:c>
      <x:c r="D227" s="31" t="str">
        <x:v>合計</x:v>
      </x:c>
      <x:c r="E227" s="40" t="n">
        <x:v>1201392132968</x:v>
      </x:c>
      <x:c r="F227" s="43" t="n">
        <x:v>1</x:v>
      </x:c>
      <x:c r="G227" s="31" t="str">
        <x:v>勞工退休基金-115年7月.pdf</x:v>
      </x:c>
      <x:c r="H227" s="32" t="str">
        <x:v>資產配置（舊制勞工退休基金）</x:v>
      </x:c>
    </x:row>
    <x:row r="228">
      <x:c r="A228" s="37" t="n">
        <x:v>46204</x:v>
      </x:c>
      <x:c r="B228" s="31" t="str">
        <x:v>115年7月</x:v>
      </x:c>
      <x:c r="C228" s="31" t="str">
        <x:v>勞工保險</x:v>
      </x:c>
      <x:c r="D228" s="31" t="str">
        <x:v>自行運用</x:v>
      </x:c>
      <x:c r="E228" s="40" t="n">
        <x:v>1130233744952</x:v>
      </x:c>
      <x:c r="F228" s="43" t="n">
        <x:v>0.6822</x:v>
      </x:c>
      <x:c r="G228" s="31" t="str">
        <x:v>勞工保險基金-115年7月.pdf</x:v>
      </x:c>
      <x:c r="H228" s="32" t="str">
        <x:v>資產配置（勞工保險基金）</x:v>
      </x:c>
    </x:row>
    <x:row r="229">
      <x:c r="A229" s="37" t="n">
        <x:v>46204</x:v>
      </x:c>
      <x:c r="B229" s="31" t="str">
        <x:v>115年7月</x:v>
      </x:c>
      <x:c r="C229" s="31" t="str">
        <x:v>勞工保險</x:v>
      </x:c>
      <x:c r="D229" s="31" t="str">
        <x:v>轉存金融機構</x:v>
      </x:c>
      <x:c r="E229" s="40" t="n">
        <x:v>162858626420</x:v>
      </x:c>
      <x:c r="F229" s="43" t="n">
        <x:v>0.0983</x:v>
      </x:c>
      <x:c r="G229" s="31" t="str">
        <x:v>勞工保險基金-115年7月.pdf</x:v>
      </x:c>
      <x:c r="H229" s="32" t="str">
        <x:v>資產配置（勞工保險基金）</x:v>
      </x:c>
    </x:row>
    <x:row r="230">
      <x:c r="A230" s="37" t="n">
        <x:v>46204</x:v>
      </x:c>
      <x:c r="B230" s="31" t="str">
        <x:v>115年7月</x:v>
      </x:c>
      <x:c r="C230" s="31" t="str">
        <x:v>勞工保險</x:v>
      </x:c>
      <x:c r="D230" s="31" t="str">
        <x:v>短期票券</x:v>
      </x:c>
      <x:c r="E230" s="40" t="n">
        <x:v>43160086648</x:v>
      </x:c>
      <x:c r="F230" s="43" t="n">
        <x:v>0.026099999999999998</x:v>
      </x:c>
      <x:c r="G230" s="31" t="str">
        <x:v>勞工保險基金-115年7月.pdf</x:v>
      </x:c>
      <x:c r="H230" s="32" t="str">
        <x:v>資產配置（勞工保險基金）</x:v>
      </x:c>
    </x:row>
    <x:row r="231">
      <x:c r="A231" s="37" t="n">
        <x:v>46204</x:v>
      </x:c>
      <x:c r="B231" s="31" t="str">
        <x:v>115年7月</x:v>
      </x:c>
      <x:c r="C231" s="31" t="str">
        <x:v>勞工保險</x:v>
      </x:c>
      <x:c r="D231" s="31" t="str">
        <x:v>公債、公司債、金融債券及特別股</x:v>
      </x:c>
      <x:c r="E231" s="40" t="n">
        <x:v>72726377661</x:v>
      </x:c>
      <x:c r="F231" s="43" t="n">
        <x:v>0.043899999999999995</x:v>
      </x:c>
      <x:c r="G231" s="31" t="str">
        <x:v>勞工保險基金-115年7月.pdf</x:v>
      </x:c>
      <x:c r="H231" s="32" t="str">
        <x:v>資產配置（勞工保險基金）</x:v>
      </x:c>
    </x:row>
    <x:row r="232">
      <x:c r="A232" s="37" t="n">
        <x:v>46204</x:v>
      </x:c>
      <x:c r="B232" s="31" t="str">
        <x:v>115年7月</x:v>
      </x:c>
      <x:c r="C232" s="31" t="str">
        <x:v>勞工保險</x:v>
      </x:c>
      <x:c r="D232" s="31" t="str">
        <x:v>房屋及土地</x:v>
      </x:c>
      <x:c r="E232" s="40" t="n">
        <x:v>1569739937</x:v>
      </x:c>
      <x:c r="F232" s="43" t="n">
        <x:v>0.0009</x:v>
      </x:c>
      <x:c r="G232" s="31" t="str">
        <x:v>勞工保險基金-115年7月.pdf</x:v>
      </x:c>
      <x:c r="H232" s="32" t="str">
        <x:v>資產配置（勞工保險基金）</x:v>
      </x:c>
    </x:row>
    <x:row r="233">
      <x:c r="A233" s="37" t="n">
        <x:v>46204</x:v>
      </x:c>
      <x:c r="B233" s="31" t="str">
        <x:v>115年7月</x:v>
      </x:c>
      <x:c r="C233" s="31" t="str">
        <x:v>勞工保險</x:v>
      </x:c>
      <x:c r="D233" s="31" t="str">
        <x:v>政府或公營事業貸款</x:v>
      </x:c>
      <x:c r="E233" s="40" t="n">
        <x:v>750000000</x:v>
      </x:c>
      <x:c r="F233" s="43" t="n">
        <x:v>0.0005</x:v>
      </x:c>
      <x:c r="G233" s="31" t="str">
        <x:v>勞工保險基金-115年7月.pdf</x:v>
      </x:c>
      <x:c r="H233" s="32" t="str">
        <x:v>資產配置（勞工保險基金）</x:v>
      </x:c>
    </x:row>
    <x:row r="234">
      <x:c r="A234" s="37" t="n">
        <x:v>46204</x:v>
      </x:c>
      <x:c r="B234" s="31" t="str">
        <x:v>115年7月</x:v>
      </x:c>
      <x:c r="C234" s="31" t="str">
        <x:v>勞工保險</x:v>
      </x:c>
      <x:c r="D234" s="31" t="str">
        <x:v>被保險人貸款</x:v>
      </x:c>
      <x:c r="E234" s="40" t="n">
        <x:v>33959565172</x:v>
      </x:c>
      <x:c r="F234" s="43" t="n">
        <x:v>0.020499999999999997</x:v>
      </x:c>
      <x:c r="G234" s="31" t="str">
        <x:v>勞工保險基金-115年7月.pdf</x:v>
      </x:c>
      <x:c r="H234" s="32" t="str">
        <x:v>資產配置（勞工保險基金）</x:v>
      </x:c>
    </x:row>
    <x:row r="235">
      <x:c r="A235" s="37" t="n">
        <x:v>46204</x:v>
      </x:c>
      <x:c r="B235" s="31" t="str">
        <x:v>115年7月</x:v>
      </x:c>
      <x:c r="C235" s="31" t="str">
        <x:v>勞工保險</x:v>
      </x:c>
      <x:c r="D235" s="31" t="str">
        <x:v>股票及受益憑證投資（含期貨）</x:v>
      </x:c>
      <x:c r="E235" s="40" t="n">
        <x:v>513267409855</x:v>
      </x:c>
      <x:c r="F235" s="43" t="n">
        <x:v>0.3098</x:v>
      </x:c>
      <x:c r="G235" s="31" t="str">
        <x:v>勞工保險基金-115年7月.pdf</x:v>
      </x:c>
      <x:c r="H235" s="32" t="str">
        <x:v>資產配置（勞工保險基金）</x:v>
      </x:c>
    </x:row>
    <x:row r="236">
      <x:c r="A236" s="37" t="n">
        <x:v>46204</x:v>
      </x:c>
      <x:c r="B236" s="31" t="str">
        <x:v>115年7月</x:v>
      </x:c>
      <x:c r="C236" s="31" t="str">
        <x:v>勞工保險</x:v>
      </x:c>
      <x:c r="D236" s="31" t="str">
        <x:v>國外投資</x:v>
      </x:c>
      <x:c r="E236" s="40" t="n">
        <x:v>301941939259</x:v>
      </x:c>
      <x:c r="F236" s="43" t="n">
        <x:v>0.1822</x:v>
      </x:c>
      <x:c r="G236" s="31" t="str">
        <x:v>勞工保險基金-115年7月.pdf</x:v>
      </x:c>
      <x:c r="H236" s="32" t="str">
        <x:v>資產配置（勞工保險基金）</x:v>
      </x:c>
    </x:row>
    <x:row r="237">
      <x:c r="A237" s="37" t="n">
        <x:v>46204</x:v>
      </x:c>
      <x:c r="B237" s="31" t="str">
        <x:v>115年7月</x:v>
      </x:c>
      <x:c r="C237" s="31" t="str">
        <x:v>勞工保險</x:v>
      </x:c>
      <x:c r="D237" s="31" t="str">
        <x:v>自行運用-國外-固定收益</x:v>
      </x:c>
      <x:c r="E237" s="40" t="n">
        <x:v>190717945389</x:v>
      </x:c>
      <x:c r="F237" s="43" t="n">
        <x:v>0.1151</x:v>
      </x:c>
      <x:c r="G237" s="31" t="str">
        <x:v>勞工保險基金-115年7月.pdf</x:v>
      </x:c>
      <x:c r="H237" s="32" t="str">
        <x:v>資產配置（勞工保險基金）</x:v>
      </x:c>
    </x:row>
    <x:row r="238">
      <x:c r="A238" s="37" t="n">
        <x:v>46204</x:v>
      </x:c>
      <x:c r="B238" s="31" t="str">
        <x:v>115年7月</x:v>
      </x:c>
      <x:c r="C238" s="31" t="str">
        <x:v>勞工保險</x:v>
      </x:c>
      <x:c r="D238" s="31" t="str">
        <x:v>自行運用-國外-權益證券</x:v>
      </x:c>
      <x:c r="E238" s="40" t="n">
        <x:v>100125263652</x:v>
      </x:c>
      <x:c r="F238" s="43" t="n">
        <x:v>0.0604</x:v>
      </x:c>
      <x:c r="G238" s="31" t="str">
        <x:v>勞工保險基金-115年7月.pdf</x:v>
      </x:c>
      <x:c r="H238" s="32" t="str">
        <x:v>資產配置（勞工保險基金）</x:v>
      </x:c>
    </x:row>
    <x:row r="239">
      <x:c r="A239" s="37" t="n">
        <x:v>46204</x:v>
      </x:c>
      <x:c r="B239" s="31" t="str">
        <x:v>115年7月</x:v>
      </x:c>
      <x:c r="C239" s="31" t="str">
        <x:v>勞工保險</x:v>
      </x:c>
      <x:c r="D239" s="31" t="str">
        <x:v>自行運用-國外-另類投資</x:v>
      </x:c>
      <x:c r="E239" s="40" t="n">
        <x:v>11098730218</x:v>
      </x:c>
      <x:c r="F239" s="43" t="n">
        <x:v>0.0067</x:v>
      </x:c>
      <x:c r="G239" s="31" t="str">
        <x:v>勞工保險基金-115年7月.pdf</x:v>
      </x:c>
      <x:c r="H239" s="32" t="str">
        <x:v>資產配置（勞工保險基金）</x:v>
      </x:c>
    </x:row>
    <x:row r="240">
      <x:c r="A240" s="37" t="n">
        <x:v>46204</x:v>
      </x:c>
      <x:c r="B240" s="31" t="str">
        <x:v>115年7月</x:v>
      </x:c>
      <x:c r="C240" s="31" t="str">
        <x:v>勞工保險</x:v>
      </x:c>
      <x:c r="D240" s="31" t="str">
        <x:v>委託經營</x:v>
      </x:c>
      <x:c r="E240" s="40" t="n">
        <x:v>526386902051</x:v>
      </x:c>
      <x:c r="F240" s="43" t="n">
        <x:v>0.3178</x:v>
      </x:c>
      <x:c r="G240" s="31" t="str">
        <x:v>勞工保險基金-115年7月.pdf</x:v>
      </x:c>
      <x:c r="H240" s="32" t="str">
        <x:v>資產配置（勞工保險基金）</x:v>
      </x:c>
    </x:row>
    <x:row r="241">
      <x:c r="A241" s="37" t="n">
        <x:v>46204</x:v>
      </x:c>
      <x:c r="B241" s="31" t="str">
        <x:v>115年7月</x:v>
      </x:c>
      <x:c r="C241" s="31" t="str">
        <x:v>勞工保險</x:v>
      </x:c>
      <x:c r="D241" s="31" t="str">
        <x:v>委託經營-國內-權益證券</x:v>
      </x:c>
      <x:c r="E241" s="40" t="n">
        <x:v>68461127545</x:v>
      </x:c>
      <x:c r="F241" s="43" t="n">
        <x:v>0.041299999999999996</x:v>
      </x:c>
      <x:c r="G241" s="31" t="str">
        <x:v>勞工保險基金-115年7月.pdf</x:v>
      </x:c>
      <x:c r="H241" s="32" t="str">
        <x:v>資產配置（勞工保險基金）</x:v>
      </x:c>
    </x:row>
    <x:row r="242">
      <x:c r="A242" s="37" t="n">
        <x:v>46204</x:v>
      </x:c>
      <x:c r="B242" s="31" t="str">
        <x:v>115年7月</x:v>
      </x:c>
      <x:c r="C242" s="31" t="str">
        <x:v>勞工保險</x:v>
      </x:c>
      <x:c r="D242" s="31" t="str">
        <x:v>國外委託經營</x:v>
      </x:c>
      <x:c r="E242" s="40" t="n">
        <x:v>457925774506</x:v>
      </x:c>
      <x:c r="F242" s="43" t="n">
        <x:v>0.27649999999999997</x:v>
      </x:c>
      <x:c r="G242" s="31" t="str">
        <x:v>勞工保險基金-115年7月.pdf</x:v>
      </x:c>
      <x:c r="H242" s="32" t="str">
        <x:v>資產配置（勞工保險基金）</x:v>
      </x:c>
    </x:row>
    <x:row r="243">
      <x:c r="A243" s="37" t="n">
        <x:v>46204</x:v>
      </x:c>
      <x:c r="B243" s="31" t="str">
        <x:v>115年7月</x:v>
      </x:c>
      <x:c r="C243" s="31" t="str">
        <x:v>勞工保險</x:v>
      </x:c>
      <x:c r="D243" s="31" t="str">
        <x:v>委託經營-國外-固定收益</x:v>
      </x:c>
      <x:c r="E243" s="40" t="n">
        <x:v>94809693597</x:v>
      </x:c>
      <x:c r="F243" s="43" t="n">
        <x:v>0.057300000000000004</x:v>
      </x:c>
      <x:c r="G243" s="31" t="str">
        <x:v>勞工保險基金-115年7月.pdf</x:v>
      </x:c>
      <x:c r="H243" s="32" t="str">
        <x:v>資產配置（勞工保險基金）</x:v>
      </x:c>
    </x:row>
    <x:row r="244">
      <x:c r="A244" s="37" t="n">
        <x:v>46204</x:v>
      </x:c>
      <x:c r="B244" s="31" t="str">
        <x:v>115年7月</x:v>
      </x:c>
      <x:c r="C244" s="31" t="str">
        <x:v>勞工保險</x:v>
      </x:c>
      <x:c r="D244" s="31" t="str">
        <x:v>委託經營-國外-權益證券</x:v>
      </x:c>
      <x:c r="E244" s="40" t="n">
        <x:v>224986107597</x:v>
      </x:c>
      <x:c r="F244" s="43" t="n">
        <x:v>0.1358</x:v>
      </x:c>
      <x:c r="G244" s="31" t="str">
        <x:v>勞工保險基金-115年7月.pdf</x:v>
      </x:c>
      <x:c r="H244" s="32" t="str">
        <x:v>資產配置（勞工保險基金）</x:v>
      </x:c>
    </x:row>
    <x:row r="245">
      <x:c r="A245" s="37" t="n">
        <x:v>46204</x:v>
      </x:c>
      <x:c r="B245" s="31" t="str">
        <x:v>115年7月</x:v>
      </x:c>
      <x:c r="C245" s="31" t="str">
        <x:v>勞工保險</x:v>
      </x:c>
      <x:c r="D245" s="31" t="str">
        <x:v>委託經營-國外-另類投資</x:v>
      </x:c>
      <x:c r="E245" s="40" t="n">
        <x:v>138129973312</x:v>
      </x:c>
      <x:c r="F245" s="43" t="n">
        <x:v>0.0834</x:v>
      </x:c>
      <x:c r="G245" s="31" t="str">
        <x:v>勞工保險基金-115年7月.pdf</x:v>
      </x:c>
      <x:c r="H245" s="32" t="str">
        <x:v>資產配置（勞工保險基金）</x:v>
      </x:c>
    </x:row>
    <x:row r="246">
      <x:c r="A246" s="37" t="n">
        <x:v>46204</x:v>
      </x:c>
      <x:c r="B246" s="31" t="str">
        <x:v>115年7月</x:v>
      </x:c>
      <x:c r="C246" s="31" t="str">
        <x:v>勞工保險</x:v>
      </x:c>
      <x:c r="D246" s="31" t="str">
        <x:v>合計</x:v>
      </x:c>
      <x:c r="E246" s="40" t="n">
        <x:v>1656620647003</x:v>
      </x:c>
      <x:c r="F246" s="43" t="n">
        <x:v>1</x:v>
      </x:c>
      <x:c r="G246" s="31" t="str">
        <x:v>勞工保險基金-115年7月.pdf</x:v>
      </x:c>
      <x:c r="H246" s="32" t="str">
        <x:v>資產配置（勞工保險基金）</x:v>
      </x:c>
    </x:row>
    <x:row r="247">
      <x:c r="A247" s="37" t="n">
        <x:v>46204</x:v>
      </x:c>
      <x:c r="B247" s="31" t="str">
        <x:v>115年7月</x:v>
      </x:c>
      <x:c r="C247" s="31" t="str">
        <x:v>國民年金</x:v>
      </x:c>
      <x:c r="D247" s="31" t="str">
        <x:v>自行運用</x:v>
      </x:c>
      <x:c r="E247" s="40" t="n">
        <x:v>542143193531</x:v>
      </x:c>
      <x:c r="F247" s="43" t="n">
        <x:v>0.6117</x:v>
      </x:c>
      <x:c r="G247" s="31" t="str">
        <x:v>國民年金保險基金-115年7月.pdf</x:v>
      </x:c>
      <x:c r="H247" s="32" t="str">
        <x:v>資產配置（國民年金保險基金）</x:v>
      </x:c>
    </x:row>
    <x:row r="248">
      <x:c r="A248" s="37" t="n">
        <x:v>46204</x:v>
      </x:c>
      <x:c r="B248" s="31" t="str">
        <x:v>115年7月</x:v>
      </x:c>
      <x:c r="C248" s="31" t="str">
        <x:v>國民年金</x:v>
      </x:c>
      <x:c r="D248" s="31" t="str">
        <x:v>轉存金融機構</x:v>
      </x:c>
      <x:c r="E248" s="40" t="n">
        <x:v>42496498692</x:v>
      </x:c>
      <x:c r="F248" s="43" t="n">
        <x:v>0.048</x:v>
      </x:c>
      <x:c r="G248" s="31" t="str">
        <x:v>國民年金保險基金-115年7月.pdf</x:v>
      </x:c>
      <x:c r="H248" s="32" t="str">
        <x:v>資產配置（國民年金保險基金）</x:v>
      </x:c>
    </x:row>
    <x:row r="249">
      <x:c r="A249" s="37" t="n">
        <x:v>46204</x:v>
      </x:c>
      <x:c r="B249" s="31" t="str">
        <x:v>115年7月</x:v>
      </x:c>
      <x:c r="C249" s="31" t="str">
        <x:v>國民年金</x:v>
      </x:c>
      <x:c r="D249" s="31" t="str">
        <x:v>政策性貸款</x:v>
      </x:c>
      <x:c r="E249" s="40" t="n">
        <x:v>0</x:v>
      </x:c>
      <x:c r="F249" s="43" t="n">
        <x:v>0</x:v>
      </x:c>
      <x:c r="G249" s="31" t="str">
        <x:v>國民年金保險基金-115年7月.pdf</x:v>
      </x:c>
      <x:c r="H249" s="32" t="str">
        <x:v>資產配置（國民年金保險基金）</x:v>
      </x:c>
    </x:row>
    <x:row r="250">
      <x:c r="A250" s="37" t="n">
        <x:v>46204</x:v>
      </x:c>
      <x:c r="B250" s="31" t="str">
        <x:v>115年7月</x:v>
      </x:c>
      <x:c r="C250" s="31" t="str">
        <x:v>國民年金</x:v>
      </x:c>
      <x:c r="D250" s="31" t="str">
        <x:v>短期票券</x:v>
      </x:c>
      <x:c r="E250" s="40" t="n">
        <x:v>15470496937</x:v>
      </x:c>
      <x:c r="F250" s="43" t="n">
        <x:v>0.0174</x:v>
      </x:c>
      <x:c r="G250" s="31" t="str">
        <x:v>國民年金保險基金-115年7月.pdf</x:v>
      </x:c>
      <x:c r="H250" s="32" t="str">
        <x:v>資產配置（國民年金保險基金）</x:v>
      </x:c>
    </x:row>
    <x:row r="251">
      <x:c r="A251" s="37" t="n">
        <x:v>46204</x:v>
      </x:c>
      <x:c r="B251" s="31" t="str">
        <x:v>115年7月</x:v>
      </x:c>
      <x:c r="C251" s="31" t="str">
        <x:v>國民年金</x:v>
      </x:c>
      <x:c r="D251" s="31" t="str">
        <x:v>公債、公司債、金融債券及特別股</x:v>
      </x:c>
      <x:c r="E251" s="40" t="n">
        <x:v>61212952203</x:v>
      </x:c>
      <x:c r="F251" s="43" t="n">
        <x:v>0.0691</x:v>
      </x:c>
      <x:c r="G251" s="31" t="str">
        <x:v>國民年金保險基金-115年7月.pdf</x:v>
      </x:c>
      <x:c r="H251" s="32" t="str">
        <x:v>資產配置（國民年金保險基金）</x:v>
      </x:c>
    </x:row>
    <x:row r="252">
      <x:c r="A252" s="37" t="n">
        <x:v>46204</x:v>
      </x:c>
      <x:c r="B252" s="31" t="str">
        <x:v>115年7月</x:v>
      </x:c>
      <x:c r="C252" s="31" t="str">
        <x:v>國民年金</x:v>
      </x:c>
      <x:c r="D252" s="31" t="str">
        <x:v>股票及受益憑證投資（含期貨）</x:v>
      </x:c>
      <x:c r="E252" s="40" t="n">
        <x:v>232196292425</x:v>
      </x:c>
      <x:c r="F252" s="43" t="n">
        <x:v>0.262</x:v>
      </x:c>
      <x:c r="G252" s="31" t="str">
        <x:v>國民年金保險基金-115年7月.pdf</x:v>
      </x:c>
      <x:c r="H252" s="32" t="str">
        <x:v>資產配置（國民年金保險基金）</x:v>
      </x:c>
    </x:row>
    <x:row r="253">
      <x:c r="A253" s="37" t="n">
        <x:v>46204</x:v>
      </x:c>
      <x:c r="B253" s="31" t="str">
        <x:v>115年7月</x:v>
      </x:c>
      <x:c r="C253" s="31" t="str">
        <x:v>國民年金</x:v>
      </x:c>
      <x:c r="D253" s="31" t="str">
        <x:v>國外投資</x:v>
      </x:c>
      <x:c r="E253" s="40" t="n">
        <x:v>190766953274</x:v>
      </x:c>
      <x:c r="F253" s="43" t="n">
        <x:v>0.2152</x:v>
      </x:c>
      <x:c r="G253" s="31" t="str">
        <x:v>國民年金保險基金-115年7月.pdf</x:v>
      </x:c>
      <x:c r="H253" s="32" t="str">
        <x:v>資產配置（國民年金保險基金）</x:v>
      </x:c>
    </x:row>
    <x:row r="254">
      <x:c r="A254" s="37" t="n">
        <x:v>46204</x:v>
      </x:c>
      <x:c r="B254" s="31" t="str">
        <x:v>115年7月</x:v>
      </x:c>
      <x:c r="C254" s="31" t="str">
        <x:v>國民年金</x:v>
      </x:c>
      <x:c r="D254" s="31" t="str">
        <x:v>自行運用-國外-固定收益</x:v>
      </x:c>
      <x:c r="E254" s="40" t="n">
        <x:v>108506446162</x:v>
      </x:c>
      <x:c r="F254" s="43" t="n">
        <x:v>0.12240000000000001</x:v>
      </x:c>
      <x:c r="G254" s="31" t="str">
        <x:v>國民年金保險基金-115年7月.pdf</x:v>
      </x:c>
      <x:c r="H254" s="32" t="str">
        <x:v>資產配置（國民年金保險基金）</x:v>
      </x:c>
    </x:row>
    <x:row r="255">
      <x:c r="A255" s="37" t="n">
        <x:v>46204</x:v>
      </x:c>
      <x:c r="B255" s="31" t="str">
        <x:v>115年7月</x:v>
      </x:c>
      <x:c r="C255" s="31" t="str">
        <x:v>國民年金</x:v>
      </x:c>
      <x:c r="D255" s="31" t="str">
        <x:v>自行運用-國外-權益證券</x:v>
      </x:c>
      <x:c r="E255" s="40" t="n">
        <x:v>59219852253</x:v>
      </x:c>
      <x:c r="F255" s="43" t="n">
        <x:v>0.0668</x:v>
      </x:c>
      <x:c r="G255" s="31" t="str">
        <x:v>國民年金保險基金-115年7月.pdf</x:v>
      </x:c>
      <x:c r="H255" s="32" t="str">
        <x:v>資產配置（國民年金保險基金）</x:v>
      </x:c>
    </x:row>
    <x:row r="256">
      <x:c r="A256" s="37" t="n">
        <x:v>46204</x:v>
      </x:c>
      <x:c r="B256" s="31" t="str">
        <x:v>115年7月</x:v>
      </x:c>
      <x:c r="C256" s="31" t="str">
        <x:v>國民年金</x:v>
      </x:c>
      <x:c r="D256" s="31" t="str">
        <x:v>自行運用-國外-另類投資</x:v>
      </x:c>
      <x:c r="E256" s="40" t="n">
        <x:v>23040654859</x:v>
      </x:c>
      <x:c r="F256" s="43" t="n">
        <x:v>0.026000000000000002</x:v>
      </x:c>
      <x:c r="G256" s="31" t="str">
        <x:v>國民年金保險基金-115年7月.pdf</x:v>
      </x:c>
      <x:c r="H256" s="32" t="str">
        <x:v>資產配置（國民年金保險基金）</x:v>
      </x:c>
    </x:row>
    <x:row r="257">
      <x:c r="A257" s="37" t="n">
        <x:v>46204</x:v>
      </x:c>
      <x:c r="B257" s="31" t="str">
        <x:v>115年7月</x:v>
      </x:c>
      <x:c r="C257" s="31" t="str">
        <x:v>國民年金</x:v>
      </x:c>
      <x:c r="D257" s="31" t="str">
        <x:v>委託經營</x:v>
      </x:c>
      <x:c r="E257" s="40" t="n">
        <x:v>344104153103</x:v>
      </x:c>
      <x:c r="F257" s="43" t="n">
        <x:v>0.3883</x:v>
      </x:c>
      <x:c r="G257" s="31" t="str">
        <x:v>國民年金保險基金-115年7月.pdf</x:v>
      </x:c>
      <x:c r="H257" s="32" t="str">
        <x:v>資產配置（國民年金保險基金）</x:v>
      </x:c>
    </x:row>
    <x:row r="258">
      <x:c r="A258" s="37" t="n">
        <x:v>46204</x:v>
      </x:c>
      <x:c r="B258" s="31" t="str">
        <x:v>115年7月</x:v>
      </x:c>
      <x:c r="C258" s="31" t="str">
        <x:v>國民年金</x:v>
      </x:c>
      <x:c r="D258" s="31" t="str">
        <x:v>委託經營-國內-權益證券</x:v>
      </x:c>
      <x:c r="E258" s="40" t="n">
        <x:v>100575817739</x:v>
      </x:c>
      <x:c r="F258" s="43" t="n">
        <x:v>0.11349999999999999</x:v>
      </x:c>
      <x:c r="G258" s="31" t="str">
        <x:v>國民年金保險基金-115年7月.pdf</x:v>
      </x:c>
      <x:c r="H258" s="32" t="str">
        <x:v>資產配置（國民年金保險基金）</x:v>
      </x:c>
    </x:row>
    <x:row r="259">
      <x:c r="A259" s="37" t="n">
        <x:v>46204</x:v>
      </x:c>
      <x:c r="B259" s="31" t="str">
        <x:v>115年7月</x:v>
      </x:c>
      <x:c r="C259" s="31" t="str">
        <x:v>國民年金</x:v>
      </x:c>
      <x:c r="D259" s="31" t="str">
        <x:v>國外委託經營</x:v>
      </x:c>
      <x:c r="E259" s="40" t="n">
        <x:v>243528335364</x:v>
      </x:c>
      <x:c r="F259" s="43" t="n">
        <x:v>0.2748</x:v>
      </x:c>
      <x:c r="G259" s="31" t="str">
        <x:v>國民年金保險基金-115年7月.pdf</x:v>
      </x:c>
      <x:c r="H259" s="32" t="str">
        <x:v>資產配置（國民年金保險基金）</x:v>
      </x:c>
    </x:row>
    <x:row r="260">
      <x:c r="A260" s="37" t="n">
        <x:v>46204</x:v>
      </x:c>
      <x:c r="B260" s="31" t="str">
        <x:v>115年7月</x:v>
      </x:c>
      <x:c r="C260" s="31" t="str">
        <x:v>國民年金</x:v>
      </x:c>
      <x:c r="D260" s="31" t="str">
        <x:v>委託經營-國外-固定收益</x:v>
      </x:c>
      <x:c r="E260" s="40" t="n">
        <x:v>43171984301</x:v>
      </x:c>
      <x:c r="F260" s="43" t="n">
        <x:v>0.0487</x:v>
      </x:c>
      <x:c r="G260" s="31" t="str">
        <x:v>國民年金保險基金-115年7月.pdf</x:v>
      </x:c>
      <x:c r="H260" s="32" t="str">
        <x:v>資產配置（國民年金保險基金）</x:v>
      </x:c>
    </x:row>
    <x:row r="261">
      <x:c r="A261" s="37" t="n">
        <x:v>46204</x:v>
      </x:c>
      <x:c r="B261" s="31" t="str">
        <x:v>115年7月</x:v>
      </x:c>
      <x:c r="C261" s="31" t="str">
        <x:v>國民年金</x:v>
      </x:c>
      <x:c r="D261" s="31" t="str">
        <x:v>委託經營-國外-權益證券</x:v>
      </x:c>
      <x:c r="E261" s="40" t="n">
        <x:v>170076314183</x:v>
      </x:c>
      <x:c r="F261" s="43" t="n">
        <x:v>0.19190000000000002</x:v>
      </x:c>
      <x:c r="G261" s="31" t="str">
        <x:v>國民年金保險基金-115年7月.pdf</x:v>
      </x:c>
      <x:c r="H261" s="32" t="str">
        <x:v>資產配置（國民年金保險基金）</x:v>
      </x:c>
    </x:row>
    <x:row r="262">
      <x:c r="A262" s="37" t="n">
        <x:v>46204</x:v>
      </x:c>
      <x:c r="B262" s="31" t="str">
        <x:v>115年7月</x:v>
      </x:c>
      <x:c r="C262" s="31" t="str">
        <x:v>國民年金</x:v>
      </x:c>
      <x:c r="D262" s="31" t="str">
        <x:v>委託經營-國外-另類投資</x:v>
      </x:c>
      <x:c r="E262" s="40" t="n">
        <x:v>30280036880</x:v>
      </x:c>
      <x:c r="F262" s="43" t="n">
        <x:v>0.0342</x:v>
      </x:c>
      <x:c r="G262" s="31" t="str">
        <x:v>國民年金保險基金-115年7月.pdf</x:v>
      </x:c>
      <x:c r="H262" s="32" t="str">
        <x:v>資產配置（國民年金保險基金）</x:v>
      </x:c>
    </x:row>
    <x:row r="263">
      <x:c r="A263" s="38" t="n">
        <x:v>46204</x:v>
      </x:c>
      <x:c r="B263" s="34" t="str">
        <x:v>115年7月</x:v>
      </x:c>
      <x:c r="C263" s="34" t="str">
        <x:v>國民年金</x:v>
      </x:c>
      <x:c r="D263" s="34" t="str">
        <x:v>合計</x:v>
      </x:c>
      <x:c r="E263" s="41" t="n">
        <x:v>886247346634</x:v>
      </x:c>
      <x:c r="F263" s="44" t="n">
        <x:v>1</x:v>
      </x:c>
      <x:c r="G263" s="34" t="str">
        <x:v>國民年金保險基金-115年7月.pdf</x:v>
      </x:c>
      <x:c r="H263" s="35" t="str">
        <x:v>資產配置（國民年金保險基金）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5feda3639bd43d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.779998779296875" hidden="0" customWidth="1"/>
    <x:col min="2" max="2" width="7.329999923706055" hidden="0" customWidth="1"/>
    <x:col min="3" max="3" width="7" hidden="0" customWidth="1"/>
    <x:col min="4" max="4" width="6" hidden="0" customWidth="1"/>
    <x:col min="5" max="5" width="38" hidden="0" customWidth="1"/>
    <x:col min="6" max="6" width="14.4399995803833" hidden="0" customWidth="1"/>
    <x:col min="7" max="7" width="11.779999732971191" hidden="0" customWidth="1"/>
    <x:col min="8" max="8" width="12.779999732971191" hidden="0" customWidth="1"/>
    <x:col min="9" max="9" width="16.329999923706055" hidden="0" customWidth="1"/>
    <x:col min="10" max="10" width="9.220000267028809" hidden="0" customWidth="1"/>
    <x:col min="11" max="11" width="7" hidden="0" customWidth="1"/>
    <x:col min="12" max="12" width="17.329999923706055" hidden="0" customWidth="1"/>
    <x:col min="13" max="13" width="22.219999313354492" hidden="0" customWidth="1"/>
    <x:col min="14" max="14" width="28" hidden="0" customWidth="1"/>
  </x:cols>
  <x:sheetData>
    <x:row r="1" ht="30" customHeight="1">
      <x:c r="A1" s="4" t="str">
        <x:v>國內委外明細｜最新月度受託機構明細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5" t="str">
        <x:v>日期</x:v>
      </x:c>
      <x:c r="B3" s="16" t="str">
        <x:v>期間</x:v>
      </x:c>
      <x:c r="C3" s="16" t="str">
        <x:v>基金</x:v>
      </x:c>
      <x:c r="D3" s="16" t="str">
        <x:v>區域</x:v>
      </x:c>
      <x:c r="E3" s="16" t="str">
        <x:v>批次／策略類型</x:v>
      </x:c>
      <x:c r="F3" s="16" t="str">
        <x:v>業者</x:v>
      </x:c>
      <x:c r="G3" s="16" t="str">
        <x:v>委託金額</x:v>
      </x:c>
      <x:c r="H3" s="16" t="str">
        <x:v>目前淨資產</x:v>
      </x:c>
      <x:c r="I3" s="16" t="str">
        <x:v>委外帳戶當期加/減</x:v>
      </x:c>
      <x:c r="J3" s="16" t="str">
        <x:v>帳戶狀態</x:v>
      </x:c>
      <x:c r="K3" s="16" t="str">
        <x:v>單位</x:v>
      </x:c>
      <x:c r="L3" s="16" t="str">
        <x:v>委任至今投資報酬率</x:v>
      </x:c>
      <x:c r="M3" s="16" t="str">
        <x:v>委任至今目標／指標報酬率</x:v>
      </x:c>
      <x:c r="N3" s="17" t="str">
        <x:v>來源檔案</x:v>
      </x:c>
    </x:row>
    <x:row r="4">
      <x:c r="A4" s="36" t="n">
        <x:v>46204</x:v>
      </x:c>
      <x:c r="B4" s="28" t="str">
        <x:v>115年7月</x:v>
      </x:c>
      <x:c r="C4" s="28" t="str">
        <x:v>新制</x:v>
      </x:c>
      <x:c r="D4" s="28" t="str">
        <x:v>國內</x:v>
      </x:c>
      <x:c r="E4" s="28" t="str">
        <x:v>96年第一次委託經營(續約6)</x:v>
      </x:c>
      <x:c r="F4" s="28" t="str">
        <x:v>野村</x:v>
      </x:c>
      <x:c r="G4" s="39" t="n">
        <x:v>53037175831</x:v>
      </x:c>
      <x:c r="H4" s="39" t="n">
        <x:v>103171495458</x:v>
      </x:c>
      <x:c r="I4" s="39" t="n">
        <x:v>-14044944939</x:v>
      </x:c>
      <x:c r="J4" s="28" t="str">
        <x:v>持續</x:v>
      </x:c>
      <x:c r="K4" s="28" t="str">
        <x:v>新臺幣元</x:v>
      </x:c>
      <x:c r="L4" s="42" t="n">
        <x:v>0.9453</x:v>
      </x:c>
      <x:c r="M4" s="42" t="n">
        <x:v>0.0527</x:v>
      </x:c>
      <x:c r="N4" s="29" t="str">
        <x:v>勞工退休基金-115年7月.pdf</x:v>
      </x:c>
    </x:row>
    <x:row r="5">
      <x:c r="A5" s="37" t="n">
        <x:v>46204</x:v>
      </x:c>
      <x:c r="B5" s="31" t="str">
        <x:v>115年7月</x:v>
      </x:c>
      <x:c r="C5" s="31" t="str">
        <x:v>新制</x:v>
      </x:c>
      <x:c r="D5" s="31" t="str">
        <x:v>國內</x:v>
      </x:c>
      <x:c r="E5" s="31" t="str">
        <x:v>97年第一次委託經營(續約5)</x:v>
      </x:c>
      <x:c r="F5" s="31" t="str">
        <x:v>野村</x:v>
      </x:c>
      <x:c r="G5" s="40" t="n">
        <x:v>6829066771</x:v>
      </x:c>
      <x:c r="H5" s="40" t="n">
        <x:v>23175252518</x:v>
      </x:c>
      <x:c r="I5" s="40" t="n">
        <x:v>-3769084120</x:v>
      </x:c>
      <x:c r="J5" s="31" t="str">
        <x:v>持續</x:v>
      </x:c>
      <x:c r="K5" s="31" t="str">
        <x:v>新臺幣元</x:v>
      </x:c>
      <x:c r="L5" s="43" t="n">
        <x:v>2.3936</x:v>
      </x:c>
      <x:c r="M5" s="43" t="n">
        <x:v>0.2113</x:v>
      </x:c>
      <x:c r="N5" s="32" t="str">
        <x:v>勞工退休基金-115年7月.pdf</x:v>
      </x:c>
    </x:row>
    <x:row r="6">
      <x:c r="A6" s="37" t="n">
        <x:v>46204</x:v>
      </x:c>
      <x:c r="B6" s="31" t="str">
        <x:v>115年7月</x:v>
      </x:c>
      <x:c r="C6" s="31" t="str">
        <x:v>新制</x:v>
      </x:c>
      <x:c r="D6" s="31" t="str">
        <x:v>國內</x:v>
      </x:c>
      <x:c r="E6" s="31" t="str">
        <x:v>98年第一次委託經營(續約5)</x:v>
      </x:c>
      <x:c r="F6" s="31" t="str">
        <x:v>野村</x:v>
      </x:c>
      <x:c r="G6" s="40" t="n">
        <x:v>25455695879</x:v>
      </x:c>
      <x:c r="H6" s="40" t="n">
        <x:v>58059587887</x:v>
      </x:c>
      <x:c r="I6" s="40" t="n">
        <x:v>-8430853510</x:v>
      </x:c>
      <x:c r="J6" s="31" t="str">
        <x:v>持續</x:v>
      </x:c>
      <x:c r="K6" s="31" t="str">
        <x:v>新臺幣元</x:v>
      </x:c>
      <x:c r="L6" s="43" t="n">
        <x:v>1.2808000000000002</x:v>
      </x:c>
      <x:c r="M6" s="43" t="n">
        <x:v>0.1198</x:v>
      </x:c>
      <x:c r="N6" s="32" t="str">
        <x:v>勞工退休基金-115年7月.pdf</x:v>
      </x:c>
    </x:row>
    <x:row r="7">
      <x:c r="A7" s="37" t="n">
        <x:v>46204</x:v>
      </x:c>
      <x:c r="B7" s="31" t="str">
        <x:v>115年7月</x:v>
      </x:c>
      <x:c r="C7" s="31" t="str">
        <x:v>新制</x:v>
      </x:c>
      <x:c r="D7" s="31" t="str">
        <x:v>國內</x:v>
      </x:c>
      <x:c r="E7" s="31" t="str">
        <x:v>98年第一次委託經營(續約5)</x:v>
      </x:c>
      <x:c r="F7" s="31" t="str">
        <x:v>玉山</x:v>
      </x:c>
      <x:c r="G7" s="40" t="n">
        <x:v>7430070832</x:v>
      </x:c>
      <x:c r="H7" s="40" t="n">
        <x:v>12830277484</x:v>
      </x:c>
      <x:c r="I7" s="40" t="n">
        <x:v>-2570992363</x:v>
      </x:c>
      <x:c r="J7" s="31" t="str">
        <x:v>持續</x:v>
      </x:c>
      <x:c r="K7" s="31" t="str">
        <x:v>新臺幣元</x:v>
      </x:c>
      <x:c r="L7" s="43" t="n">
        <x:v>0.7268000000000001</x:v>
      </x:c>
      <x:c r="M7" s="43" t="n">
        <x:v>0.1198</x:v>
      </x:c>
      <x:c r="N7" s="32" t="str">
        <x:v>勞工退休基金-115年7月.pdf</x:v>
      </x:c>
    </x:row>
    <x:row r="8">
      <x:c r="A8" s="37" t="n">
        <x:v>46204</x:v>
      </x:c>
      <x:c r="B8" s="31" t="str">
        <x:v>115年7月</x:v>
      </x:c>
      <x:c r="C8" s="31" t="str">
        <x:v>新制</x:v>
      </x:c>
      <x:c r="D8" s="31" t="str">
        <x:v>國內</x:v>
      </x:c>
      <x:c r="E8" s="31" t="str">
        <x:v>99年第二次委託經營(續約3)</x:v>
      </x:c>
      <x:c r="F8" s="31" t="str">
        <x:v>國泰</x:v>
      </x:c>
      <x:c r="G8" s="40" t="n">
        <x:v>10445113310</x:v>
      </x:c>
      <x:c r="H8" s="40" t="n">
        <x:v>26081939969</x:v>
      </x:c>
      <x:c r="I8" s="40" t="n">
        <x:v>-3170801195</x:v>
      </x:c>
      <x:c r="J8" s="31" t="str">
        <x:v>持續</x:v>
      </x:c>
      <x:c r="K8" s="31" t="str">
        <x:v>新臺幣元</x:v>
      </x:c>
      <x:c r="L8" s="43" t="n">
        <x:v>1.4969999999999999</x:v>
      </x:c>
      <x:c r="M8" s="43" t="n">
        <x:v>0.22089999999999999</x:v>
      </x:c>
      <x:c r="N8" s="32" t="str">
        <x:v>勞工退休基金-115年7月.pdf</x:v>
      </x:c>
    </x:row>
    <x:row r="9">
      <x:c r="A9" s="37" t="n">
        <x:v>46204</x:v>
      </x:c>
      <x:c r="B9" s="31" t="str">
        <x:v>115年7月</x:v>
      </x:c>
      <x:c r="C9" s="31" t="str">
        <x:v>新制</x:v>
      </x:c>
      <x:c r="D9" s="31" t="str">
        <x:v>國內</x:v>
      </x:c>
      <x:c r="E9" s="31" t="str">
        <x:v>100年第一次委託經營(續約3)(相對報酬)</x:v>
      </x:c>
      <x:c r="F9" s="31" t="str">
        <x:v>復華</x:v>
      </x:c>
      <x:c r="G9" s="40" t="n">
        <x:v>29101525086</x:v>
      </x:c>
      <x:c r="H9" s="40" t="n">
        <x:v>79596508766</x:v>
      </x:c>
      <x:c r="I9" s="40" t="n">
        <x:v>-9961655016</x:v>
      </x:c>
      <x:c r="J9" s="31" t="str">
        <x:v>持續</x:v>
      </x:c>
      <x:c r="K9" s="31" t="str">
        <x:v>新臺幣元</x:v>
      </x:c>
      <x:c r="L9" s="43" t="n">
        <x:v>1.7350999999999999</x:v>
      </x:c>
      <x:c r="M9" s="43" t="n">
        <x:v>1.6263999999999998</x:v>
      </x:c>
      <x:c r="N9" s="32" t="str">
        <x:v>勞工退休基金-115年7月.pdf</x:v>
      </x:c>
    </x:row>
    <x:row r="10">
      <x:c r="A10" s="37" t="n">
        <x:v>46204</x:v>
      </x:c>
      <x:c r="B10" s="31" t="str">
        <x:v>115年7月</x:v>
      </x:c>
      <x:c r="C10" s="31" t="str">
        <x:v>新制</x:v>
      </x:c>
      <x:c r="D10" s="31" t="str">
        <x:v>國內</x:v>
      </x:c>
      <x:c r="E10" s="31" t="str">
        <x:v>101年第二次委託經營(續約3)</x:v>
      </x:c>
      <x:c r="F10" s="31" t="str">
        <x:v>野村</x:v>
      </x:c>
      <x:c r="G10" s="40" t="n">
        <x:v>15198354580</x:v>
      </x:c>
      <x:c r="H10" s="40" t="n">
        <x:v>40396399644</x:v>
      </x:c>
      <x:c r="I10" s="40" t="n">
        <x:v>-6265873016</x:v>
      </x:c>
      <x:c r="J10" s="31" t="str">
        <x:v>持續</x:v>
      </x:c>
      <x:c r="K10" s="31" t="str">
        <x:v>新臺幣元</x:v>
      </x:c>
      <x:c r="L10" s="43" t="n">
        <x:v>1.6579</x:v>
      </x:c>
      <x:c r="M10" s="43" t="n">
        <x:v>0.1191</x:v>
      </x:c>
      <x:c r="N10" s="32" t="str">
        <x:v>勞工退休基金-115年7月.pdf</x:v>
      </x:c>
    </x:row>
    <x:row r="11">
      <x:c r="A11" s="37" t="n">
        <x:v>46204</x:v>
      </x:c>
      <x:c r="B11" s="31" t="str">
        <x:v>115年7月</x:v>
      </x:c>
      <x:c r="C11" s="31" t="str">
        <x:v>新制</x:v>
      </x:c>
      <x:c r="D11" s="31" t="str">
        <x:v>國內</x:v>
      </x:c>
      <x:c r="E11" s="31" t="str">
        <x:v>101年第二次委託經營(續約3)</x:v>
      </x:c>
      <x:c r="F11" s="31" t="str">
        <x:v>統一</x:v>
      </x:c>
      <x:c r="G11" s="40" t="n">
        <x:v>20913151881</x:v>
      </x:c>
      <x:c r="H11" s="40" t="n">
        <x:v>38985680063</x:v>
      </x:c>
      <x:c r="I11" s="40" t="n">
        <x:v>-7022091552</x:v>
      </x:c>
      <x:c r="J11" s="31" t="str">
        <x:v>持續</x:v>
      </x:c>
      <x:c r="K11" s="31" t="str">
        <x:v>新臺幣元</x:v>
      </x:c>
      <x:c r="L11" s="43" t="n">
        <x:v>0.8642</x:v>
      </x:c>
      <x:c r="M11" s="43" t="n">
        <x:v>0.1191</x:v>
      </x:c>
      <x:c r="N11" s="32" t="str">
        <x:v>勞工退休基金-115年7月.pdf</x:v>
      </x:c>
    </x:row>
    <x:row r="12">
      <x:c r="A12" s="37" t="n">
        <x:v>46204</x:v>
      </x:c>
      <x:c r="B12" s="31" t="str">
        <x:v>115年7月</x:v>
      </x:c>
      <x:c r="C12" s="31" t="str">
        <x:v>新制</x:v>
      </x:c>
      <x:c r="D12" s="31" t="str">
        <x:v>國內</x:v>
      </x:c>
      <x:c r="E12" s="31" t="str">
        <x:v>102年第二次委託經營(續約3)(相對報酬)</x:v>
      </x:c>
      <x:c r="F12" s="31" t="str">
        <x:v>統一</x:v>
      </x:c>
      <x:c r="G12" s="40" t="n">
        <x:v>37517851631</x:v>
      </x:c>
      <x:c r="H12" s="40" t="n">
        <x:v>56336151382</x:v>
      </x:c>
      <x:c r="I12" s="40" t="n">
        <x:v>-4431675502</x:v>
      </x:c>
      <x:c r="J12" s="31" t="str">
        <x:v>持續</x:v>
      </x:c>
      <x:c r="K12" s="31" t="str">
        <x:v>新臺幣元</x:v>
      </x:c>
      <x:c r="L12" s="43" t="n">
        <x:v>0.5015999999999999</x:v>
      </x:c>
      <x:c r="M12" s="43" t="n">
        <x:v>0.36619999999999997</x:v>
      </x:c>
      <x:c r="N12" s="32" t="str">
        <x:v>勞工退休基金-115年7月.pdf</x:v>
      </x:c>
    </x:row>
    <x:row r="13">
      <x:c r="A13" s="37" t="n">
        <x:v>46204</x:v>
      </x:c>
      <x:c r="B13" s="31" t="str">
        <x:v>115年7月</x:v>
      </x:c>
      <x:c r="C13" s="31" t="str">
        <x:v>新制</x:v>
      </x:c>
      <x:c r="D13" s="31" t="str">
        <x:v>國內</x:v>
      </x:c>
      <x:c r="E13" s="31" t="str">
        <x:v>102年第二次委託經營(續約3)(相對報酬)</x:v>
      </x:c>
      <x:c r="F13" s="31" t="str">
        <x:v>復華</x:v>
      </x:c>
      <x:c r="G13" s="40" t="n">
        <x:v>39053243767</x:v>
      </x:c>
      <x:c r="H13" s="40" t="n">
        <x:v>55897686273</x:v>
      </x:c>
      <x:c r="I13" s="40" t="n">
        <x:v>-4817199812</x:v>
      </x:c>
      <x:c r="J13" s="31" t="str">
        <x:v>持續</x:v>
      </x:c>
      <x:c r="K13" s="31" t="str">
        <x:v>新臺幣元</x:v>
      </x:c>
      <x:c r="L13" s="43" t="n">
        <x:v>0.4313</x:v>
      </x:c>
      <x:c r="M13" s="43" t="n">
        <x:v>0.36619999999999997</x:v>
      </x:c>
      <x:c r="N13" s="32" t="str">
        <x:v>勞工退休基金-115年7月.pdf</x:v>
      </x:c>
    </x:row>
    <x:row r="14">
      <x:c r="A14" s="37" t="n">
        <x:v>46204</x:v>
      </x:c>
      <x:c r="B14" s="31" t="str">
        <x:v>115年7月</x:v>
      </x:c>
      <x:c r="C14" s="31" t="str">
        <x:v>新制</x:v>
      </x:c>
      <x:c r="D14" s="31" t="str">
        <x:v>國內</x:v>
      </x:c>
      <x:c r="E14" s="31" t="str">
        <x:v>103年第一次委託經營(續約2)</x:v>
      </x:c>
      <x:c r="F14" s="31" t="str">
        <x:v>台新</x:v>
      </x:c>
      <x:c r="G14" s="40" t="n">
        <x:v>15841461125</x:v>
      </x:c>
      <x:c r="H14" s="40" t="n">
        <x:v>41322318010</x:v>
      </x:c>
      <x:c r="I14" s="40" t="n">
        <x:v>-3888439594</x:v>
      </x:c>
      <x:c r="J14" s="31" t="str">
        <x:v>持續</x:v>
      </x:c>
      <x:c r="K14" s="31" t="str">
        <x:v>新臺幣元</x:v>
      </x:c>
      <x:c r="L14" s="43" t="n">
        <x:v>1.6085</x:v>
      </x:c>
      <x:c r="M14" s="43" t="n">
        <x:v>0.2302</x:v>
      </x:c>
      <x:c r="N14" s="32" t="str">
        <x:v>勞工退休基金-115年7月.pdf</x:v>
      </x:c>
    </x:row>
    <x:row r="15">
      <x:c r="A15" s="37" t="n">
        <x:v>46204</x:v>
      </x:c>
      <x:c r="B15" s="31" t="str">
        <x:v>115年7月</x:v>
      </x:c>
      <x:c r="C15" s="31" t="str">
        <x:v>新制</x:v>
      </x:c>
      <x:c r="D15" s="31" t="str">
        <x:v>國內</x:v>
      </x:c>
      <x:c r="E15" s="31" t="str">
        <x:v>103年第二次委託經營(續約2)(相對報酬)</x:v>
      </x:c>
      <x:c r="F15" s="31" t="str">
        <x:v>國泰</x:v>
      </x:c>
      <x:c r="G15" s="40" t="n">
        <x:v>23658255796</x:v>
      </x:c>
      <x:c r="H15" s="40" t="n">
        <x:v>40415302192</x:v>
      </x:c>
      <x:c r="I15" s="40" t="n">
        <x:v>-132920971</x:v>
      </x:c>
      <x:c r="J15" s="31" t="str">
        <x:v>持續</x:v>
      </x:c>
      <x:c r="K15" s="31" t="str">
        <x:v>新臺幣元</x:v>
      </x:c>
      <x:c r="L15" s="43" t="n">
        <x:v>0.7082999999999999</x:v>
      </x:c>
      <x:c r="M15" s="43" t="n">
        <x:v>0.6726000000000001</x:v>
      </x:c>
      <x:c r="N15" s="32" t="str">
        <x:v>勞工退休基金-115年7月.pdf</x:v>
      </x:c>
    </x:row>
    <x:row r="16">
      <x:c r="A16" s="37" t="n">
        <x:v>46204</x:v>
      </x:c>
      <x:c r="B16" s="31" t="str">
        <x:v>115年7月</x:v>
      </x:c>
      <x:c r="C16" s="31" t="str">
        <x:v>新制</x:v>
      </x:c>
      <x:c r="D16" s="31" t="str">
        <x:v>國內</x:v>
      </x:c>
      <x:c r="E16" s="31" t="str">
        <x:v>103年第二次委託經營(續約2)(相對報酬)</x:v>
      </x:c>
      <x:c r="F16" s="31" t="str">
        <x:v>統一</x:v>
      </x:c>
      <x:c r="G16" s="40" t="n">
        <x:v>20210724588</x:v>
      </x:c>
      <x:c r="H16" s="40" t="n">
        <x:v>34144349128</x:v>
      </x:c>
      <x:c r="I16" s="40" t="n">
        <x:v>-35804097</x:v>
      </x:c>
      <x:c r="J16" s="31" t="str">
        <x:v>持續</x:v>
      </x:c>
      <x:c r="K16" s="31" t="str">
        <x:v>新臺幣元</x:v>
      </x:c>
      <x:c r="L16" s="43" t="n">
        <x:v>0.6894</x:v>
      </x:c>
      <x:c r="M16" s="43" t="n">
        <x:v>0.6726000000000001</x:v>
      </x:c>
      <x:c r="N16" s="32" t="str">
        <x:v>勞工退休基金-115年7月.pdf</x:v>
      </x:c>
    </x:row>
    <x:row r="17">
      <x:c r="A17" s="37" t="n">
        <x:v>46204</x:v>
      </x:c>
      <x:c r="B17" s="31" t="str">
        <x:v>115年7月</x:v>
      </x:c>
      <x:c r="C17" s="31" t="str">
        <x:v>新制</x:v>
      </x:c>
      <x:c r="D17" s="31" t="str">
        <x:v>國內</x:v>
      </x:c>
      <x:c r="E17" s="31" t="str">
        <x:v>103年第二次委託經營(續約2)(相對報酬)</x:v>
      </x:c>
      <x:c r="F17" s="31" t="str">
        <x:v>復華</x:v>
      </x:c>
      <x:c r="G17" s="40" t="n">
        <x:v>19554752074</x:v>
      </x:c>
      <x:c r="H17" s="40" t="n">
        <x:v>33339520716</x:v>
      </x:c>
      <x:c r="I17" s="40" t="n">
        <x:v>-150450416</x:v>
      </x:c>
      <x:c r="J17" s="31" t="str">
        <x:v>持續</x:v>
      </x:c>
      <x:c r="K17" s="31" t="str">
        <x:v>新臺幣元</x:v>
      </x:c>
      <x:c r="L17" s="43" t="n">
        <x:v>0.7049</x:v>
      </x:c>
      <x:c r="M17" s="43" t="n">
        <x:v>0.6726000000000001</x:v>
      </x:c>
      <x:c r="N17" s="32" t="str">
        <x:v>勞工退休基金-115年7月.pdf</x:v>
      </x:c>
    </x:row>
    <x:row r="18">
      <x:c r="A18" s="37" t="n">
        <x:v>46204</x:v>
      </x:c>
      <x:c r="B18" s="31" t="str">
        <x:v>115年7月</x:v>
      </x:c>
      <x:c r="C18" s="31" t="str">
        <x:v>新制</x:v>
      </x:c>
      <x:c r="D18" s="31" t="str">
        <x:v>國內</x:v>
      </x:c>
      <x:c r="E18" s="31" t="str">
        <x:v>103年第二次委託經營(續約2)(相對報酬)</x:v>
      </x:c>
      <x:c r="F18" s="31" t="str">
        <x:v>滙豐</x:v>
      </x:c>
      <x:c r="G18" s="40" t="n">
        <x:v>16812903049</x:v>
      </x:c>
      <x:c r="H18" s="40" t="n">
        <x:v>28296630865</x:v>
      </x:c>
      <x:c r="I18" s="40" t="n">
        <x:v>-194181980</x:v>
      </x:c>
      <x:c r="J18" s="31" t="str">
        <x:v>持續</x:v>
      </x:c>
      <x:c r="K18" s="31" t="str">
        <x:v>新臺幣元</x:v>
      </x:c>
      <x:c r="L18" s="43" t="n">
        <x:v>0.6829999999999999</x:v>
      </x:c>
      <x:c r="M18" s="43" t="n">
        <x:v>0.6726000000000001</x:v>
      </x:c>
      <x:c r="N18" s="32" t="str">
        <x:v>勞工退休基金-115年7月.pdf</x:v>
      </x:c>
    </x:row>
    <x:row r="19">
      <x:c r="A19" s="37" t="n">
        <x:v>46204</x:v>
      </x:c>
      <x:c r="B19" s="31" t="str">
        <x:v>115年7月</x:v>
      </x:c>
      <x:c r="C19" s="31" t="str">
        <x:v>新制</x:v>
      </x:c>
      <x:c r="D19" s="31" t="str">
        <x:v>國內</x:v>
      </x:c>
      <x:c r="E19" s="31" t="str">
        <x:v>103年第二次委託經營(續約2)(相對報酬)</x:v>
      </x:c>
      <x:c r="F19" s="31" t="str">
        <x:v>安聯</x:v>
      </x:c>
      <x:c r="G19" s="40" t="n">
        <x:v>24098049298</x:v>
      </x:c>
      <x:c r="H19" s="40" t="n">
        <x:v>41223752467</x:v>
      </x:c>
      <x:c r="I19" s="40" t="n">
        <x:v>-219117658</x:v>
      </x:c>
      <x:c r="J19" s="31" t="str">
        <x:v>持續</x:v>
      </x:c>
      <x:c r="K19" s="31" t="str">
        <x:v>新臺幣元</x:v>
      </x:c>
      <x:c r="L19" s="43" t="n">
        <x:v>0.7106999999999999</x:v>
      </x:c>
      <x:c r="M19" s="43" t="n">
        <x:v>0.6726000000000001</x:v>
      </x:c>
      <x:c r="N19" s="32" t="str">
        <x:v>勞工退休基金-115年7月.pdf</x:v>
      </x:c>
    </x:row>
    <x:row r="20">
      <x:c r="A20" s="37" t="n">
        <x:v>46204</x:v>
      </x:c>
      <x:c r="B20" s="31" t="str">
        <x:v>115年7月</x:v>
      </x:c>
      <x:c r="C20" s="31" t="str">
        <x:v>新制</x:v>
      </x:c>
      <x:c r="D20" s="31" t="str">
        <x:v>國內</x:v>
      </x:c>
      <x:c r="E20" s="31" t="str">
        <x:v>104年第一次委託經營(續約2)</x:v>
      </x:c>
      <x:c r="F20" s="31" t="str">
        <x:v>復華</x:v>
      </x:c>
      <x:c r="G20" s="40" t="n">
        <x:v>4799121512</x:v>
      </x:c>
      <x:c r="H20" s="40" t="n">
        <x:v>12929826184</x:v>
      </x:c>
      <x:c r="I20" s="40" t="n">
        <x:v>-2713341437</x:v>
      </x:c>
      <x:c r="J20" s="31" t="str">
        <x:v>持續</x:v>
      </x:c>
      <x:c r="K20" s="31" t="str">
        <x:v>新臺幣元</x:v>
      </x:c>
      <x:c r="L20" s="43" t="n">
        <x:v>1.6942</x:v>
      </x:c>
      <x:c r="M20" s="43" t="n">
        <x:v>0.1998</x:v>
      </x:c>
      <x:c r="N20" s="32" t="str">
        <x:v>勞工退休基金-115年7月.pdf</x:v>
      </x:c>
    </x:row>
    <x:row r="21">
      <x:c r="A21" s="37" t="n">
        <x:v>46204</x:v>
      </x:c>
      <x:c r="B21" s="31" t="str">
        <x:v>115年7月</x:v>
      </x:c>
      <x:c r="C21" s="31" t="str">
        <x:v>新制</x:v>
      </x:c>
      <x:c r="D21" s="31" t="str">
        <x:v>國內</x:v>
      </x:c>
      <x:c r="E21" s="31" t="str">
        <x:v>104年第一次委託經營(續約2)</x:v>
      </x:c>
      <x:c r="F21" s="31" t="str">
        <x:v>安聯</x:v>
      </x:c>
      <x:c r="G21" s="40" t="n">
        <x:v>3601238896</x:v>
      </x:c>
      <x:c r="H21" s="40" t="n">
        <x:v>7926139191</x:v>
      </x:c>
      <x:c r="I21" s="40" t="n">
        <x:v>-929727263</x:v>
      </x:c>
      <x:c r="J21" s="31" t="str">
        <x:v>持續</x:v>
      </x:c>
      <x:c r="K21" s="31" t="str">
        <x:v>新臺幣元</x:v>
      </x:c>
      <x:c r="L21" s="43" t="n">
        <x:v>1.2009</x:v>
      </x:c>
      <x:c r="M21" s="43" t="n">
        <x:v>0.1998</x:v>
      </x:c>
      <x:c r="N21" s="32" t="str">
        <x:v>勞工退休基金-115年7月.pdf</x:v>
      </x:c>
    </x:row>
    <x:row r="22">
      <x:c r="A22" s="37" t="n">
        <x:v>46204</x:v>
      </x:c>
      <x:c r="B22" s="31" t="str">
        <x:v>115年7月</x:v>
      </x:c>
      <x:c r="C22" s="31" t="str">
        <x:v>新制</x:v>
      </x:c>
      <x:c r="D22" s="31" t="str">
        <x:v>國內</x:v>
      </x:c>
      <x:c r="E22" s="31" t="str">
        <x:v>106年第一次委託經營（續約）</x:v>
      </x:c>
      <x:c r="F22" s="31" t="str">
        <x:v>安聯</x:v>
      </x:c>
      <x:c r="G22" s="40" t="n">
        <x:v>15088712403</x:v>
      </x:c>
      <x:c r="H22" s="40" t="n">
        <x:v>44447329187</x:v>
      </x:c>
      <x:c r="I22" s="40" t="n">
        <x:v>-6906662932</x:v>
      </x:c>
      <x:c r="J22" s="31" t="str">
        <x:v>持續</x:v>
      </x:c>
      <x:c r="K22" s="31" t="str">
        <x:v>新臺幣元</x:v>
      </x:c>
      <x:c r="L22" s="43" t="n">
        <x:v>2.0039</x:v>
      </x:c>
      <x:c r="M22" s="43" t="n">
        <x:v>0.21</x:v>
      </x:c>
      <x:c r="N22" s="32" t="str">
        <x:v>勞工退休基金-115年7月.pdf</x:v>
      </x:c>
    </x:row>
    <x:row r="23">
      <x:c r="A23" s="37" t="n">
        <x:v>46204</x:v>
      </x:c>
      <x:c r="B23" s="31" t="str">
        <x:v>115年7月</x:v>
      </x:c>
      <x:c r="C23" s="31" t="str">
        <x:v>新制</x:v>
      </x:c>
      <x:c r="D23" s="31" t="str">
        <x:v>國內</x:v>
      </x:c>
      <x:c r="E23" s="31" t="str">
        <x:v>106年第一次委託經營（續約）</x:v>
      </x:c>
      <x:c r="F23" s="31" t="str">
        <x:v>國泰</x:v>
      </x:c>
      <x:c r="G23" s="40" t="n">
        <x:v>5018453600</x:v>
      </x:c>
      <x:c r="H23" s="40" t="n">
        <x:v>12530478206</x:v>
      </x:c>
      <x:c r="I23" s="40" t="n">
        <x:v>-2176158615</x:v>
      </x:c>
      <x:c r="J23" s="31" t="str">
        <x:v>持續</x:v>
      </x:c>
      <x:c r="K23" s="31" t="str">
        <x:v>新臺幣元</x:v>
      </x:c>
      <x:c r="L23" s="43" t="n">
        <x:v>1.3041999999999998</x:v>
      </x:c>
      <x:c r="M23" s="43" t="n">
        <x:v>0.21</x:v>
      </x:c>
      <x:c r="N23" s="32" t="str">
        <x:v>勞工退休基金-115年7月.pdf</x:v>
      </x:c>
    </x:row>
    <x:row r="24">
      <x:c r="A24" s="37" t="n">
        <x:v>46204</x:v>
      </x:c>
      <x:c r="B24" s="31" t="str">
        <x:v>115年7月</x:v>
      </x:c>
      <x:c r="C24" s="31" t="str">
        <x:v>新制</x:v>
      </x:c>
      <x:c r="D24" s="31" t="str">
        <x:v>國內</x:v>
      </x:c>
      <x:c r="E24" s="31" t="str">
        <x:v>106年第一次委託經營（續約）</x:v>
      </x:c>
      <x:c r="F24" s="31" t="str">
        <x:v>群益</x:v>
      </x:c>
      <x:c r="G24" s="40" t="n">
        <x:v>6382621945</x:v>
      </x:c>
      <x:c r="H24" s="40" t="n">
        <x:v>13603740058</x:v>
      </x:c>
      <x:c r="I24" s="40" t="n">
        <x:v>-2277975695</x:v>
      </x:c>
      <x:c r="J24" s="31" t="str">
        <x:v>持續</x:v>
      </x:c>
      <x:c r="K24" s="31" t="str">
        <x:v>新臺幣元</x:v>
      </x:c>
      <x:c r="L24" s="43" t="n">
        <x:v>1.1314</x:v>
      </x:c>
      <x:c r="M24" s="43" t="n">
        <x:v>0.21</x:v>
      </x:c>
      <x:c r="N24" s="32" t="str">
        <x:v>勞工退休基金-115年7月.pdf</x:v>
      </x:c>
    </x:row>
    <x:row r="25">
      <x:c r="A25" s="37" t="n">
        <x:v>46204</x:v>
      </x:c>
      <x:c r="B25" s="31" t="str">
        <x:v>115年7月</x:v>
      </x:c>
      <x:c r="C25" s="31" t="str">
        <x:v>新制</x:v>
      </x:c>
      <x:c r="D25" s="31" t="str">
        <x:v>國內</x:v>
      </x:c>
      <x:c r="E25" s="31" t="str">
        <x:v>106年第一次委託經營（續約）</x:v>
      </x:c>
      <x:c r="F25" s="31" t="str">
        <x:v>滙豐</x:v>
      </x:c>
      <x:c r="G25" s="40" t="n">
        <x:v>7096535878</x:v>
      </x:c>
      <x:c r="H25" s="40" t="n">
        <x:v>17348896195</x:v>
      </x:c>
      <x:c r="I25" s="40" t="n">
        <x:v>-1941207021</x:v>
      </x:c>
      <x:c r="J25" s="31" t="str">
        <x:v>持續</x:v>
      </x:c>
      <x:c r="K25" s="31" t="str">
        <x:v>新臺幣元</x:v>
      </x:c>
      <x:c r="L25" s="43" t="n">
        <x:v>1.4447</x:v>
      </x:c>
      <x:c r="M25" s="43" t="n">
        <x:v>0.21</x:v>
      </x:c>
      <x:c r="N25" s="32" t="str">
        <x:v>勞工退休基金-115年7月.pdf</x:v>
      </x:c>
    </x:row>
    <x:row r="26">
      <x:c r="A26" s="37" t="n">
        <x:v>46204</x:v>
      </x:c>
      <x:c r="B26" s="31" t="str">
        <x:v>115年7月</x:v>
      </x:c>
      <x:c r="C26" s="31" t="str">
        <x:v>新制</x:v>
      </x:c>
      <x:c r="D26" s="31" t="str">
        <x:v>國內</x:v>
      </x:c>
      <x:c r="E26" s="31" t="str">
        <x:v>107年第一次委託經營(續約)(相對報酬)</x:v>
      </x:c>
      <x:c r="F26" s="31" t="str">
        <x:v>台新</x:v>
      </x:c>
      <x:c r="G26" s="40" t="n">
        <x:v>8254694051</x:v>
      </x:c>
      <x:c r="H26" s="40" t="n">
        <x:v>25518246126</x:v>
      </x:c>
      <x:c r="I26" s="40" t="n">
        <x:v>-2042873014</x:v>
      </x:c>
      <x:c r="J26" s="31" t="str">
        <x:v>持續</x:v>
      </x:c>
      <x:c r="K26" s="31" t="str">
        <x:v>新臺幣元</x:v>
      </x:c>
      <x:c r="L26" s="43" t="n">
        <x:v>2.0913999999999997</x:v>
      </x:c>
      <x:c r="M26" s="43" t="n">
        <x:v>2.0934</x:v>
      </x:c>
      <x:c r="N26" s="32" t="str">
        <x:v>勞工退休基金-115年7月.pdf</x:v>
      </x:c>
    </x:row>
    <x:row r="27">
      <x:c r="A27" s="37" t="n">
        <x:v>46204</x:v>
      </x:c>
      <x:c r="B27" s="31" t="str">
        <x:v>115年7月</x:v>
      </x:c>
      <x:c r="C27" s="31" t="str">
        <x:v>新制</x:v>
      </x:c>
      <x:c r="D27" s="31" t="str">
        <x:v>國內</x:v>
      </x:c>
      <x:c r="E27" s="31" t="str">
        <x:v>107年第一次委託經營(續約)(相對報酬)</x:v>
      </x:c>
      <x:c r="F27" s="31" t="str">
        <x:v>安聯</x:v>
      </x:c>
      <x:c r="G27" s="40" t="n">
        <x:v>12775472416</x:v>
      </x:c>
      <x:c r="H27" s="40" t="n">
        <x:v>40249195792</x:v>
      </x:c>
      <x:c r="I27" s="40" t="n">
        <x:v>-3720168503</x:v>
      </x:c>
      <x:c r="J27" s="31" t="str">
        <x:v>持續</x:v>
      </x:c>
      <x:c r="K27" s="31" t="str">
        <x:v>新臺幣元</x:v>
      </x:c>
      <x:c r="L27" s="43" t="n">
        <x:v>2.1505</x:v>
      </x:c>
      <x:c r="M27" s="43" t="n">
        <x:v>2.0934</x:v>
      </x:c>
      <x:c r="N27" s="32" t="str">
        <x:v>勞工退休基金-115年7月.pdf</x:v>
      </x:c>
    </x:row>
    <x:row r="28">
      <x:c r="A28" s="37" t="n">
        <x:v>46204</x:v>
      </x:c>
      <x:c r="B28" s="31" t="str">
        <x:v>115年7月</x:v>
      </x:c>
      <x:c r="C28" s="31" t="str">
        <x:v>新制</x:v>
      </x:c>
      <x:c r="D28" s="31" t="str">
        <x:v>國內</x:v>
      </x:c>
      <x:c r="E28" s="31" t="str">
        <x:v>107年第一次委託經營(續約)(相對報酬)</x:v>
      </x:c>
      <x:c r="F28" s="31" t="str">
        <x:v>玉山</x:v>
      </x:c>
      <x:c r="G28" s="40" t="n">
        <x:v>9403481285</x:v>
      </x:c>
      <x:c r="H28" s="40" t="n">
        <x:v>29896625207</x:v>
      </x:c>
      <x:c r="I28" s="40" t="n">
        <x:v>-2561695490</x:v>
      </x:c>
      <x:c r="J28" s="31" t="str">
        <x:v>持續</x:v>
      </x:c>
      <x:c r="K28" s="31" t="str">
        <x:v>新臺幣元</x:v>
      </x:c>
      <x:c r="L28" s="43" t="n">
        <x:v>2.1793</x:v>
      </x:c>
      <x:c r="M28" s="43" t="n">
        <x:v>2.0934</x:v>
      </x:c>
      <x:c r="N28" s="32" t="str">
        <x:v>勞工退休基金-115年7月.pdf</x:v>
      </x:c>
    </x:row>
    <x:row r="29">
      <x:c r="A29" s="37" t="n">
        <x:v>46204</x:v>
      </x:c>
      <x:c r="B29" s="31" t="str">
        <x:v>115年7月</x:v>
      </x:c>
      <x:c r="C29" s="31" t="str">
        <x:v>新制</x:v>
      </x:c>
      <x:c r="D29" s="31" t="str">
        <x:v>國內</x:v>
      </x:c>
      <x:c r="E29" s="31" t="str">
        <x:v>107年第一次委託經營(續約)(相對報酬)</x:v>
      </x:c>
      <x:c r="F29" s="31" t="str">
        <x:v>統一</x:v>
      </x:c>
      <x:c r="G29" s="40" t="n">
        <x:v>12635490783</x:v>
      </x:c>
      <x:c r="H29" s="40" t="n">
        <x:v>39498492066</x:v>
      </x:c>
      <x:c r="I29" s="40" t="n">
        <x:v>-3193640300</x:v>
      </x:c>
      <x:c r="J29" s="31" t="str">
        <x:v>持續</x:v>
      </x:c>
      <x:c r="K29" s="31" t="str">
        <x:v>新臺幣元</x:v>
      </x:c>
      <x:c r="L29" s="43" t="n">
        <x:v>2.126</x:v>
      </x:c>
      <x:c r="M29" s="43" t="n">
        <x:v>2.0934</x:v>
      </x:c>
      <x:c r="N29" s="32" t="str">
        <x:v>勞工退休基金-115年7月.pdf</x:v>
      </x:c>
    </x:row>
    <x:row r="30">
      <x:c r="A30" s="37" t="n">
        <x:v>46204</x:v>
      </x:c>
      <x:c r="B30" s="31" t="str">
        <x:v>115年7月</x:v>
      </x:c>
      <x:c r="C30" s="31" t="str">
        <x:v>新制</x:v>
      </x:c>
      <x:c r="D30" s="31" t="str">
        <x:v>國內</x:v>
      </x:c>
      <x:c r="E30" s="31" t="str">
        <x:v>107年第一次委託經營(續約)(相對報酬)</x:v>
      </x:c>
      <x:c r="F30" s="31" t="str">
        <x:v>國泰</x:v>
      </x:c>
      <x:c r="G30" s="40" t="n">
        <x:v>10445956159</x:v>
      </x:c>
      <x:c r="H30" s="40" t="n">
        <x:v>33972525542</x:v>
      </x:c>
      <x:c r="I30" s="40" t="n">
        <x:v>-2547162188</x:v>
      </x:c>
      <x:c r="J30" s="31" t="str">
        <x:v>持續</x:v>
      </x:c>
      <x:c r="K30" s="31" t="str">
        <x:v>新臺幣元</x:v>
      </x:c>
      <x:c r="L30" s="43" t="n">
        <x:v>2.2522</x:v>
      </x:c>
      <x:c r="M30" s="43" t="n">
        <x:v>2.0934</x:v>
      </x:c>
      <x:c r="N30" s="32" t="str">
        <x:v>勞工退休基金-115年7月.pdf</x:v>
      </x:c>
    </x:row>
    <x:row r="31">
      <x:c r="A31" s="37" t="n">
        <x:v>46204</x:v>
      </x:c>
      <x:c r="B31" s="31" t="str">
        <x:v>115年7月</x:v>
      </x:c>
      <x:c r="C31" s="31" t="str">
        <x:v>新制</x:v>
      </x:c>
      <x:c r="D31" s="31" t="str">
        <x:v>國內</x:v>
      </x:c>
      <x:c r="E31" s="31" t="str">
        <x:v>107年第一次委託經營(續約)(相對報酬)</x:v>
      </x:c>
      <x:c r="F31" s="31" t="str">
        <x:v>復華</x:v>
      </x:c>
      <x:c r="G31" s="40" t="n">
        <x:v>7235716436</x:v>
      </x:c>
      <x:c r="H31" s="40" t="n">
        <x:v>22662104792</x:v>
      </x:c>
      <x:c r="I31" s="40" t="n">
        <x:v>-1941110779</x:v>
      </x:c>
      <x:c r="J31" s="31" t="str">
        <x:v>持續</x:v>
      </x:c>
      <x:c r="K31" s="31" t="str">
        <x:v>新臺幣元</x:v>
      </x:c>
      <x:c r="L31" s="43" t="n">
        <x:v>2.1319999999999997</x:v>
      </x:c>
      <x:c r="M31" s="43" t="n">
        <x:v>2.0934</x:v>
      </x:c>
      <x:c r="N31" s="32" t="str">
        <x:v>勞工退休基金-115年7月.pdf</x:v>
      </x:c>
    </x:row>
    <x:row r="32">
      <x:c r="A32" s="37" t="n">
        <x:v>46204</x:v>
      </x:c>
      <x:c r="B32" s="31" t="str">
        <x:v>115年7月</x:v>
      </x:c>
      <x:c r="C32" s="31" t="str">
        <x:v>新制</x:v>
      </x:c>
      <x:c r="D32" s="31" t="str">
        <x:v>國內</x:v>
      </x:c>
      <x:c r="E32" s="31" t="str">
        <x:v>107年第一次委託經營(續約)(相對報酬)</x:v>
      </x:c>
      <x:c r="F32" s="31" t="str">
        <x:v>群益</x:v>
      </x:c>
      <x:c r="G32" s="40" t="n">
        <x:v>4439275178</x:v>
      </x:c>
      <x:c r="H32" s="40" t="n">
        <x:v>14479782645</x:v>
      </x:c>
      <x:c r="I32" s="40" t="n">
        <x:v>-1187939432</x:v>
      </x:c>
      <x:c r="J32" s="31" t="str">
        <x:v>持續</x:v>
      </x:c>
      <x:c r="K32" s="31" t="str">
        <x:v>新臺幣元</x:v>
      </x:c>
      <x:c r="L32" s="43" t="n">
        <x:v>2.2617</x:v>
      </x:c>
      <x:c r="M32" s="43" t="n">
        <x:v>2.0934</x:v>
      </x:c>
      <x:c r="N32" s="32" t="str">
        <x:v>勞工退休基金-115年7月.pdf</x:v>
      </x:c>
    </x:row>
    <x:row r="33">
      <x:c r="A33" s="37" t="n">
        <x:v>46204</x:v>
      </x:c>
      <x:c r="B33" s="31" t="str">
        <x:v>115年7月</x:v>
      </x:c>
      <x:c r="C33" s="31" t="str">
        <x:v>新制</x:v>
      </x:c>
      <x:c r="D33" s="31" t="str">
        <x:v>國內</x:v>
      </x:c>
      <x:c r="E33" s="31" t="str">
        <x:v>107年第二次委託經營（續約）</x:v>
      </x:c>
      <x:c r="F33" s="31" t="str">
        <x:v>安聯</x:v>
      </x:c>
      <x:c r="G33" s="40" t="n">
        <x:v>13613817760</x:v>
      </x:c>
      <x:c r="H33" s="40" t="n">
        <x:v>30231598199</x:v>
      </x:c>
      <x:c r="I33" s="40" t="n">
        <x:v>-4727899740</x:v>
      </x:c>
      <x:c r="J33" s="31" t="str">
        <x:v>持續</x:v>
      </x:c>
      <x:c r="K33" s="31" t="str">
        <x:v>新臺幣元</x:v>
      </x:c>
      <x:c r="L33" s="43" t="n">
        <x:v>1.2308</x:v>
      </x:c>
      <x:c r="M33" s="43" t="n">
        <x:v>0.1286</x:v>
      </x:c>
      <x:c r="N33" s="32" t="str">
        <x:v>勞工退休基金-115年7月.pdf</x:v>
      </x:c>
    </x:row>
    <x:row r="34">
      <x:c r="A34" s="37" t="n">
        <x:v>46204</x:v>
      </x:c>
      <x:c r="B34" s="31" t="str">
        <x:v>115年7月</x:v>
      </x:c>
      <x:c r="C34" s="31" t="str">
        <x:v>新制</x:v>
      </x:c>
      <x:c r="D34" s="31" t="str">
        <x:v>國內</x:v>
      </x:c>
      <x:c r="E34" s="31" t="str">
        <x:v>107年第二次委託經營（續約）</x:v>
      </x:c>
      <x:c r="F34" s="31" t="str">
        <x:v>施羅德</x:v>
      </x:c>
      <x:c r="G34" s="40" t="n">
        <x:v>11400361947</x:v>
      </x:c>
      <x:c r="H34" s="40" t="n">
        <x:v>30148968555</x:v>
      </x:c>
      <x:c r="I34" s="40" t="n">
        <x:v>-4683153126</x:v>
      </x:c>
      <x:c r="J34" s="31" t="str">
        <x:v>持續</x:v>
      </x:c>
      <x:c r="K34" s="31" t="str">
        <x:v>新臺幣元</x:v>
      </x:c>
      <x:c r="L34" s="43" t="n">
        <x:v>1.6446</x:v>
      </x:c>
      <x:c r="M34" s="43" t="n">
        <x:v>0.1286</x:v>
      </x:c>
      <x:c r="N34" s="32" t="str">
        <x:v>勞工退休基金-115年7月.pdf</x:v>
      </x:c>
    </x:row>
    <x:row r="35">
      <x:c r="A35" s="37" t="n">
        <x:v>46204</x:v>
      </x:c>
      <x:c r="B35" s="31" t="str">
        <x:v>115年7月</x:v>
      </x:c>
      <x:c r="C35" s="31" t="str">
        <x:v>新制</x:v>
      </x:c>
      <x:c r="D35" s="31" t="str">
        <x:v>國內</x:v>
      </x:c>
      <x:c r="E35" s="31" t="str">
        <x:v>107年第二次委託經營（續約）</x:v>
      </x:c>
      <x:c r="F35" s="31" t="str">
        <x:v>統一</x:v>
      </x:c>
      <x:c r="G35" s="40" t="n">
        <x:v>13638402860</x:v>
      </x:c>
      <x:c r="H35" s="40" t="n">
        <x:v>28605010963</x:v>
      </x:c>
      <x:c r="I35" s="40" t="n">
        <x:v>-5936009054</x:v>
      </x:c>
      <x:c r="J35" s="31" t="str">
        <x:v>持續</x:v>
      </x:c>
      <x:c r="K35" s="31" t="str">
        <x:v>新臺幣元</x:v>
      </x:c>
      <x:c r="L35" s="43" t="n">
        <x:v>1.1039</x:v>
      </x:c>
      <x:c r="M35" s="43" t="n">
        <x:v>0.1286</x:v>
      </x:c>
      <x:c r="N35" s="32" t="str">
        <x:v>勞工退休基金-115年7月.pdf</x:v>
      </x:c>
    </x:row>
    <x:row r="36">
      <x:c r="A36" s="37" t="n">
        <x:v>46204</x:v>
      </x:c>
      <x:c r="B36" s="31" t="str">
        <x:v>115年7月</x:v>
      </x:c>
      <x:c r="C36" s="31" t="str">
        <x:v>新制</x:v>
      </x:c>
      <x:c r="D36" s="31" t="str">
        <x:v>國內</x:v>
      </x:c>
      <x:c r="E36" s="31" t="str">
        <x:v>107年第二次委託經營（續約）</x:v>
      </x:c>
      <x:c r="F36" s="31" t="str">
        <x:v>野村</x:v>
      </x:c>
      <x:c r="G36" s="40" t="n">
        <x:v>20601693072</x:v>
      </x:c>
      <x:c r="H36" s="40" t="n">
        <x:v>56940962295</x:v>
      </x:c>
      <x:c r="I36" s="40" t="n">
        <x:v>-8643495963</x:v>
      </x:c>
      <x:c r="J36" s="31" t="str">
        <x:v>持續</x:v>
      </x:c>
      <x:c r="K36" s="31" t="str">
        <x:v>新臺幣元</x:v>
      </x:c>
      <x:c r="L36" s="43" t="n">
        <x:v>1.7790000000000001</x:v>
      </x:c>
      <x:c r="M36" s="43" t="n">
        <x:v>0.1286</x:v>
      </x:c>
      <x:c r="N36" s="32" t="str">
        <x:v>勞工退休基金-115年7月.pdf</x:v>
      </x:c>
    </x:row>
    <x:row r="37">
      <x:c r="A37" s="37" t="n">
        <x:v>46204</x:v>
      </x:c>
      <x:c r="B37" s="31" t="str">
        <x:v>115年7月</x:v>
      </x:c>
      <x:c r="C37" s="31" t="str">
        <x:v>新制</x:v>
      </x:c>
      <x:c r="D37" s="31" t="str">
        <x:v>國內</x:v>
      </x:c>
      <x:c r="E37" s="31" t="str">
        <x:v>107年第二次委託經營（續約）</x:v>
      </x:c>
      <x:c r="F37" s="31" t="str">
        <x:v>國泰</x:v>
      </x:c>
      <x:c r="G37" s="40" t="n">
        <x:v>19457627824</x:v>
      </x:c>
      <x:c r="H37" s="40" t="n">
        <x:v>42021514983</x:v>
      </x:c>
      <x:c r="I37" s="40" t="n">
        <x:v>-4491313504</x:v>
      </x:c>
      <x:c r="J37" s="31" t="str">
        <x:v>持續</x:v>
      </x:c>
      <x:c r="K37" s="31" t="str">
        <x:v>新臺幣元</x:v>
      </x:c>
      <x:c r="L37" s="43" t="n">
        <x:v>1.1596</x:v>
      </x:c>
      <x:c r="M37" s="43" t="n">
        <x:v>0.1286</x:v>
      </x:c>
      <x:c r="N37" s="32" t="str">
        <x:v>勞工退休基金-115年7月.pdf</x:v>
      </x:c>
    </x:row>
    <x:row r="38">
      <x:c r="A38" s="37" t="n">
        <x:v>46204</x:v>
      </x:c>
      <x:c r="B38" s="31" t="str">
        <x:v>115年7月</x:v>
      </x:c>
      <x:c r="C38" s="31" t="str">
        <x:v>新制</x:v>
      </x:c>
      <x:c r="D38" s="31" t="str">
        <x:v>國內</x:v>
      </x:c>
      <x:c r="E38" s="31" t="str">
        <x:v>107年第二次委託經營（續約）</x:v>
      </x:c>
      <x:c r="F38" s="31" t="str">
        <x:v>復華</x:v>
      </x:c>
      <x:c r="G38" s="40" t="n">
        <x:v>9724896734</x:v>
      </x:c>
      <x:c r="H38" s="40" t="n">
        <x:v>21096859167</x:v>
      </x:c>
      <x:c r="I38" s="40" t="n">
        <x:v>-4447073144</x:v>
      </x:c>
      <x:c r="J38" s="31" t="str">
        <x:v>持續</x:v>
      </x:c>
      <x:c r="K38" s="31" t="str">
        <x:v>新臺幣元</x:v>
      </x:c>
      <x:c r="L38" s="43" t="n">
        <x:v>1.1694</x:v>
      </x:c>
      <x:c r="M38" s="43" t="n">
        <x:v>0.1286</x:v>
      </x:c>
      <x:c r="N38" s="32" t="str">
        <x:v>勞工退休基金-115年7月.pdf</x:v>
      </x:c>
    </x:row>
    <x:row r="39">
      <x:c r="A39" s="37" t="n">
        <x:v>46204</x:v>
      </x:c>
      <x:c r="B39" s="31" t="str">
        <x:v>115年7月</x:v>
      </x:c>
      <x:c r="C39" s="31" t="str">
        <x:v>新制</x:v>
      </x:c>
      <x:c r="D39" s="31" t="str">
        <x:v>國內</x:v>
      </x:c>
      <x:c r="E39" s="31" t="str">
        <x:v>109年第一次委託經營（續約）</x:v>
      </x:c>
      <x:c r="F39" s="31" t="str">
        <x:v>台新</x:v>
      </x:c>
      <x:c r="G39" s="40" t="n">
        <x:v>17743902371</x:v>
      </x:c>
      <x:c r="H39" s="40" t="n">
        <x:v>16416991185</x:v>
      </x:c>
      <x:c r="I39" s="40" t="n">
        <x:v>-1858941707</x:v>
      </x:c>
      <x:c r="J39" s="31" t="str">
        <x:v>持續</x:v>
      </x:c>
      <x:c r="K39" s="31" t="str">
        <x:v>新臺幣元</x:v>
      </x:c>
      <x:c r="L39" s="43" t="n">
        <x:v>-0.0748</x:v>
      </x:c>
      <x:c r="M39" s="43" t="n">
        <x:v>0.013600000000000001</x:v>
      </x:c>
      <x:c r="N39" s="32" t="str">
        <x:v>勞工退休基金-115年7月.pdf</x:v>
      </x:c>
    </x:row>
    <x:row r="40">
      <x:c r="A40" s="37" t="n">
        <x:v>46204</x:v>
      </x:c>
      <x:c r="B40" s="31" t="str">
        <x:v>115年7月</x:v>
      </x:c>
      <x:c r="C40" s="31" t="str">
        <x:v>新制</x:v>
      </x:c>
      <x:c r="D40" s="31" t="str">
        <x:v>國內</x:v>
      </x:c>
      <x:c r="E40" s="31" t="str">
        <x:v>109年第一次委託經營（續約）</x:v>
      </x:c>
      <x:c r="F40" s="31" t="str">
        <x:v>安聯</x:v>
      </x:c>
      <x:c r="G40" s="40" t="n">
        <x:v>25118214883</x:v>
      </x:c>
      <x:c r="H40" s="40" t="n">
        <x:v>22752979420</x:v>
      </x:c>
      <x:c r="I40" s="40" t="n">
        <x:v>-3714805833</x:v>
      </x:c>
      <x:c r="J40" s="31" t="str">
        <x:v>持續</x:v>
      </x:c>
      <x:c r="K40" s="31" t="str">
        <x:v>新臺幣元</x:v>
      </x:c>
      <x:c r="L40" s="43" t="n">
        <x:v>-0.0942</x:v>
      </x:c>
      <x:c r="M40" s="43" t="n">
        <x:v>0.013600000000000001</x:v>
      </x:c>
      <x:c r="N40" s="32" t="str">
        <x:v>勞工退休基金-115年7月.pdf</x:v>
      </x:c>
    </x:row>
    <x:row r="41">
      <x:c r="A41" s="37" t="n">
        <x:v>46204</x:v>
      </x:c>
      <x:c r="B41" s="31" t="str">
        <x:v>115年7月</x:v>
      </x:c>
      <x:c r="C41" s="31" t="str">
        <x:v>新制</x:v>
      </x:c>
      <x:c r="D41" s="31" t="str">
        <x:v>國內</x:v>
      </x:c>
      <x:c r="E41" s="31" t="str">
        <x:v>109年第一次委託經營（續約）</x:v>
      </x:c>
      <x:c r="F41" s="31" t="str">
        <x:v>玉山</x:v>
      </x:c>
      <x:c r="G41" s="40" t="n">
        <x:v>18706659825</x:v>
      </x:c>
      <x:c r="H41" s="40" t="n">
        <x:v>16064777486</x:v>
      </x:c>
      <x:c r="I41" s="40" t="n">
        <x:v>-3367153763</x:v>
      </x:c>
      <x:c r="J41" s="31" t="str">
        <x:v>持續</x:v>
      </x:c>
      <x:c r="K41" s="31" t="str">
        <x:v>新臺幣元</x:v>
      </x:c>
      <x:c r="L41" s="43" t="n">
        <x:v>-0.1412</x:v>
      </x:c>
      <x:c r="M41" s="43" t="n">
        <x:v>0.013600000000000001</x:v>
      </x:c>
      <x:c r="N41" s="32" t="str">
        <x:v>勞工退休基金-115年7月.pdf</x:v>
      </x:c>
    </x:row>
    <x:row r="42">
      <x:c r="A42" s="37" t="n">
        <x:v>46204</x:v>
      </x:c>
      <x:c r="B42" s="31" t="str">
        <x:v>115年7月</x:v>
      </x:c>
      <x:c r="C42" s="31" t="str">
        <x:v>新制</x:v>
      </x:c>
      <x:c r="D42" s="31" t="str">
        <x:v>國內</x:v>
      </x:c>
      <x:c r="E42" s="31" t="str">
        <x:v>109年第一次委託經營（續約）</x:v>
      </x:c>
      <x:c r="F42" s="31" t="str">
        <x:v>國泰</x:v>
      </x:c>
      <x:c r="G42" s="40" t="n">
        <x:v>23159171521</x:v>
      </x:c>
      <x:c r="H42" s="40" t="n">
        <x:v>21117075101</x:v>
      </x:c>
      <x:c r="I42" s="40" t="n">
        <x:v>-3106908113</x:v>
      </x:c>
      <x:c r="J42" s="31" t="str">
        <x:v>持續</x:v>
      </x:c>
      <x:c r="K42" s="31" t="str">
        <x:v>新臺幣元</x:v>
      </x:c>
      <x:c r="L42" s="43" t="n">
        <x:v>-0.0882</x:v>
      </x:c>
      <x:c r="M42" s="43" t="n">
        <x:v>0.013600000000000001</x:v>
      </x:c>
      <x:c r="N42" s="32" t="str">
        <x:v>勞工退休基金-115年7月.pdf</x:v>
      </x:c>
    </x:row>
    <x:row r="43">
      <x:c r="A43" s="37" t="n">
        <x:v>46204</x:v>
      </x:c>
      <x:c r="B43" s="31" t="str">
        <x:v>115年7月</x:v>
      </x:c>
      <x:c r="C43" s="31" t="str">
        <x:v>新制</x:v>
      </x:c>
      <x:c r="D43" s="31" t="str">
        <x:v>國內</x:v>
      </x:c>
      <x:c r="E43" s="31" t="str">
        <x:v>109年第一次委託經營（續約）</x:v>
      </x:c>
      <x:c r="F43" s="31" t="str">
        <x:v>野村</x:v>
      </x:c>
      <x:c r="G43" s="40" t="n">
        <x:v>34803007809</x:v>
      </x:c>
      <x:c r="H43" s="40" t="n">
        <x:v>30727399354</x:v>
      </x:c>
      <x:c r="I43" s="40" t="n">
        <x:v>-4182581585</x:v>
      </x:c>
      <x:c r="J43" s="31" t="str">
        <x:v>持續</x:v>
      </x:c>
      <x:c r="K43" s="31" t="str">
        <x:v>新臺幣元</x:v>
      </x:c>
      <x:c r="L43" s="43" t="n">
        <x:v>-0.11710000000000001</x:v>
      </x:c>
      <x:c r="M43" s="43" t="n">
        <x:v>0.013600000000000001</x:v>
      </x:c>
      <x:c r="N43" s="32" t="str">
        <x:v>勞工退休基金-115年7月.pdf</x:v>
      </x:c>
    </x:row>
    <x:row r="44">
      <x:c r="A44" s="37" t="n">
        <x:v>46204</x:v>
      </x:c>
      <x:c r="B44" s="31" t="str">
        <x:v>115年7月</x:v>
      </x:c>
      <x:c r="C44" s="31" t="str">
        <x:v>新制</x:v>
      </x:c>
      <x:c r="D44" s="31" t="str">
        <x:v>國內</x:v>
      </x:c>
      <x:c r="E44" s="31" t="str">
        <x:v>109年第二次委託經營(相對報酬)</x:v>
      </x:c>
      <x:c r="F44" s="31" t="str">
        <x:v>安聯</x:v>
      </x:c>
      <x:c r="G44" s="40" t="n">
        <x:v>3000000000</x:v>
      </x:c>
      <x:c r="H44" s="40" t="n">
        <x:v>7088003475</x:v>
      </x:c>
      <x:c r="I44" s="40" t="n">
        <x:v>-1031036926</x:v>
      </x:c>
      <x:c r="J44" s="31" t="str">
        <x:v>持續</x:v>
      </x:c>
      <x:c r="K44" s="31" t="str">
        <x:v>新臺幣元</x:v>
      </x:c>
      <x:c r="L44" s="43" t="n">
        <x:v>1.2791</x:v>
      </x:c>
      <x:c r="M44" s="43" t="n">
        <x:v>1.2554</x:v>
      </x:c>
      <x:c r="N44" s="32" t="str">
        <x:v>勞工退休基金-115年7月.pdf</x:v>
      </x:c>
    </x:row>
    <x:row r="45">
      <x:c r="A45" s="37" t="n">
        <x:v>46204</x:v>
      </x:c>
      <x:c r="B45" s="31" t="str">
        <x:v>115年7月</x:v>
      </x:c>
      <x:c r="C45" s="31" t="str">
        <x:v>新制</x:v>
      </x:c>
      <x:c r="D45" s="31" t="str">
        <x:v>國內</x:v>
      </x:c>
      <x:c r="E45" s="31" t="str">
        <x:v>109年第二次委託經營(相對報酬)</x:v>
      </x:c>
      <x:c r="F45" s="31" t="str">
        <x:v>玉山</x:v>
      </x:c>
      <x:c r="G45" s="40" t="n">
        <x:v>3000000000</x:v>
      </x:c>
      <x:c r="H45" s="40" t="n">
        <x:v>7046409838</x:v>
      </x:c>
      <x:c r="I45" s="40" t="n">
        <x:v>-960398939</x:v>
      </x:c>
      <x:c r="J45" s="31" t="str">
        <x:v>持續</x:v>
      </x:c>
      <x:c r="K45" s="31" t="str">
        <x:v>新臺幣元</x:v>
      </x:c>
      <x:c r="L45" s="43" t="n">
        <x:v>1.2836</x:v>
      </x:c>
      <x:c r="M45" s="43" t="n">
        <x:v>1.2554</x:v>
      </x:c>
      <x:c r="N45" s="32" t="str">
        <x:v>勞工退休基金-115年7月.pdf</x:v>
      </x:c>
    </x:row>
    <x:row r="46">
      <x:c r="A46" s="37" t="n">
        <x:v>46204</x:v>
      </x:c>
      <x:c r="B46" s="31" t="str">
        <x:v>115年7月</x:v>
      </x:c>
      <x:c r="C46" s="31" t="str">
        <x:v>新制</x:v>
      </x:c>
      <x:c r="D46" s="31" t="str">
        <x:v>國內</x:v>
      </x:c>
      <x:c r="E46" s="31" t="str">
        <x:v>109年第二次委託經營(相對報酬)</x:v>
      </x:c>
      <x:c r="F46" s="31" t="str">
        <x:v>野村</x:v>
      </x:c>
      <x:c r="G46" s="40" t="n">
        <x:v>3000000000</x:v>
      </x:c>
      <x:c r="H46" s="40" t="n">
        <x:v>7058698601</x:v>
      </x:c>
      <x:c r="I46" s="40" t="n">
        <x:v>-1084168934</x:v>
      </x:c>
      <x:c r="J46" s="31" t="str">
        <x:v>持續</x:v>
      </x:c>
      <x:c r="K46" s="31" t="str">
        <x:v>新臺幣元</x:v>
      </x:c>
      <x:c r="L46" s="43" t="n">
        <x:v>1.2375</x:v>
      </x:c>
      <x:c r="M46" s="43" t="n">
        <x:v>1.2554</x:v>
      </x:c>
      <x:c r="N46" s="32" t="str">
        <x:v>勞工退休基金-115年7月.pdf</x:v>
      </x:c>
    </x:row>
    <x:row r="47">
      <x:c r="A47" s="37" t="n">
        <x:v>46204</x:v>
      </x:c>
      <x:c r="B47" s="31" t="str">
        <x:v>115年7月</x:v>
      </x:c>
      <x:c r="C47" s="31" t="str">
        <x:v>新制</x:v>
      </x:c>
      <x:c r="D47" s="31" t="str">
        <x:v>國內</x:v>
      </x:c>
      <x:c r="E47" s="31" t="str">
        <x:v>109年第二次委託經營(相對報酬)</x:v>
      </x:c>
      <x:c r="F47" s="31" t="str">
        <x:v>國泰</x:v>
      </x:c>
      <x:c r="G47" s="40" t="n">
        <x:v>3000000000</x:v>
      </x:c>
      <x:c r="H47" s="40" t="n">
        <x:v>7299682641</x:v>
      </x:c>
      <x:c r="I47" s="40" t="n">
        <x:v>-1048120932</x:v>
      </x:c>
      <x:c r="J47" s="31" t="str">
        <x:v>持續</x:v>
      </x:c>
      <x:c r="K47" s="31" t="str">
        <x:v>新臺幣元</x:v>
      </x:c>
      <x:c r="L47" s="43" t="n">
        <x:v>1.3363999999999998</x:v>
      </x:c>
      <x:c r="M47" s="43" t="n">
        <x:v>1.2554</x:v>
      </x:c>
      <x:c r="N47" s="32" t="str">
        <x:v>勞工退休基金-115年7月.pdf</x:v>
      </x:c>
    </x:row>
    <x:row r="48">
      <x:c r="A48" s="37" t="n">
        <x:v>46204</x:v>
      </x:c>
      <x:c r="B48" s="31" t="str">
        <x:v>115年7月</x:v>
      </x:c>
      <x:c r="C48" s="31" t="str">
        <x:v>新制</x:v>
      </x:c>
      <x:c r="D48" s="31" t="str">
        <x:v>國內</x:v>
      </x:c>
      <x:c r="E48" s="31" t="str">
        <x:v>109年第二次委託經營(相對報酬)</x:v>
      </x:c>
      <x:c r="F48" s="31" t="str">
        <x:v>富邦</x:v>
      </x:c>
      <x:c r="G48" s="40" t="n">
        <x:v>3000000000</x:v>
      </x:c>
      <x:c r="H48" s="40" t="n">
        <x:v>6973552798</x:v>
      </x:c>
      <x:c r="I48" s="40" t="n">
        <x:v>-1133900852</x:v>
      </x:c>
      <x:c r="J48" s="31" t="str">
        <x:v>持續</x:v>
      </x:c>
      <x:c r="K48" s="31" t="str">
        <x:v>新臺幣元</x:v>
      </x:c>
      <x:c r="L48" s="43" t="n">
        <x:v>1.2166</x:v>
      </x:c>
      <x:c r="M48" s="43" t="n">
        <x:v>1.2554</x:v>
      </x:c>
      <x:c r="N48" s="32" t="str">
        <x:v>勞工退休基金-115年7月.pdf</x:v>
      </x:c>
    </x:row>
    <x:row r="49">
      <x:c r="A49" s="37" t="n">
        <x:v>46204</x:v>
      </x:c>
      <x:c r="B49" s="31" t="str">
        <x:v>115年7月</x:v>
      </x:c>
      <x:c r="C49" s="31" t="str">
        <x:v>新制</x:v>
      </x:c>
      <x:c r="D49" s="31" t="str">
        <x:v>國內</x:v>
      </x:c>
      <x:c r="E49" s="31" t="str">
        <x:v>110年第一次委託經營</x:v>
      </x:c>
      <x:c r="F49" s="31" t="str">
        <x:v>安聯</x:v>
      </x:c>
      <x:c r="G49" s="40" t="n">
        <x:v>8000000000</x:v>
      </x:c>
      <x:c r="H49" s="40" t="n">
        <x:v>21201075224</x:v>
      </x:c>
      <x:c r="I49" s="40" t="n">
        <x:v>-3302151519</x:v>
      </x:c>
      <x:c r="J49" s="31" t="str">
        <x:v>持續</x:v>
      </x:c>
      <x:c r="K49" s="31" t="str">
        <x:v>新臺幣元</x:v>
      </x:c>
      <x:c r="L49" s="43" t="n">
        <x:v>1.729</x:v>
      </x:c>
      <x:c r="M49" s="43" t="n">
        <x:v>0.2808</x:v>
      </x:c>
      <x:c r="N49" s="32" t="str">
        <x:v>勞工退休基金-115年7月.pdf</x:v>
      </x:c>
    </x:row>
    <x:row r="50">
      <x:c r="A50" s="37" t="n">
        <x:v>46204</x:v>
      </x:c>
      <x:c r="B50" s="31" t="str">
        <x:v>115年7月</x:v>
      </x:c>
      <x:c r="C50" s="31" t="str">
        <x:v>新制</x:v>
      </x:c>
      <x:c r="D50" s="31" t="str">
        <x:v>國內</x:v>
      </x:c>
      <x:c r="E50" s="31" t="str">
        <x:v>110年第一次委託經營</x:v>
      </x:c>
      <x:c r="F50" s="31" t="str">
        <x:v>玉山</x:v>
      </x:c>
      <x:c r="G50" s="40" t="n">
        <x:v>8000000000</x:v>
      </x:c>
      <x:c r="H50" s="40" t="n">
        <x:v>16562402836</x:v>
      </x:c>
      <x:c r="I50" s="40" t="n">
        <x:v>-3285455291</x:v>
      </x:c>
      <x:c r="J50" s="31" t="str">
        <x:v>持續</x:v>
      </x:c>
      <x:c r="K50" s="31" t="str">
        <x:v>新臺幣元</x:v>
      </x:c>
      <x:c r="L50" s="43" t="n">
        <x:v>1.111</x:v>
      </x:c>
      <x:c r="M50" s="43" t="n">
        <x:v>0.2808</x:v>
      </x:c>
      <x:c r="N50" s="32" t="str">
        <x:v>勞工退休基金-115年7月.pdf</x:v>
      </x:c>
    </x:row>
    <x:row r="51">
      <x:c r="A51" s="37" t="n">
        <x:v>46204</x:v>
      </x:c>
      <x:c r="B51" s="31" t="str">
        <x:v>115年7月</x:v>
      </x:c>
      <x:c r="C51" s="31" t="str">
        <x:v>新制</x:v>
      </x:c>
      <x:c r="D51" s="31" t="str">
        <x:v>國內</x:v>
      </x:c>
      <x:c r="E51" s="31" t="str">
        <x:v>110年第一次委託經營</x:v>
      </x:c>
      <x:c r="F51" s="31" t="str">
        <x:v>國泰</x:v>
      </x:c>
      <x:c r="G51" s="40" t="n">
        <x:v>8000000000</x:v>
      </x:c>
      <x:c r="H51" s="40" t="n">
        <x:v>20580006389</x:v>
      </x:c>
      <x:c r="I51" s="40" t="n">
        <x:v>-2300995758</x:v>
      </x:c>
      <x:c r="J51" s="31" t="str">
        <x:v>持續</x:v>
      </x:c>
      <x:c r="K51" s="31" t="str">
        <x:v>新臺幣元</x:v>
      </x:c>
      <x:c r="L51" s="43" t="n">
        <x:v>1.6996</x:v>
      </x:c>
      <x:c r="M51" s="43" t="n">
        <x:v>0.2808</x:v>
      </x:c>
      <x:c r="N51" s="32" t="str">
        <x:v>勞工退休基金-115年7月.pdf</x:v>
      </x:c>
    </x:row>
    <x:row r="52">
      <x:c r="A52" s="37" t="n">
        <x:v>46204</x:v>
      </x:c>
      <x:c r="B52" s="31" t="str">
        <x:v>115年7月</x:v>
      </x:c>
      <x:c r="C52" s="31" t="str">
        <x:v>新制</x:v>
      </x:c>
      <x:c r="D52" s="31" t="str">
        <x:v>國內</x:v>
      </x:c>
      <x:c r="E52" s="31" t="str">
        <x:v>110年第一次委託經營</x:v>
      </x:c>
      <x:c r="F52" s="31" t="str">
        <x:v>第一金</x:v>
      </x:c>
      <x:c r="G52" s="40" t="n">
        <x:v>8000000000</x:v>
      </x:c>
      <x:c r="H52" s="40" t="n">
        <x:v>17031604335</x:v>
      </x:c>
      <x:c r="I52" s="40" t="n">
        <x:v>-4051602044</x:v>
      </x:c>
      <x:c r="J52" s="31" t="str">
        <x:v>持續</x:v>
      </x:c>
      <x:c r="K52" s="31" t="str">
        <x:v>新臺幣元</x:v>
      </x:c>
      <x:c r="L52" s="43" t="n">
        <x:v>1.1247</x:v>
      </x:c>
      <x:c r="M52" s="43" t="n">
        <x:v>0.2808</x:v>
      </x:c>
      <x:c r="N52" s="32" t="str">
        <x:v>勞工退休基金-115年7月.pdf</x:v>
      </x:c>
    </x:row>
    <x:row r="53">
      <x:c r="A53" s="37" t="n">
        <x:v>46204</x:v>
      </x:c>
      <x:c r="B53" s="31" t="str">
        <x:v>115年7月</x:v>
      </x:c>
      <x:c r="C53" s="31" t="str">
        <x:v>新制</x:v>
      </x:c>
      <x:c r="D53" s="31" t="str">
        <x:v>國內</x:v>
      </x:c>
      <x:c r="E53" s="31" t="str">
        <x:v>110年第一次委託經營</x:v>
      </x:c>
      <x:c r="F53" s="31" t="str">
        <x:v>野村</x:v>
      </x:c>
      <x:c r="G53" s="40" t="n">
        <x:v>8000000000</x:v>
      </x:c>
      <x:c r="H53" s="40" t="n">
        <x:v>24613117899</x:v>
      </x:c>
      <x:c r="I53" s="40" t="n">
        <x:v>-3391873397</x:v>
      </x:c>
      <x:c r="J53" s="31" t="str">
        <x:v>持續</x:v>
      </x:c>
      <x:c r="K53" s="31" t="str">
        <x:v>新臺幣元</x:v>
      </x:c>
      <x:c r="L53" s="43" t="n">
        <x:v>2.1054</x:v>
      </x:c>
      <x:c r="M53" s="43" t="n">
        <x:v>0.2808</x:v>
      </x:c>
      <x:c r="N53" s="32" t="str">
        <x:v>勞工退休基金-115年7月.pdf</x:v>
      </x:c>
    </x:row>
    <x:row r="54">
      <x:c r="A54" s="37" t="n">
        <x:v>46204</x:v>
      </x:c>
      <x:c r="B54" s="31" t="str">
        <x:v>115年7月</x:v>
      </x:c>
      <x:c r="C54" s="31" t="str">
        <x:v>新制</x:v>
      </x:c>
      <x:c r="D54" s="31" t="str">
        <x:v>國內</x:v>
      </x:c>
      <x:c r="E54" s="31" t="str">
        <x:v>110年第一次委託經營</x:v>
      </x:c>
      <x:c r="F54" s="31" t="str">
        <x:v>富邦</x:v>
      </x:c>
      <x:c r="G54" s="40" t="n">
        <x:v>8000000000</x:v>
      </x:c>
      <x:c r="H54" s="40" t="n">
        <x:v>21079896694</x:v>
      </x:c>
      <x:c r="I54" s="40" t="n">
        <x:v>-3866696231</x:v>
      </x:c>
      <x:c r="J54" s="31" t="str">
        <x:v>持續</x:v>
      </x:c>
      <x:c r="K54" s="31" t="str">
        <x:v>新臺幣元</x:v>
      </x:c>
      <x:c r="L54" s="43" t="n">
        <x:v>1.6864</x:v>
      </x:c>
      <x:c r="M54" s="43" t="n">
        <x:v>0.2808</x:v>
      </x:c>
      <x:c r="N54" s="32" t="str">
        <x:v>勞工退休基金-115年7月.pdf</x:v>
      </x:c>
    </x:row>
    <x:row r="55">
      <x:c r="A55" s="37" t="n">
        <x:v>46204</x:v>
      </x:c>
      <x:c r="B55" s="31" t="str">
        <x:v>115年7月</x:v>
      </x:c>
      <x:c r="C55" s="31" t="str">
        <x:v>新制</x:v>
      </x:c>
      <x:c r="D55" s="31" t="str">
        <x:v>國內</x:v>
      </x:c>
      <x:c r="E55" s="31" t="str">
        <x:v>111年第一次委託經營</x:v>
      </x:c>
      <x:c r="F55" s="31" t="str">
        <x:v>安聯</x:v>
      </x:c>
      <x:c r="G55" s="40" t="n">
        <x:v>7000000000</x:v>
      </x:c>
      <x:c r="H55" s="40" t="n">
        <x:v>12706419190</x:v>
      </x:c>
      <x:c r="I55" s="40" t="n">
        <x:v>-1482204945</x:v>
      </x:c>
      <x:c r="J55" s="31" t="str">
        <x:v>持續</x:v>
      </x:c>
      <x:c r="K55" s="31" t="str">
        <x:v>新臺幣元</x:v>
      </x:c>
      <x:c r="L55" s="43" t="n">
        <x:v>1.0719</x:v>
      </x:c>
      <x:c r="M55" s="43" t="n">
        <x:v>0.1681</x:v>
      </x:c>
      <x:c r="N55" s="32" t="str">
        <x:v>勞工退休基金-115年7月.pdf</x:v>
      </x:c>
    </x:row>
    <x:row r="56">
      <x:c r="A56" s="37" t="n">
        <x:v>46204</x:v>
      </x:c>
      <x:c r="B56" s="31" t="str">
        <x:v>115年7月</x:v>
      </x:c>
      <x:c r="C56" s="31" t="str">
        <x:v>新制</x:v>
      </x:c>
      <x:c r="D56" s="31" t="str">
        <x:v>國內</x:v>
      </x:c>
      <x:c r="E56" s="31" t="str">
        <x:v>111年第一次委託經營</x:v>
      </x:c>
      <x:c r="F56" s="31" t="str">
        <x:v>施羅德</x:v>
      </x:c>
      <x:c r="G56" s="40" t="n">
        <x:v>7000000000</x:v>
      </x:c>
      <x:c r="H56" s="40" t="n">
        <x:v>18530231676</x:v>
      </x:c>
      <x:c r="I56" s="40" t="n">
        <x:v>-2892118189</x:v>
      </x:c>
      <x:c r="J56" s="31" t="str">
        <x:v>持續</x:v>
      </x:c>
      <x:c r="K56" s="31" t="str">
        <x:v>新臺幣元</x:v>
      </x:c>
      <x:c r="L56" s="43" t="n">
        <x:v>2.0507</x:v>
      </x:c>
      <x:c r="M56" s="43" t="n">
        <x:v>0.1681</x:v>
      </x:c>
      <x:c r="N56" s="32" t="str">
        <x:v>勞工退休基金-115年7月.pdf</x:v>
      </x:c>
    </x:row>
    <x:row r="57">
      <x:c r="A57" s="37" t="n">
        <x:v>46204</x:v>
      </x:c>
      <x:c r="B57" s="31" t="str">
        <x:v>115年7月</x:v>
      </x:c>
      <x:c r="C57" s="31" t="str">
        <x:v>新制</x:v>
      </x:c>
      <x:c r="D57" s="31" t="str">
        <x:v>國內</x:v>
      </x:c>
      <x:c r="E57" s="31" t="str">
        <x:v>111年第一次委託經營</x:v>
      </x:c>
      <x:c r="F57" s="31" t="str">
        <x:v>國泰</x:v>
      </x:c>
      <x:c r="G57" s="40" t="n">
        <x:v>7000000000</x:v>
      </x:c>
      <x:c r="H57" s="40" t="n">
        <x:v>15293632896</x:v>
      </x:c>
      <x:c r="I57" s="40" t="n">
        <x:v>-3134839058</x:v>
      </x:c>
      <x:c r="J57" s="31" t="str">
        <x:v>持續</x:v>
      </x:c>
      <x:c r="K57" s="31" t="str">
        <x:v>新臺幣元</x:v>
      </x:c>
      <x:c r="L57" s="43" t="n">
        <x:v>1.6005</x:v>
      </x:c>
      <x:c r="M57" s="43" t="n">
        <x:v>0.1681</x:v>
      </x:c>
      <x:c r="N57" s="32" t="str">
        <x:v>勞工退休基金-115年7月.pdf</x:v>
      </x:c>
    </x:row>
    <x:row r="58">
      <x:c r="A58" s="37" t="n">
        <x:v>46204</x:v>
      </x:c>
      <x:c r="B58" s="31" t="str">
        <x:v>115年7月</x:v>
      </x:c>
      <x:c r="C58" s="31" t="str">
        <x:v>新制</x:v>
      </x:c>
      <x:c r="D58" s="31" t="str">
        <x:v>國內</x:v>
      </x:c>
      <x:c r="E58" s="31" t="str">
        <x:v>111年第一次委託經營</x:v>
      </x:c>
      <x:c r="F58" s="31" t="str">
        <x:v>第一金</x:v>
      </x:c>
      <x:c r="G58" s="40" t="n">
        <x:v>7000000000</x:v>
      </x:c>
      <x:c r="H58" s="40" t="n">
        <x:v>15089595873</x:v>
      </x:c>
      <x:c r="I58" s="40" t="n">
        <x:v>-3597316692</x:v>
      </x:c>
      <x:c r="J58" s="31" t="str">
        <x:v>持續</x:v>
      </x:c>
      <x:c r="K58" s="31" t="str">
        <x:v>新臺幣元</x:v>
      </x:c>
      <x:c r="L58" s="43" t="n">
        <x:v>1.1255</x:v>
      </x:c>
      <x:c r="M58" s="43" t="n">
        <x:v>0.1681</x:v>
      </x:c>
      <x:c r="N58" s="32" t="str">
        <x:v>勞工退休基金-115年7月.pdf</x:v>
      </x:c>
    </x:row>
    <x:row r="59">
      <x:c r="A59" s="37" t="n">
        <x:v>46204</x:v>
      </x:c>
      <x:c r="B59" s="31" t="str">
        <x:v>115年7月</x:v>
      </x:c>
      <x:c r="C59" s="31" t="str">
        <x:v>新制</x:v>
      </x:c>
      <x:c r="D59" s="31" t="str">
        <x:v>國內</x:v>
      </x:c>
      <x:c r="E59" s="31" t="str">
        <x:v>111年第一次委託經營</x:v>
      </x:c>
      <x:c r="F59" s="31" t="str">
        <x:v>野村</x:v>
      </x:c>
      <x:c r="G59" s="40" t="n">
        <x:v>7000000000</x:v>
      </x:c>
      <x:c r="H59" s="40" t="n">
        <x:v>19452951069</x:v>
      </x:c>
      <x:c r="I59" s="40" t="n">
        <x:v>-2986864821</x:v>
      </x:c>
      <x:c r="J59" s="31" t="str">
        <x:v>持續</x:v>
      </x:c>
      <x:c r="K59" s="31" t="str">
        <x:v>新臺幣元</x:v>
      </x:c>
      <x:c r="L59" s="43" t="n">
        <x:v>2.1375</x:v>
      </x:c>
      <x:c r="M59" s="43" t="n">
        <x:v>0.1681</x:v>
      </x:c>
      <x:c r="N59" s="32" t="str">
        <x:v>勞工退休基金-115年7月.pdf</x:v>
      </x:c>
    </x:row>
    <x:row r="60">
      <x:c r="A60" s="37" t="n">
        <x:v>46204</x:v>
      </x:c>
      <x:c r="B60" s="31" t="str">
        <x:v>115年7月</x:v>
      </x:c>
      <x:c r="C60" s="31" t="str">
        <x:v>新制</x:v>
      </x:c>
      <x:c r="D60" s="31" t="str">
        <x:v>國內</x:v>
      </x:c>
      <x:c r="E60" s="31" t="str">
        <x:v>111年第一次委託經營</x:v>
      </x:c>
      <x:c r="F60" s="31" t="str">
        <x:v>華南永昌</x:v>
      </x:c>
      <x:c r="G60" s="40" t="n">
        <x:v>7000000000</x:v>
      </x:c>
      <x:c r="H60" s="40" t="n">
        <x:v>9121413882</x:v>
      </x:c>
      <x:c r="I60" s="40" t="n">
        <x:v>-3054589966</x:v>
      </x:c>
      <x:c r="J60" s="31" t="str">
        <x:v>持續</x:v>
      </x:c>
      <x:c r="K60" s="31" t="str">
        <x:v>新臺幣元</x:v>
      </x:c>
      <x:c r="L60" s="43" t="n">
        <x:v>0.40130000000000005</x:v>
      </x:c>
      <x:c r="M60" s="43" t="n">
        <x:v>0.1681</x:v>
      </x:c>
      <x:c r="N60" s="32" t="str">
        <x:v>勞工退休基金-115年7月.pdf</x:v>
      </x:c>
    </x:row>
    <x:row r="61">
      <x:c r="A61" s="37" t="n">
        <x:v>46204</x:v>
      </x:c>
      <x:c r="B61" s="31" t="str">
        <x:v>115年7月</x:v>
      </x:c>
      <x:c r="C61" s="31" t="str">
        <x:v>新制</x:v>
      </x:c>
      <x:c r="D61" s="31" t="str">
        <x:v>國內</x:v>
      </x:c>
      <x:c r="E61" s="31" t="str">
        <x:v>111年第一次委託經營</x:v>
      </x:c>
      <x:c r="F61" s="31" t="str">
        <x:v>滙豐</x:v>
      </x:c>
      <x:c r="G61" s="40" t="n">
        <x:v>7000000000</x:v>
      </x:c>
      <x:c r="H61" s="40" t="n">
        <x:v>14552780847</x:v>
      </x:c>
      <x:c r="I61" s="40" t="n">
        <x:v>-1793710777</x:v>
      </x:c>
      <x:c r="J61" s="31" t="str">
        <x:v>持續</x:v>
      </x:c>
      <x:c r="K61" s="31" t="str">
        <x:v>新臺幣元</x:v>
      </x:c>
      <x:c r="L61" s="43" t="n">
        <x:v>1.3118</x:v>
      </x:c>
      <x:c r="M61" s="43" t="n">
        <x:v>0.1681</x:v>
      </x:c>
      <x:c r="N61" s="32" t="str">
        <x:v>勞工退休基金-115年7月.pdf</x:v>
      </x:c>
    </x:row>
    <x:row r="62">
      <x:c r="A62" s="37" t="n">
        <x:v>46204</x:v>
      </x:c>
      <x:c r="B62" s="31" t="str">
        <x:v>115年7月</x:v>
      </x:c>
      <x:c r="C62" s="31" t="str">
        <x:v>新制</x:v>
      </x:c>
      <x:c r="D62" s="31" t="str">
        <x:v>國內</x:v>
      </x:c>
      <x:c r="E62" s="31" t="str">
        <x:v>112年第一次委託經營(相對報酬)</x:v>
      </x:c>
      <x:c r="F62" s="31" t="str">
        <x:v>安聯</x:v>
      </x:c>
      <x:c r="G62" s="40" t="n">
        <x:v>9000000000</x:v>
      </x:c>
      <x:c r="H62" s="40" t="n">
        <x:v>13507194558</x:v>
      </x:c>
      <x:c r="I62" s="40" t="n">
        <x:v>2841307175</x:v>
      </x:c>
      <x:c r="J62" s="31" t="str">
        <x:v>持續</x:v>
      </x:c>
      <x:c r="K62" s="31" t="str">
        <x:v>新臺幣元</x:v>
      </x:c>
      <x:c r="L62" s="43" t="n">
        <x:v>1.5</x:v>
      </x:c>
      <x:c r="M62" s="43" t="n">
        <x:v>1.1673</x:v>
      </x:c>
      <x:c r="N62" s="32" t="str">
        <x:v>勞工退休基金-115年7月.pdf</x:v>
      </x:c>
    </x:row>
    <x:row r="63">
      <x:c r="A63" s="37" t="n">
        <x:v>46204</x:v>
      </x:c>
      <x:c r="B63" s="31" t="str">
        <x:v>115年7月</x:v>
      </x:c>
      <x:c r="C63" s="31" t="str">
        <x:v>新制</x:v>
      </x:c>
      <x:c r="D63" s="31" t="str">
        <x:v>國內</x:v>
      </x:c>
      <x:c r="E63" s="31" t="str">
        <x:v>112年第一次委託經營(相對報酬)</x:v>
      </x:c>
      <x:c r="F63" s="31" t="str">
        <x:v>兆豐國際</x:v>
      </x:c>
      <x:c r="G63" s="40" t="n">
        <x:v>9000000000</x:v>
      </x:c>
      <x:c r="H63" s="40" t="n">
        <x:v>12874751853</x:v>
      </x:c>
      <x:c r="I63" s="40" t="n">
        <x:v>3138260899</x:v>
      </x:c>
      <x:c r="J63" s="31" t="str">
        <x:v>持續</x:v>
      </x:c>
      <x:c r="K63" s="31" t="str">
        <x:v>新臺幣元</x:v>
      </x:c>
      <x:c r="L63" s="43" t="n">
        <x:v>1.2703</x:v>
      </x:c>
      <x:c r="M63" s="43" t="n">
        <x:v>1.1673</x:v>
      </x:c>
      <x:c r="N63" s="32" t="str">
        <x:v>勞工退休基金-115年7月.pdf</x:v>
      </x:c>
    </x:row>
    <x:row r="64">
      <x:c r="A64" s="37" t="n">
        <x:v>46204</x:v>
      </x:c>
      <x:c r="B64" s="31" t="str">
        <x:v>115年7月</x:v>
      </x:c>
      <x:c r="C64" s="31" t="str">
        <x:v>新制</x:v>
      </x:c>
      <x:c r="D64" s="31" t="str">
        <x:v>國內</x:v>
      </x:c>
      <x:c r="E64" s="31" t="str">
        <x:v>112年第一次委託經營(相對報酬)</x:v>
      </x:c>
      <x:c r="F64" s="31" t="str">
        <x:v>宏利</x:v>
      </x:c>
      <x:c r="G64" s="40" t="n">
        <x:v>9000000000</x:v>
      </x:c>
      <x:c r="H64" s="40" t="n">
        <x:v>13017408018</x:v>
      </x:c>
      <x:c r="I64" s="40" t="n">
        <x:v>2815123461</x:v>
      </x:c>
      <x:c r="J64" s="31" t="str">
        <x:v>持續</x:v>
      </x:c>
      <x:c r="K64" s="31" t="str">
        <x:v>新臺幣元</x:v>
      </x:c>
      <x:c r="L64" s="43" t="n">
        <x:v>1.2777</x:v>
      </x:c>
      <x:c r="M64" s="43" t="n">
        <x:v>1.1673</x:v>
      </x:c>
      <x:c r="N64" s="32" t="str">
        <x:v>勞工退休基金-115年7月.pdf</x:v>
      </x:c>
    </x:row>
    <x:row r="65">
      <x:c r="A65" s="37" t="n">
        <x:v>46204</x:v>
      </x:c>
      <x:c r="B65" s="31" t="str">
        <x:v>115年7月</x:v>
      </x:c>
      <x:c r="C65" s="31" t="str">
        <x:v>新制</x:v>
      </x:c>
      <x:c r="D65" s="31" t="str">
        <x:v>國內</x:v>
      </x:c>
      <x:c r="E65" s="31" t="str">
        <x:v>112年第一次委託經營(相對報酬)</x:v>
      </x:c>
      <x:c r="F65" s="31" t="str">
        <x:v>施羅德</x:v>
      </x:c>
      <x:c r="G65" s="40" t="n">
        <x:v>9000000000</x:v>
      </x:c>
      <x:c r="H65" s="40" t="n">
        <x:v>12735007874</x:v>
      </x:c>
      <x:c r="I65" s="40" t="n">
        <x:v>2937317022</x:v>
      </x:c>
      <x:c r="J65" s="31" t="str">
        <x:v>持續</x:v>
      </x:c>
      <x:c r="K65" s="31" t="str">
        <x:v>新臺幣元</x:v>
      </x:c>
      <x:c r="L65" s="43" t="n">
        <x:v>1.1823000000000001</x:v>
      </x:c>
      <x:c r="M65" s="43" t="n">
        <x:v>1.1673</x:v>
      </x:c>
      <x:c r="N65" s="32" t="str">
        <x:v>勞工退休基金-115年7月.pdf</x:v>
      </x:c>
    </x:row>
    <x:row r="66">
      <x:c r="A66" s="37" t="n">
        <x:v>46204</x:v>
      </x:c>
      <x:c r="B66" s="31" t="str">
        <x:v>115年7月</x:v>
      </x:c>
      <x:c r="C66" s="31" t="str">
        <x:v>新制</x:v>
      </x:c>
      <x:c r="D66" s="31" t="str">
        <x:v>國內</x:v>
      </x:c>
      <x:c r="E66" s="31" t="str">
        <x:v>112年第一次委託經營(相對報酬)</x:v>
      </x:c>
      <x:c r="F66" s="31" t="str">
        <x:v>野村</x:v>
      </x:c>
      <x:c r="G66" s="40" t="n">
        <x:v>9000000000</x:v>
      </x:c>
      <x:c r="H66" s="40" t="n">
        <x:v>12823234724</x:v>
      </x:c>
      <x:c r="I66" s="40" t="n">
        <x:v>3025246858</x:v>
      </x:c>
      <x:c r="J66" s="31" t="str">
        <x:v>持續</x:v>
      </x:c>
      <x:c r="K66" s="31" t="str">
        <x:v>新臺幣元</x:v>
      </x:c>
      <x:c r="L66" s="43" t="n">
        <x:v>1.2054</x:v>
      </x:c>
      <x:c r="M66" s="43" t="n">
        <x:v>1.1673</x:v>
      </x:c>
      <x:c r="N66" s="32" t="str">
        <x:v>勞工退休基金-115年7月.pdf</x:v>
      </x:c>
    </x:row>
    <x:row r="67">
      <x:c r="A67" s="37" t="n">
        <x:v>46204</x:v>
      </x:c>
      <x:c r="B67" s="31" t="str">
        <x:v>115年7月</x:v>
      </x:c>
      <x:c r="C67" s="31" t="str">
        <x:v>新制</x:v>
      </x:c>
      <x:c r="D67" s="31" t="str">
        <x:v>國內</x:v>
      </x:c>
      <x:c r="E67" s="31" t="str">
        <x:v>112年第一次委託經營(相對報酬)</x:v>
      </x:c>
      <x:c r="F67" s="31" t="str">
        <x:v>JPMorgan（國內）</x:v>
      </x:c>
      <x:c r="G67" s="40" t="n">
        <x:v>9000000000</x:v>
      </x:c>
      <x:c r="H67" s="40" t="n">
        <x:v>12903392256</x:v>
      </x:c>
      <x:c r="I67" s="40" t="n">
        <x:v>2886045448</x:v>
      </x:c>
      <x:c r="J67" s="31" t="str">
        <x:v>持續</x:v>
      </x:c>
      <x:c r="K67" s="31" t="str">
        <x:v>新臺幣元</x:v>
      </x:c>
      <x:c r="L67" s="43" t="n">
        <x:v>1.2443</x:v>
      </x:c>
      <x:c r="M67" s="43" t="n">
        <x:v>1.1673</x:v>
      </x:c>
      <x:c r="N67" s="32" t="str">
        <x:v>勞工退休基金-115年7月.pdf</x:v>
      </x:c>
    </x:row>
    <x:row r="68">
      <x:c r="A68" s="37" t="n">
        <x:v>46204</x:v>
      </x:c>
      <x:c r="B68" s="31" t="str">
        <x:v>115年7月</x:v>
      </x:c>
      <x:c r="C68" s="31" t="str">
        <x:v>新制</x:v>
      </x:c>
      <x:c r="D68" s="31" t="str">
        <x:v>國內</x:v>
      </x:c>
      <x:c r="E68" s="31" t="str">
        <x:v>113年第一次委託經營</x:v>
      </x:c>
      <x:c r="F68" s="31" t="str">
        <x:v>安聯</x:v>
      </x:c>
      <x:c r="G68" s="40" t="n">
        <x:v>9000000000</x:v>
      </x:c>
      <x:c r="H68" s="40" t="n">
        <x:v>12279463586</x:v>
      </x:c>
      <x:c r="I68" s="40" t="n">
        <x:v>-1996133443</x:v>
      </x:c>
      <x:c r="J68" s="31" t="str">
        <x:v>持續</x:v>
      </x:c>
      <x:c r="K68" s="31" t="str">
        <x:v>新臺幣元</x:v>
      </x:c>
      <x:c r="L68" s="43" t="n">
        <x:v>0.46659999999999996</x:v>
      </x:c>
      <x:c r="M68" s="43" t="n">
        <x:v>0.0444</x:v>
      </x:c>
      <x:c r="N68" s="32" t="str">
        <x:v>勞工退休基金-115年7月.pdf</x:v>
      </x:c>
    </x:row>
    <x:row r="69">
      <x:c r="A69" s="37" t="n">
        <x:v>46204</x:v>
      </x:c>
      <x:c r="B69" s="31" t="str">
        <x:v>115年7月</x:v>
      </x:c>
      <x:c r="C69" s="31" t="str">
        <x:v>新制</x:v>
      </x:c>
      <x:c r="D69" s="31" t="str">
        <x:v>國內</x:v>
      </x:c>
      <x:c r="E69" s="31" t="str">
        <x:v>113年第一次委託經營</x:v>
      </x:c>
      <x:c r="F69" s="31" t="str">
        <x:v>貝萊德</x:v>
      </x:c>
      <x:c r="G69" s="40" t="n">
        <x:v>9000000000</x:v>
      </x:c>
      <x:c r="H69" s="40" t="n">
        <x:v>13053425511</x:v>
      </x:c>
      <x:c r="I69" s="40" t="n">
        <x:v>-1809935991</x:v>
      </x:c>
      <x:c r="J69" s="31" t="str">
        <x:v>持續</x:v>
      </x:c>
      <x:c r="K69" s="31" t="str">
        <x:v>新臺幣元</x:v>
      </x:c>
      <x:c r="L69" s="43" t="n">
        <x:v>0.5784</x:v>
      </x:c>
      <x:c r="M69" s="43" t="n">
        <x:v>0.0444</x:v>
      </x:c>
      <x:c r="N69" s="32" t="str">
        <x:v>勞工退休基金-115年7月.pdf</x:v>
      </x:c>
    </x:row>
    <x:row r="70">
      <x:c r="A70" s="37" t="n">
        <x:v>46204</x:v>
      </x:c>
      <x:c r="B70" s="31" t="str">
        <x:v>115年7月</x:v>
      </x:c>
      <x:c r="C70" s="31" t="str">
        <x:v>新制</x:v>
      </x:c>
      <x:c r="D70" s="31" t="str">
        <x:v>國內</x:v>
      </x:c>
      <x:c r="E70" s="31" t="str">
        <x:v>113年第一次委託經營</x:v>
      </x:c>
      <x:c r="F70" s="31" t="str">
        <x:v>施羅德</x:v>
      </x:c>
      <x:c r="G70" s="40" t="n">
        <x:v>9000000000</x:v>
      </x:c>
      <x:c r="H70" s="40" t="n">
        <x:v>13497748336</x:v>
      </x:c>
      <x:c r="I70" s="40" t="n">
        <x:v>-2075471315</x:v>
      </x:c>
      <x:c r="J70" s="31" t="str">
        <x:v>持續</x:v>
      </x:c>
      <x:c r="K70" s="31" t="str">
        <x:v>新臺幣元</x:v>
      </x:c>
      <x:c r="L70" s="43" t="n">
        <x:v>0.6163000000000001</x:v>
      </x:c>
      <x:c r="M70" s="43" t="n">
        <x:v>0.0444</x:v>
      </x:c>
      <x:c r="N70" s="32" t="str">
        <x:v>勞工退休基金-115年7月.pdf</x:v>
      </x:c>
    </x:row>
    <x:row r="71">
      <x:c r="A71" s="37" t="n">
        <x:v>46204</x:v>
      </x:c>
      <x:c r="B71" s="31" t="str">
        <x:v>115年7月</x:v>
      </x:c>
      <x:c r="C71" s="31" t="str">
        <x:v>新制</x:v>
      </x:c>
      <x:c r="D71" s="31" t="str">
        <x:v>國內</x:v>
      </x:c>
      <x:c r="E71" s="31" t="str">
        <x:v>113年第一次委託經營</x:v>
      </x:c>
      <x:c r="F71" s="31" t="str">
        <x:v>野村</x:v>
      </x:c>
      <x:c r="G71" s="40" t="n">
        <x:v>9000000000</x:v>
      </x:c>
      <x:c r="H71" s="40" t="n">
        <x:v>12623775612</x:v>
      </x:c>
      <x:c r="I71" s="40" t="n">
        <x:v>-2086726212</x:v>
      </x:c>
      <x:c r="J71" s="31" t="str">
        <x:v>持續</x:v>
      </x:c>
      <x:c r="K71" s="31" t="str">
        <x:v>新臺幣元</x:v>
      </x:c>
      <x:c r="L71" s="43" t="n">
        <x:v>0.5424</x:v>
      </x:c>
      <x:c r="M71" s="43" t="n">
        <x:v>0.0444</x:v>
      </x:c>
      <x:c r="N71" s="32" t="str">
        <x:v>勞工退休基金-115年7月.pdf</x:v>
      </x:c>
    </x:row>
    <x:row r="72">
      <x:c r="A72" s="37" t="n">
        <x:v>46204</x:v>
      </x:c>
      <x:c r="B72" s="31" t="str">
        <x:v>115年7月</x:v>
      </x:c>
      <x:c r="C72" s="31" t="str">
        <x:v>新制</x:v>
      </x:c>
      <x:c r="D72" s="31" t="str">
        <x:v>國內</x:v>
      </x:c>
      <x:c r="E72" s="31" t="str">
        <x:v>113年第一次委託經營</x:v>
      </x:c>
      <x:c r="F72" s="31" t="str">
        <x:v>JPMorgan（國內）</x:v>
      </x:c>
      <x:c r="G72" s="40" t="n">
        <x:v>9000000000</x:v>
      </x:c>
      <x:c r="H72" s="40" t="n">
        <x:v>13042654095</x:v>
      </x:c>
      <x:c r="I72" s="40" t="n">
        <x:v>-1703940444</x:v>
      </x:c>
      <x:c r="J72" s="31" t="str">
        <x:v>持續</x:v>
      </x:c>
      <x:c r="K72" s="31" t="str">
        <x:v>新臺幣元</x:v>
      </x:c>
      <x:c r="L72" s="43" t="n">
        <x:v>0.5698</x:v>
      </x:c>
      <x:c r="M72" s="43" t="n">
        <x:v>0.0444</x:v>
      </x:c>
      <x:c r="N72" s="32" t="str">
        <x:v>勞工退休基金-115年7月.pdf</x:v>
      </x:c>
    </x:row>
    <x:row r="73">
      <x:c r="A73" s="37" t="n">
        <x:v>46204</x:v>
      </x:c>
      <x:c r="B73" s="31" t="str">
        <x:v>115年7月</x:v>
      </x:c>
      <x:c r="C73" s="31" t="str">
        <x:v>新制</x:v>
      </x:c>
      <x:c r="D73" s="31" t="str">
        <x:v>國內</x:v>
      </x:c>
      <x:c r="E73" s="31" t="str">
        <x:v>114年第一次委託經營</x:v>
      </x:c>
      <x:c r="F73" s="31" t="str">
        <x:v>元大</x:v>
      </x:c>
      <x:c r="G73" s="40" t="n">
        <x:v>5000000000</x:v>
      </x:c>
      <x:c r="H73" s="40" t="n">
        <x:v>4902240425</x:v>
      </x:c>
      <x:c r="I73" s="40" t="n">
        <x:v>3357707657</x:v>
      </x:c>
      <x:c r="J73" s="31" t="str">
        <x:v>持續</x:v>
      </x:c>
      <x:c r="K73" s="31" t="str">
        <x:v>新臺幣元</x:v>
      </x:c>
      <x:c r="L73" s="43" t="n">
        <x:v>-0.0526</x:v>
      </x:c>
      <x:c r="M73" s="43"/>
      <x:c r="N73" s="32" t="str">
        <x:v>勞工退休基金-115年7月.pdf</x:v>
      </x:c>
    </x:row>
    <x:row r="74">
      <x:c r="A74" s="37" t="n">
        <x:v>46204</x:v>
      </x:c>
      <x:c r="B74" s="31" t="str">
        <x:v>115年7月</x:v>
      </x:c>
      <x:c r="C74" s="31" t="str">
        <x:v>舊制</x:v>
      </x:c>
      <x:c r="D74" s="31" t="str">
        <x:v>國內</x:v>
      </x:c>
      <x:c r="E74" s="31" t="str">
        <x:v>國內98年第二次委託經營(續約5)</x:v>
      </x:c>
      <x:c r="F74" s="31" t="str">
        <x:v>富邦</x:v>
      </x:c>
      <x:c r="G74" s="40" t="n">
        <x:v>15603507854</x:v>
      </x:c>
      <x:c r="H74" s="40" t="n">
        <x:v>32320138788</x:v>
      </x:c>
      <x:c r="I74" s="40" t="n">
        <x:v>-6039242500</x:v>
      </x:c>
      <x:c r="J74" s="31" t="str">
        <x:v>持續</x:v>
      </x:c>
      <x:c r="K74" s="31" t="str">
        <x:v>新臺幣元</x:v>
      </x:c>
      <x:c r="L74" s="43" t="n">
        <x:v>1.0713</x:v>
      </x:c>
      <x:c r="M74" s="43" t="n">
        <x:v>0.0947</x:v>
      </x:c>
      <x:c r="N74" s="32" t="str">
        <x:v>勞工退休基金-115年7月.pdf</x:v>
      </x:c>
    </x:row>
    <x:row r="75">
      <x:c r="A75" s="37" t="n">
        <x:v>46204</x:v>
      </x:c>
      <x:c r="B75" s="31" t="str">
        <x:v>115年7月</x:v>
      </x:c>
      <x:c r="C75" s="31" t="str">
        <x:v>舊制</x:v>
      </x:c>
      <x:c r="D75" s="31" t="str">
        <x:v>國內</x:v>
      </x:c>
      <x:c r="E75" s="31" t="str">
        <x:v>國內98年第二次委託經營(續約5)</x:v>
      </x:c>
      <x:c r="F75" s="31" t="str">
        <x:v>統一</x:v>
      </x:c>
      <x:c r="G75" s="40" t="n">
        <x:v>13492877440</x:v>
      </x:c>
      <x:c r="H75" s="40" t="n">
        <x:v>26790911817</x:v>
      </x:c>
      <x:c r="I75" s="40" t="n">
        <x:v>-5561557655</x:v>
      </x:c>
      <x:c r="J75" s="31" t="str">
        <x:v>持續</x:v>
      </x:c>
      <x:c r="K75" s="31" t="str">
        <x:v>新臺幣元</x:v>
      </x:c>
      <x:c r="L75" s="43" t="n">
        <x:v>0.9856</x:v>
      </x:c>
      <x:c r="M75" s="43" t="n">
        <x:v>0.0947</x:v>
      </x:c>
      <x:c r="N75" s="32" t="str">
        <x:v>勞工退休基金-115年7月.pdf</x:v>
      </x:c>
    </x:row>
    <x:row r="76">
      <x:c r="A76" s="37" t="n">
        <x:v>46204</x:v>
      </x:c>
      <x:c r="B76" s="31" t="str">
        <x:v>115年7月</x:v>
      </x:c>
      <x:c r="C76" s="31" t="str">
        <x:v>舊制</x:v>
      </x:c>
      <x:c r="D76" s="31" t="str">
        <x:v>國內</x:v>
      </x:c>
      <x:c r="E76" s="31" t="str">
        <x:v>國內101年第一次委託經營(相對報酬)(續約3)</x:v>
      </x:c>
      <x:c r="F76" s="31" t="str">
        <x:v>滙豐</x:v>
      </x:c>
      <x:c r="G76" s="40" t="n">
        <x:v>6530798735</x:v>
      </x:c>
      <x:c r="H76" s="40" t="n">
        <x:v>13425179562</x:v>
      </x:c>
      <x:c r="I76" s="40" t="n">
        <x:v>-918698815</x:v>
      </x:c>
      <x:c r="J76" s="31" t="str">
        <x:v>持續</x:v>
      </x:c>
      <x:c r="K76" s="31" t="str">
        <x:v>新臺幣元</x:v>
      </x:c>
      <x:c r="L76" s="43" t="n">
        <x:v>1.0556999999999999</x:v>
      </x:c>
      <x:c r="M76" s="43" t="n">
        <x:v>0.9778</x:v>
      </x:c>
      <x:c r="N76" s="32" t="str">
        <x:v>勞工退休基金-115年7月.pdf</x:v>
      </x:c>
    </x:row>
    <x:row r="77">
      <x:c r="A77" s="37" t="n">
        <x:v>46204</x:v>
      </x:c>
      <x:c r="B77" s="31" t="str">
        <x:v>115年7月</x:v>
      </x:c>
      <x:c r="C77" s="31" t="str">
        <x:v>舊制</x:v>
      </x:c>
      <x:c r="D77" s="31" t="str">
        <x:v>國內</x:v>
      </x:c>
      <x:c r="E77" s="31" t="str">
        <x:v>國內101年第二次委託經營(續約3)</x:v>
      </x:c>
      <x:c r="F77" s="31" t="str">
        <x:v>野村</x:v>
      </x:c>
      <x:c r="G77" s="40" t="n">
        <x:v>27357530009</x:v>
      </x:c>
      <x:c r="H77" s="40" t="n">
        <x:v>78465559204</x:v>
      </x:c>
      <x:c r="I77" s="40" t="n">
        <x:v>-11765906915</x:v>
      </x:c>
      <x:c r="J77" s="31" t="str">
        <x:v>持續</x:v>
      </x:c>
      <x:c r="K77" s="31" t="str">
        <x:v>新臺幣元</x:v>
      </x:c>
      <x:c r="L77" s="43" t="n">
        <x:v>1.8681999999999999</x:v>
      </x:c>
      <x:c r="M77" s="43" t="n">
        <x:v>0.132</x:v>
      </x:c>
      <x:c r="N77" s="32" t="str">
        <x:v>勞工退休基金-115年7月.pdf</x:v>
      </x:c>
    </x:row>
    <x:row r="78">
      <x:c r="A78" s="37" t="n">
        <x:v>46204</x:v>
      </x:c>
      <x:c r="B78" s="31" t="str">
        <x:v>115年7月</x:v>
      </x:c>
      <x:c r="C78" s="31" t="str">
        <x:v>舊制</x:v>
      </x:c>
      <x:c r="D78" s="31" t="str">
        <x:v>國內</x:v>
      </x:c>
      <x:c r="E78" s="31" t="str">
        <x:v>國內104年第一次委託經營(續約2)</x:v>
      </x:c>
      <x:c r="F78" s="31" t="str">
        <x:v>復華</x:v>
      </x:c>
      <x:c r="G78" s="40" t="n">
        <x:v>4800107976</x:v>
      </x:c>
      <x:c r="H78" s="40" t="n">
        <x:v>12931832350</x:v>
      </x:c>
      <x:c r="I78" s="40" t="n">
        <x:v>-2713291289</x:v>
      </x:c>
      <x:c r="J78" s="31" t="str">
        <x:v>持續</x:v>
      </x:c>
      <x:c r="K78" s="31" t="str">
        <x:v>新臺幣元</x:v>
      </x:c>
      <x:c r="L78" s="43" t="n">
        <x:v>1.6941</x:v>
      </x:c>
      <x:c r="M78" s="43" t="n">
        <x:v>0.1998</x:v>
      </x:c>
      <x:c r="N78" s="32" t="str">
        <x:v>勞工退休基金-115年7月.pdf</x:v>
      </x:c>
    </x:row>
    <x:row r="79">
      <x:c r="A79" s="37" t="n">
        <x:v>46204</x:v>
      </x:c>
      <x:c r="B79" s="31" t="str">
        <x:v>115年7月</x:v>
      </x:c>
      <x:c r="C79" s="31" t="str">
        <x:v>舊制</x:v>
      </x:c>
      <x:c r="D79" s="31" t="str">
        <x:v>國內</x:v>
      </x:c>
      <x:c r="E79" s="31" t="str">
        <x:v>國內104年第一次委託經營(續約2)</x:v>
      </x:c>
      <x:c r="F79" s="31" t="str">
        <x:v>安聯</x:v>
      </x:c>
      <x:c r="G79" s="40" t="n">
        <x:v>2601947821</x:v>
      </x:c>
      <x:c r="H79" s="40" t="n">
        <x:v>6928377916</x:v>
      </x:c>
      <x:c r="I79" s="40" t="n">
        <x:v>-898102998</x:v>
      </x:c>
      <x:c r="J79" s="31" t="str">
        <x:v>持續</x:v>
      </x:c>
      <x:c r="K79" s="31" t="str">
        <x:v>新臺幣元</x:v>
      </x:c>
      <x:c r="L79" s="43" t="n">
        <x:v>1.1693</x:v>
      </x:c>
      <x:c r="M79" s="43" t="n">
        <x:v>0.1998</x:v>
      </x:c>
      <x:c r="N79" s="32" t="str">
        <x:v>勞工退休基金-115年7月.pdf</x:v>
      </x:c>
    </x:row>
    <x:row r="80">
      <x:c r="A80" s="37" t="n">
        <x:v>46204</x:v>
      </x:c>
      <x:c r="B80" s="31" t="str">
        <x:v>115年7月</x:v>
      </x:c>
      <x:c r="C80" s="31" t="str">
        <x:v>舊制</x:v>
      </x:c>
      <x:c r="D80" s="31" t="str">
        <x:v>國內</x:v>
      </x:c>
      <x:c r="E80" s="31" t="str">
        <x:v>國內106年第一次委託經營(續約)</x:v>
      </x:c>
      <x:c r="F80" s="31" t="str">
        <x:v>安聯</x:v>
      </x:c>
      <x:c r="G80" s="40" t="n">
        <x:v>15089937312</x:v>
      </x:c>
      <x:c r="H80" s="40" t="n">
        <x:v>44451751213</x:v>
      </x:c>
      <x:c r="I80" s="40" t="n">
        <x:v>-6906493455</x:v>
      </x:c>
      <x:c r="J80" s="31" t="str">
        <x:v>持續</x:v>
      </x:c>
      <x:c r="K80" s="31" t="str">
        <x:v>新臺幣元</x:v>
      </x:c>
      <x:c r="L80" s="43" t="n">
        <x:v>2.0039</x:v>
      </x:c>
      <x:c r="M80" s="43" t="n">
        <x:v>0.21</x:v>
      </x:c>
      <x:c r="N80" s="32" t="str">
        <x:v>勞工退休基金-115年7月.pdf</x:v>
      </x:c>
    </x:row>
    <x:row r="81">
      <x:c r="A81" s="37" t="n">
        <x:v>46204</x:v>
      </x:c>
      <x:c r="B81" s="31" t="str">
        <x:v>115年7月</x:v>
      </x:c>
      <x:c r="C81" s="31" t="str">
        <x:v>舊制</x:v>
      </x:c>
      <x:c r="D81" s="31" t="str">
        <x:v>國內</x:v>
      </x:c>
      <x:c r="E81" s="31" t="str">
        <x:v>國內106年第一次委託經營(續約)</x:v>
      </x:c>
      <x:c r="F81" s="31" t="str">
        <x:v>國泰</x:v>
      </x:c>
      <x:c r="G81" s="40" t="n">
        <x:v>3019107110</x:v>
      </x:c>
      <x:c r="H81" s="40" t="n">
        <x:v>10627945460</x:v>
      </x:c>
      <x:c r="I81" s="40" t="n">
        <x:v>-1827363987</x:v>
      </x:c>
      <x:c r="J81" s="31" t="str">
        <x:v>持續</x:v>
      </x:c>
      <x:c r="K81" s="31" t="str">
        <x:v>新臺幣元</x:v>
      </x:c>
      <x:c r="L81" s="43" t="n">
        <x:v>1.2893000000000001</x:v>
      </x:c>
      <x:c r="M81" s="43" t="n">
        <x:v>0.21</x:v>
      </x:c>
      <x:c r="N81" s="32" t="str">
        <x:v>勞工退休基金-115年7月.pdf</x:v>
      </x:c>
    </x:row>
    <x:row r="82">
      <x:c r="A82" s="37" t="n">
        <x:v>46204</x:v>
      </x:c>
      <x:c r="B82" s="31" t="str">
        <x:v>115年7月</x:v>
      </x:c>
      <x:c r="C82" s="31" t="str">
        <x:v>舊制</x:v>
      </x:c>
      <x:c r="D82" s="31" t="str">
        <x:v>國內</x:v>
      </x:c>
      <x:c r="E82" s="31" t="str">
        <x:v>國內106年第一次委託經營(續約)</x:v>
      </x:c>
      <x:c r="F82" s="31" t="str">
        <x:v>群益</x:v>
      </x:c>
      <x:c r="G82" s="40" t="n">
        <x:v>4384957618</x:v>
      </x:c>
      <x:c r="H82" s="40" t="n">
        <x:v>11811294891</x:v>
      </x:c>
      <x:c r="I82" s="40" t="n">
        <x:v>-1980272675</x:v>
      </x:c>
      <x:c r="J82" s="31" t="str">
        <x:v>持續</x:v>
      </x:c>
      <x:c r="K82" s="31" t="str">
        <x:v>新臺幣元</x:v>
      </x:c>
      <x:c r="L82" s="43" t="n">
        <x:v>1.1309</x:v>
      </x:c>
      <x:c r="M82" s="43" t="n">
        <x:v>0.21</x:v>
      </x:c>
      <x:c r="N82" s="32" t="str">
        <x:v>勞工退休基金-115年7月.pdf</x:v>
      </x:c>
    </x:row>
    <x:row r="83">
      <x:c r="A83" s="37" t="n">
        <x:v>46204</x:v>
      </x:c>
      <x:c r="B83" s="31" t="str">
        <x:v>115年7月</x:v>
      </x:c>
      <x:c r="C83" s="31" t="str">
        <x:v>舊制</x:v>
      </x:c>
      <x:c r="D83" s="31" t="str">
        <x:v>國內</x:v>
      </x:c>
      <x:c r="E83" s="31" t="str">
        <x:v>國內106年第一次委託經營(續約)</x:v>
      </x:c>
      <x:c r="F83" s="31" t="str">
        <x:v>滙豐</x:v>
      </x:c>
      <x:c r="G83" s="40" t="n">
        <x:v>5597524598</x:v>
      </x:c>
      <x:c r="H83" s="40" t="n">
        <x:v>15904763483</x:v>
      </x:c>
      <x:c r="I83" s="40" t="n">
        <x:v>-1781367234</x:v>
      </x:c>
      <x:c r="J83" s="31" t="str">
        <x:v>持續</x:v>
      </x:c>
      <x:c r="K83" s="31" t="str">
        <x:v>新臺幣元</x:v>
      </x:c>
      <x:c r="L83" s="43" t="n">
        <x:v>1.4385</x:v>
      </x:c>
      <x:c r="M83" s="43" t="n">
        <x:v>0.21</x:v>
      </x:c>
      <x:c r="N83" s="32" t="str">
        <x:v>勞工退休基金-115年7月.pdf</x:v>
      </x:c>
    </x:row>
    <x:row r="84">
      <x:c r="A84" s="37" t="n">
        <x:v>46204</x:v>
      </x:c>
      <x:c r="B84" s="31" t="str">
        <x:v>115年7月</x:v>
      </x:c>
      <x:c r="C84" s="31" t="str">
        <x:v>舊制</x:v>
      </x:c>
      <x:c r="D84" s="31" t="str">
        <x:v>國內</x:v>
      </x:c>
      <x:c r="E84" s="31" t="str">
        <x:v>國內109年第二次委託經營</x:v>
      </x:c>
      <x:c r="F84" s="31" t="str">
        <x:v>安聯</x:v>
      </x:c>
      <x:c r="G84" s="40" t="n">
        <x:v>1000000000</x:v>
      </x:c>
      <x:c r="H84" s="40" t="n">
        <x:v>2330215349</x:v>
      </x:c>
      <x:c r="I84" s="40" t="n">
        <x:v>-376471490</x:v>
      </x:c>
      <x:c r="J84" s="31" t="str">
        <x:v>持續</x:v>
      </x:c>
      <x:c r="K84" s="31" t="str">
        <x:v>新臺幣元</x:v>
      </x:c>
      <x:c r="L84" s="43" t="n">
        <x:v>1.2483</x:v>
      </x:c>
      <x:c r="M84" s="43" t="n">
        <x:v>1.2554</x:v>
      </x:c>
      <x:c r="N84" s="32" t="str">
        <x:v>勞工退休基金-115年7月.pdf</x:v>
      </x:c>
    </x:row>
    <x:row r="85">
      <x:c r="A85" s="37" t="n">
        <x:v>46204</x:v>
      </x:c>
      <x:c r="B85" s="31" t="str">
        <x:v>115年7月</x:v>
      </x:c>
      <x:c r="C85" s="31" t="str">
        <x:v>舊制</x:v>
      </x:c>
      <x:c r="D85" s="31" t="str">
        <x:v>國內</x:v>
      </x:c>
      <x:c r="E85" s="31" t="str">
        <x:v>國內109年第二次委託經營</x:v>
      </x:c>
      <x:c r="F85" s="31" t="str">
        <x:v>玉山</x:v>
      </x:c>
      <x:c r="G85" s="40" t="n">
        <x:v>1000000000</x:v>
      </x:c>
      <x:c r="H85" s="40" t="n">
        <x:v>2302140221</x:v>
      </x:c>
      <x:c r="I85" s="40" t="n">
        <x:v>-367060392</x:v>
      </x:c>
      <x:c r="J85" s="31" t="str">
        <x:v>持續</x:v>
      </x:c>
      <x:c r="K85" s="31" t="str">
        <x:v>新臺幣元</x:v>
      </x:c>
      <x:c r="L85" s="43" t="n">
        <x:v>1.2382</x:v>
      </x:c>
      <x:c r="M85" s="43" t="n">
        <x:v>1.2554</x:v>
      </x:c>
      <x:c r="N85" s="32" t="str">
        <x:v>勞工退休基金-115年7月.pdf</x:v>
      </x:c>
    </x:row>
    <x:row r="86">
      <x:c r="A86" s="37" t="n">
        <x:v>46204</x:v>
      </x:c>
      <x:c r="B86" s="31" t="str">
        <x:v>115年7月</x:v>
      </x:c>
      <x:c r="C86" s="31" t="str">
        <x:v>舊制</x:v>
      </x:c>
      <x:c r="D86" s="31" t="str">
        <x:v>國內</x:v>
      </x:c>
      <x:c r="E86" s="31" t="str">
        <x:v>國內109年第二次委託經營</x:v>
      </x:c>
      <x:c r="F86" s="31" t="str">
        <x:v>野村</x:v>
      </x:c>
      <x:c r="G86" s="40" t="n">
        <x:v>1000000000</x:v>
      </x:c>
      <x:c r="H86" s="40" t="n">
        <x:v>2297488877</x:v>
      </x:c>
      <x:c r="I86" s="40" t="n">
        <x:v>-417079026</x:v>
      </x:c>
      <x:c r="J86" s="31" t="str">
        <x:v>持續</x:v>
      </x:c>
      <x:c r="K86" s="31" t="str">
        <x:v>新臺幣元</x:v>
      </x:c>
      <x:c r="L86" s="43" t="n">
        <x:v>1.1848</x:v>
      </x:c>
      <x:c r="M86" s="43" t="n">
        <x:v>1.2554</x:v>
      </x:c>
      <x:c r="N86" s="32" t="str">
        <x:v>勞工退休基金-115年7月.pdf</x:v>
      </x:c>
    </x:row>
    <x:row r="87">
      <x:c r="A87" s="37" t="n">
        <x:v>46204</x:v>
      </x:c>
      <x:c r="B87" s="31" t="str">
        <x:v>115年7月</x:v>
      </x:c>
      <x:c r="C87" s="31" t="str">
        <x:v>舊制</x:v>
      </x:c>
      <x:c r="D87" s="31" t="str">
        <x:v>國內</x:v>
      </x:c>
      <x:c r="E87" s="31" t="str">
        <x:v>國內109年第二次委託經營</x:v>
      </x:c>
      <x:c r="F87" s="31" t="str">
        <x:v>國泰</x:v>
      </x:c>
      <x:c r="G87" s="40" t="n">
        <x:v>1000000000</x:v>
      </x:c>
      <x:c r="H87" s="40" t="n">
        <x:v>2374031106</x:v>
      </x:c>
      <x:c r="I87" s="40" t="n">
        <x:v>-408884808</x:v>
      </x:c>
      <x:c r="J87" s="31" t="str">
        <x:v>持續</x:v>
      </x:c>
      <x:c r="K87" s="31" t="str">
        <x:v>新臺幣元</x:v>
      </x:c>
      <x:c r="L87" s="43" t="n">
        <x:v>1.2799</x:v>
      </x:c>
      <x:c r="M87" s="43" t="n">
        <x:v>1.2554</x:v>
      </x:c>
      <x:c r="N87" s="32" t="str">
        <x:v>勞工退休基金-115年7月.pdf</x:v>
      </x:c>
    </x:row>
    <x:row r="88">
      <x:c r="A88" s="37" t="n">
        <x:v>46204</x:v>
      </x:c>
      <x:c r="B88" s="31" t="str">
        <x:v>115年7月</x:v>
      </x:c>
      <x:c r="C88" s="31" t="str">
        <x:v>舊制</x:v>
      </x:c>
      <x:c r="D88" s="31" t="str">
        <x:v>國內</x:v>
      </x:c>
      <x:c r="E88" s="31" t="str">
        <x:v>國內109年第二次委託經營</x:v>
      </x:c>
      <x:c r="F88" s="31" t="str">
        <x:v>富邦</x:v>
      </x:c>
      <x:c r="G88" s="40" t="n">
        <x:v>1000000000</x:v>
      </x:c>
      <x:c r="H88" s="40" t="n">
        <x:v>2293703108</x:v>
      </x:c>
      <x:c r="I88" s="40" t="n">
        <x:v>-409648800</x:v>
      </x:c>
      <x:c r="J88" s="31" t="str">
        <x:v>持續</x:v>
      </x:c>
      <x:c r="K88" s="31" t="str">
        <x:v>新臺幣元</x:v>
      </x:c>
      <x:c r="L88" s="43" t="n">
        <x:v>1.1886</x:v>
      </x:c>
      <x:c r="M88" s="43" t="n">
        <x:v>1.2554</x:v>
      </x:c>
      <x:c r="N88" s="32" t="str">
        <x:v>勞工退休基金-115年7月.pdf</x:v>
      </x:c>
    </x:row>
    <x:row r="89">
      <x:c r="A89" s="37" t="n">
        <x:v>46204</x:v>
      </x:c>
      <x:c r="B89" s="31" t="str">
        <x:v>115年7月</x:v>
      </x:c>
      <x:c r="C89" s="31" t="str">
        <x:v>舊制</x:v>
      </x:c>
      <x:c r="D89" s="31" t="str">
        <x:v>國內</x:v>
      </x:c>
      <x:c r="E89" s="31" t="str">
        <x:v>國內111年第一次委託經營</x:v>
      </x:c>
      <x:c r="F89" s="31" t="str">
        <x:v>安聯</x:v>
      </x:c>
      <x:c r="G89" s="40" t="n">
        <x:v>3000000000</x:v>
      </x:c>
      <x:c r="H89" s="40" t="n">
        <x:v>5395348747</x:v>
      </x:c>
      <x:c r="I89" s="40" t="n">
        <x:v>-655239852</x:v>
      </x:c>
      <x:c r="J89" s="31" t="str">
        <x:v>持續</x:v>
      </x:c>
      <x:c r="K89" s="31" t="str">
        <x:v>新臺幣元</x:v>
      </x:c>
      <x:c r="L89" s="43" t="n">
        <x:v>1.0949</x:v>
      </x:c>
      <x:c r="M89" s="43" t="n">
        <x:v>0.1681</x:v>
      </x:c>
      <x:c r="N89" s="32" t="str">
        <x:v>勞工退休基金-115年7月.pdf</x:v>
      </x:c>
    </x:row>
    <x:row r="90">
      <x:c r="A90" s="37" t="n">
        <x:v>46204</x:v>
      </x:c>
      <x:c r="B90" s="31" t="str">
        <x:v>115年7月</x:v>
      </x:c>
      <x:c r="C90" s="31" t="str">
        <x:v>舊制</x:v>
      </x:c>
      <x:c r="D90" s="31" t="str">
        <x:v>國內</x:v>
      </x:c>
      <x:c r="E90" s="31" t="str">
        <x:v>國內111年第一次委託經營</x:v>
      </x:c>
      <x:c r="F90" s="31" t="str">
        <x:v>施羅德</x:v>
      </x:c>
      <x:c r="G90" s="40" t="n">
        <x:v>3000000000</x:v>
      </x:c>
      <x:c r="H90" s="40" t="n">
        <x:v>7802702228</x:v>
      </x:c>
      <x:c r="I90" s="40" t="n">
        <x:v>-1217848671</x:v>
      </x:c>
      <x:c r="J90" s="31" t="str">
        <x:v>持續</x:v>
      </x:c>
      <x:c r="K90" s="31" t="str">
        <x:v>新臺幣元</x:v>
      </x:c>
      <x:c r="L90" s="43" t="n">
        <x:v>2.0665</x:v>
      </x:c>
      <x:c r="M90" s="43" t="n">
        <x:v>0.1681</x:v>
      </x:c>
      <x:c r="N90" s="32" t="str">
        <x:v>勞工退休基金-115年7月.pdf</x:v>
      </x:c>
    </x:row>
    <x:row r="91">
      <x:c r="A91" s="37" t="n">
        <x:v>46204</x:v>
      </x:c>
      <x:c r="B91" s="31" t="str">
        <x:v>115年7月</x:v>
      </x:c>
      <x:c r="C91" s="31" t="str">
        <x:v>舊制</x:v>
      </x:c>
      <x:c r="D91" s="31" t="str">
        <x:v>國內</x:v>
      </x:c>
      <x:c r="E91" s="31" t="str">
        <x:v>國內111年第一次委託經營</x:v>
      </x:c>
      <x:c r="F91" s="31" t="str">
        <x:v>國泰</x:v>
      </x:c>
      <x:c r="G91" s="40" t="n">
        <x:v>3000000000</x:v>
      </x:c>
      <x:c r="H91" s="40" t="n">
        <x:v>6513458038</x:v>
      </x:c>
      <x:c r="I91" s="40" t="n">
        <x:v>-1331100520</x:v>
      </x:c>
      <x:c r="J91" s="31" t="str">
        <x:v>持續</x:v>
      </x:c>
      <x:c r="K91" s="31" t="str">
        <x:v>新臺幣元</x:v>
      </x:c>
      <x:c r="L91" s="43" t="n">
        <x:v>1.6488999999999998</x:v>
      </x:c>
      <x:c r="M91" s="43" t="n">
        <x:v>0.1681</x:v>
      </x:c>
      <x:c r="N91" s="32" t="str">
        <x:v>勞工退休基金-115年7月.pdf</x:v>
      </x:c>
    </x:row>
    <x:row r="92">
      <x:c r="A92" s="37" t="n">
        <x:v>46204</x:v>
      </x:c>
      <x:c r="B92" s="31" t="str">
        <x:v>115年7月</x:v>
      </x:c>
      <x:c r="C92" s="31" t="str">
        <x:v>舊制</x:v>
      </x:c>
      <x:c r="D92" s="31" t="str">
        <x:v>國內</x:v>
      </x:c>
      <x:c r="E92" s="31" t="str">
        <x:v>國內111年第一次委託經營</x:v>
      </x:c>
      <x:c r="F92" s="31" t="str">
        <x:v>第一金</x:v>
      </x:c>
      <x:c r="G92" s="40" t="n">
        <x:v>3000000000</x:v>
      </x:c>
      <x:c r="H92" s="40" t="n">
        <x:v>6612291633</x:v>
      </x:c>
      <x:c r="I92" s="40" t="n">
        <x:v>-1576257862</x:v>
      </x:c>
      <x:c r="J92" s="31" t="str">
        <x:v>持續</x:v>
      </x:c>
      <x:c r="K92" s="31" t="str">
        <x:v>新臺幣元</x:v>
      </x:c>
      <x:c r="L92" s="43" t="n">
        <x:v>1.1372</x:v>
      </x:c>
      <x:c r="M92" s="43" t="n">
        <x:v>0.1681</x:v>
      </x:c>
      <x:c r="N92" s="32" t="str">
        <x:v>勞工退休基金-115年7月.pdf</x:v>
      </x:c>
    </x:row>
    <x:row r="93">
      <x:c r="A93" s="37" t="n">
        <x:v>46204</x:v>
      </x:c>
      <x:c r="B93" s="31" t="str">
        <x:v>115年7月</x:v>
      </x:c>
      <x:c r="C93" s="31" t="str">
        <x:v>舊制</x:v>
      </x:c>
      <x:c r="D93" s="31" t="str">
        <x:v>國內</x:v>
      </x:c>
      <x:c r="E93" s="31" t="str">
        <x:v>國內111年第一次委託經營</x:v>
      </x:c>
      <x:c r="F93" s="31" t="str">
        <x:v>野村</x:v>
      </x:c>
      <x:c r="G93" s="40" t="n">
        <x:v>3000000000</x:v>
      </x:c>
      <x:c r="H93" s="40" t="n">
        <x:v>8185169896</x:v>
      </x:c>
      <x:c r="I93" s="40" t="n">
        <x:v>-1256946817</x:v>
      </x:c>
      <x:c r="J93" s="31" t="str">
        <x:v>持續</x:v>
      </x:c>
      <x:c r="K93" s="31" t="str">
        <x:v>新臺幣元</x:v>
      </x:c>
      <x:c r="L93" s="43" t="n">
        <x:v>2.1261</x:v>
      </x:c>
      <x:c r="M93" s="43" t="n">
        <x:v>0.1681</x:v>
      </x:c>
      <x:c r="N93" s="32" t="str">
        <x:v>勞工退休基金-115年7月.pdf</x:v>
      </x:c>
    </x:row>
    <x:row r="94">
      <x:c r="A94" s="37" t="n">
        <x:v>46204</x:v>
      </x:c>
      <x:c r="B94" s="31" t="str">
        <x:v>115年7月</x:v>
      </x:c>
      <x:c r="C94" s="31" t="str">
        <x:v>舊制</x:v>
      </x:c>
      <x:c r="D94" s="31" t="str">
        <x:v>國內</x:v>
      </x:c>
      <x:c r="E94" s="31" t="str">
        <x:v>國內111年第一次委託經營</x:v>
      </x:c>
      <x:c r="F94" s="31" t="str">
        <x:v>華南永昌</x:v>
      </x:c>
      <x:c r="G94" s="40" t="n">
        <x:v>3000000000</x:v>
      </x:c>
      <x:c r="H94" s="40" t="n">
        <x:v>3966553054</x:v>
      </x:c>
      <x:c r="I94" s="40" t="n">
        <x:v>-1328383087</x:v>
      </x:c>
      <x:c r="J94" s="31" t="str">
        <x:v>持續</x:v>
      </x:c>
      <x:c r="K94" s="31" t="str">
        <x:v>新臺幣元</x:v>
      </x:c>
      <x:c r="L94" s="43" t="n">
        <x:v>0.43560000000000004</x:v>
      </x:c>
      <x:c r="M94" s="43" t="n">
        <x:v>0.1681</x:v>
      </x:c>
      <x:c r="N94" s="32" t="str">
        <x:v>勞工退休基金-115年7月.pdf</x:v>
      </x:c>
    </x:row>
    <x:row r="95">
      <x:c r="A95" s="37" t="n">
        <x:v>46204</x:v>
      </x:c>
      <x:c r="B95" s="31" t="str">
        <x:v>115年7月</x:v>
      </x:c>
      <x:c r="C95" s="31" t="str">
        <x:v>舊制</x:v>
      </x:c>
      <x:c r="D95" s="31" t="str">
        <x:v>國內</x:v>
      </x:c>
      <x:c r="E95" s="31" t="str">
        <x:v>國內111年第一次委託經營</x:v>
      </x:c>
      <x:c r="F95" s="31" t="str">
        <x:v>滙豐</x:v>
      </x:c>
      <x:c r="G95" s="40" t="n">
        <x:v>3000000000</x:v>
      </x:c>
      <x:c r="H95" s="40" t="n">
        <x:v>6160765344</x:v>
      </x:c>
      <x:c r="I95" s="40" t="n">
        <x:v>-759365736</x:v>
      </x:c>
      <x:c r="J95" s="31" t="str">
        <x:v>持續</x:v>
      </x:c>
      <x:c r="K95" s="31" t="str">
        <x:v>新臺幣元</x:v>
      </x:c>
      <x:c r="L95" s="43" t="n">
        <x:v>1.3285</x:v>
      </x:c>
      <x:c r="M95" s="43" t="n">
        <x:v>0.1681</x:v>
      </x:c>
      <x:c r="N95" s="32" t="str">
        <x:v>勞工退休基金-115年7月.pdf</x:v>
      </x:c>
    </x:row>
    <x:row r="96">
      <x:c r="A96" s="37" t="n">
        <x:v>46204</x:v>
      </x:c>
      <x:c r="B96" s="31" t="str">
        <x:v>115年7月</x:v>
      </x:c>
      <x:c r="C96" s="31" t="str">
        <x:v>勞工保險</x:v>
      </x:c>
      <x:c r="D96" s="31" t="str">
        <x:v>國內</x:v>
      </x:c>
      <x:c r="E96" s="31" t="str">
        <x:v>103年委託經營(續約4)</x:v>
      </x:c>
      <x:c r="F96" s="31" t="str">
        <x:v>國泰</x:v>
      </x:c>
      <x:c r="G96" s="40" t="n">
        <x:v>6006437351</x:v>
      </x:c>
      <x:c r="H96" s="40" t="n">
        <x:v>15506059249</x:v>
      </x:c>
      <x:c r="I96" s="40" t="n">
        <x:v>-1911360124</x:v>
      </x:c>
      <x:c r="J96" s="31" t="str">
        <x:v>持續</x:v>
      </x:c>
      <x:c r="K96" s="31" t="str">
        <x:v>新臺幣元</x:v>
      </x:c>
      <x:c r="L96" s="43" t="n">
        <x:v>1.5816</x:v>
      </x:c>
      <x:c r="M96" s="43" t="n">
        <x:v>0.1689</x:v>
      </x:c>
      <x:c r="N96" s="32" t="str">
        <x:v>勞工保險基金-115年7月.pdf</x:v>
      </x:c>
    </x:row>
    <x:row r="97">
      <x:c r="A97" s="37" t="n">
        <x:v>46204</x:v>
      </x:c>
      <x:c r="B97" s="31" t="str">
        <x:v>115年7月</x:v>
      </x:c>
      <x:c r="C97" s="31" t="str">
        <x:v>勞工保險</x:v>
      </x:c>
      <x:c r="D97" s="31" t="str">
        <x:v>國內</x:v>
      </x:c>
      <x:c r="E97" s="31" t="str">
        <x:v>104年委託經營(續約4)</x:v>
      </x:c>
      <x:c r="F97" s="31" t="str">
        <x:v>野村</x:v>
      </x:c>
      <x:c r="G97" s="40" t="n">
        <x:v>10115864773</x:v>
      </x:c>
      <x:c r="H97" s="40" t="n">
        <x:v>25210400997</x:v>
      </x:c>
      <x:c r="I97" s="40" t="n">
        <x:v>-3467042417</x:v>
      </x:c>
      <x:c r="J97" s="31" t="str">
        <x:v>持續</x:v>
      </x:c>
      <x:c r="K97" s="31" t="str">
        <x:v>新臺幣元</x:v>
      </x:c>
      <x:c r="L97" s="43" t="n">
        <x:v>1.4922</x:v>
      </x:c>
      <x:c r="M97" s="43" t="n">
        <x:v>0.12210000000000001</x:v>
      </x:c>
      <x:c r="N97" s="32" t="str">
        <x:v>勞工保險基金-115年7月.pdf</x:v>
      </x:c>
    </x:row>
    <x:row r="98">
      <x:c r="A98" s="37" t="n">
        <x:v>46204</x:v>
      </x:c>
      <x:c r="B98" s="31" t="str">
        <x:v>115年7月</x:v>
      </x:c>
      <x:c r="C98" s="31" t="str">
        <x:v>勞工保險</x:v>
      </x:c>
      <x:c r="D98" s="31" t="str">
        <x:v>國內</x:v>
      </x:c>
      <x:c r="E98" s="31" t="str">
        <x:v>106年第一次委託經營(續約)</x:v>
      </x:c>
      <x:c r="F98" s="31" t="str">
        <x:v>台新</x:v>
      </x:c>
      <x:c r="G98" s="40" t="n">
        <x:v>1511398000</x:v>
      </x:c>
      <x:c r="H98" s="40" t="n">
        <x:v>3818517195</x:v>
      </x:c>
      <x:c r="I98" s="40" t="n">
        <x:v>-808647247</x:v>
      </x:c>
      <x:c r="J98" s="31" t="str">
        <x:v>持續</x:v>
      </x:c>
      <x:c r="K98" s="31" t="str">
        <x:v>新臺幣元</x:v>
      </x:c>
      <x:c r="L98" s="43" t="n">
        <x:v>1.5265</x:v>
      </x:c>
      <x:c r="M98" s="43" t="n">
        <x:v>0.1675</x:v>
      </x:c>
      <x:c r="N98" s="32" t="str">
        <x:v>勞工保險基金-115年7月.pdf</x:v>
      </x:c>
    </x:row>
    <x:row r="99">
      <x:c r="A99" s="37" t="n">
        <x:v>46204</x:v>
      </x:c>
      <x:c r="B99" s="31" t="str">
        <x:v>115年7月</x:v>
      </x:c>
      <x:c r="C99" s="31" t="str">
        <x:v>勞工保險</x:v>
      </x:c>
      <x:c r="D99" s="31" t="str">
        <x:v>國內</x:v>
      </x:c>
      <x:c r="E99" s="31" t="str">
        <x:v>106年第一次委託經營(續約)</x:v>
      </x:c>
      <x:c r="F99" s="31" t="str">
        <x:v>安聯</x:v>
      </x:c>
      <x:c r="G99" s="40" t="n">
        <x:v>2849479862</x:v>
      </x:c>
      <x:c r="H99" s="40" t="n">
        <x:v>6954213572</x:v>
      </x:c>
      <x:c r="I99" s="40" t="n">
        <x:v>-1093007069</x:v>
      </x:c>
      <x:c r="J99" s="31" t="str">
        <x:v>持續</x:v>
      </x:c>
      <x:c r="K99" s="31" t="str">
        <x:v>新臺幣元</x:v>
      </x:c>
      <x:c r="L99" s="43" t="n">
        <x:v>1.6194</x:v>
      </x:c>
      <x:c r="M99" s="43" t="n">
        <x:v>0.1675</x:v>
      </x:c>
      <x:c r="N99" s="32" t="str">
        <x:v>勞工保險基金-115年7月.pdf</x:v>
      </x:c>
    </x:row>
    <x:row r="100">
      <x:c r="A100" s="37" t="n">
        <x:v>46204</x:v>
      </x:c>
      <x:c r="B100" s="31" t="str">
        <x:v>115年7月</x:v>
      </x:c>
      <x:c r="C100" s="31" t="str">
        <x:v>勞工保險</x:v>
      </x:c>
      <x:c r="D100" s="31" t="str">
        <x:v>國內</x:v>
      </x:c>
      <x:c r="E100" s="31" t="str">
        <x:v>106年第一次委託經營(續約)</x:v>
      </x:c>
      <x:c r="F100" s="31" t="str">
        <x:v>玉山</x:v>
      </x:c>
      <x:c r="G100" s="40" t="n">
        <x:v>1370065623</x:v>
      </x:c>
      <x:c r="H100" s="40" t="n">
        <x:v>3603308455</x:v>
      </x:c>
      <x:c r="I100" s="40" t="n">
        <x:v>-432746327</x:v>
      </x:c>
      <x:c r="J100" s="31" t="str">
        <x:v>持續</x:v>
      </x:c>
      <x:c r="K100" s="31" t="str">
        <x:v>新臺幣元</x:v>
      </x:c>
      <x:c r="L100" s="43" t="n">
        <x:v>1.63</x:v>
      </x:c>
      <x:c r="M100" s="43" t="n">
        <x:v>0.1675</x:v>
      </x:c>
      <x:c r="N100" s="32" t="str">
        <x:v>勞工保險基金-115年7月.pdf</x:v>
      </x:c>
    </x:row>
    <x:row r="101">
      <x:c r="A101" s="37" t="n">
        <x:v>46204</x:v>
      </x:c>
      <x:c r="B101" s="31" t="str">
        <x:v>115年7月</x:v>
      </x:c>
      <x:c r="C101" s="31" t="str">
        <x:v>勞工保險</x:v>
      </x:c>
      <x:c r="D101" s="31" t="str">
        <x:v>國內</x:v>
      </x:c>
      <x:c r="E101" s="31" t="str">
        <x:v>106年第一次委託經營(續約)</x:v>
      </x:c>
      <x:c r="F101" s="31" t="str">
        <x:v>國泰</x:v>
      </x:c>
      <x:c r="G101" s="40" t="n">
        <x:v>1045683565</x:v>
      </x:c>
      <x:c r="H101" s="40" t="n">
        <x:v>2468400903</x:v>
      </x:c>
      <x:c r="I101" s="40" t="n">
        <x:v>-433264662</x:v>
      </x:c>
      <x:c r="J101" s="31" t="str">
        <x:v>持續</x:v>
      </x:c>
      <x:c r="K101" s="31" t="str">
        <x:v>新臺幣元</x:v>
      </x:c>
      <x:c r="L101" s="43" t="n">
        <x:v>1.1815</x:v>
      </x:c>
      <x:c r="M101" s="43" t="n">
        <x:v>0.1675</x:v>
      </x:c>
      <x:c r="N101" s="32" t="str">
        <x:v>勞工保險基金-115年7月.pdf</x:v>
      </x:c>
    </x:row>
    <x:row r="102">
      <x:c r="A102" s="37" t="n">
        <x:v>46204</x:v>
      </x:c>
      <x:c r="B102" s="31" t="str">
        <x:v>115年7月</x:v>
      </x:c>
      <x:c r="C102" s="31" t="str">
        <x:v>勞工保險</x:v>
      </x:c>
      <x:c r="D102" s="31" t="str">
        <x:v>國內</x:v>
      </x:c>
      <x:c r="E102" s="31" t="str">
        <x:v>106年第一次委託經營(續約)</x:v>
      </x:c>
      <x:c r="F102" s="31" t="str">
        <x:v>群益</x:v>
      </x:c>
      <x:c r="G102" s="40" t="n">
        <x:v>1478582277</x:v>
      </x:c>
      <x:c r="H102" s="40" t="n">
        <x:v>2792913358</x:v>
      </x:c>
      <x:c r="I102" s="40" t="n">
        <x:v>-467485995</x:v>
      </x:c>
      <x:c r="J102" s="31" t="str">
        <x:v>持續</x:v>
      </x:c>
      <x:c r="K102" s="31" t="str">
        <x:v>新臺幣元</x:v>
      </x:c>
      <x:c r="L102" s="43" t="n">
        <x:v>0.8889</x:v>
      </x:c>
      <x:c r="M102" s="43" t="n">
        <x:v>0.1675</x:v>
      </x:c>
      <x:c r="N102" s="32" t="str">
        <x:v>勞工保險基金-115年7月.pdf</x:v>
      </x:c>
    </x:row>
    <x:row r="103">
      <x:c r="A103" s="37" t="n">
        <x:v>46204</x:v>
      </x:c>
      <x:c r="B103" s="31" t="str">
        <x:v>115年7月</x:v>
      </x:c>
      <x:c r="C103" s="31" t="str">
        <x:v>勞工保險</x:v>
      </x:c>
      <x:c r="D103" s="31" t="str">
        <x:v>國內</x:v>
      </x:c>
      <x:c r="E103" s="31" t="str">
        <x:v>106年第一次委託經營(續約)</x:v>
      </x:c>
      <x:c r="F103" s="31" t="str">
        <x:v>滙豐</x:v>
      </x:c>
      <x:c r="G103" s="40" t="n">
        <x:v>1492252844</x:v>
      </x:c>
      <x:c r="H103" s="40" t="n">
        <x:v>3454968458</x:v>
      </x:c>
      <x:c r="I103" s="40" t="n">
        <x:v>-387037767</x:v>
      </x:c>
      <x:c r="J103" s="31" t="str">
        <x:v>持續</x:v>
      </x:c>
      <x:c r="K103" s="31" t="str">
        <x:v>新臺幣元</x:v>
      </x:c>
      <x:c r="L103" s="43" t="n">
        <x:v>1.3153</x:v>
      </x:c>
      <x:c r="M103" s="43" t="n">
        <x:v>0.1675</x:v>
      </x:c>
      <x:c r="N103" s="32" t="str">
        <x:v>勞工保險基金-115年7月.pdf</x:v>
      </x:c>
    </x:row>
    <x:row r="104">
      <x:c r="A104" s="37" t="n">
        <x:v>46204</x:v>
      </x:c>
      <x:c r="B104" s="31" t="str">
        <x:v>115年7月</x:v>
      </x:c>
      <x:c r="C104" s="31" t="str">
        <x:v>勞工保險</x:v>
      </x:c>
      <x:c r="D104" s="31" t="str">
        <x:v>國內</x:v>
      </x:c>
      <x:c r="E104" s="31" t="str">
        <x:v>109年第二次委託經營(相對報酬)</x:v>
      </x:c>
      <x:c r="F104" s="31" t="str">
        <x:v>安聯</x:v>
      </x:c>
      <x:c r="G104" s="40" t="n">
        <x:v>500000000</x:v>
      </x:c>
      <x:c r="H104" s="40" t="n">
        <x:v>1165423958</x:v>
      </x:c>
      <x:c r="I104" s="40" t="n">
        <x:v>1165423958</x:v>
      </x:c>
      <x:c r="J104" s="31" t="str">
        <x:v>新增</x:v>
      </x:c>
      <x:c r="K104" s="31" t="str">
        <x:v>新臺幣元</x:v>
      </x:c>
      <x:c r="L104" s="43" t="n">
        <x:v>1.2519</x:v>
      </x:c>
      <x:c r="M104" s="43" t="n">
        <x:v>1.2554</x:v>
      </x:c>
      <x:c r="N104" s="32" t="str">
        <x:v>勞工保險基金-115年7月.pdf</x:v>
      </x:c>
    </x:row>
    <x:row r="105">
      <x:c r="A105" s="37" t="n">
        <x:v>46204</x:v>
      </x:c>
      <x:c r="B105" s="31" t="str">
        <x:v>115年7月</x:v>
      </x:c>
      <x:c r="C105" s="31" t="str">
        <x:v>勞工保險</x:v>
      </x:c>
      <x:c r="D105" s="31" t="str">
        <x:v>國內</x:v>
      </x:c>
      <x:c r="E105" s="31" t="str">
        <x:v>109年第二次委託經營(相對報酬)</x:v>
      </x:c>
      <x:c r="F105" s="31" t="str">
        <x:v>玉山</x:v>
      </x:c>
      <x:c r="G105" s="40" t="n">
        <x:v>500000000</x:v>
      </x:c>
      <x:c r="H105" s="40" t="n">
        <x:v>1151125436</x:v>
      </x:c>
      <x:c r="I105" s="40" t="n">
        <x:v>1151125436</x:v>
      </x:c>
      <x:c r="J105" s="31" t="str">
        <x:v>新增</x:v>
      </x:c>
      <x:c r="K105" s="31" t="str">
        <x:v>新臺幣元</x:v>
      </x:c>
      <x:c r="L105" s="43" t="n">
        <x:v>1.2381</x:v>
      </x:c>
      <x:c r="M105" s="43" t="n">
        <x:v>1.2554</x:v>
      </x:c>
      <x:c r="N105" s="32" t="str">
        <x:v>勞工保險基金-115年7月.pdf</x:v>
      </x:c>
    </x:row>
    <x:row r="106">
      <x:c r="A106" s="37" t="n">
        <x:v>46204</x:v>
      </x:c>
      <x:c r="B106" s="31" t="str">
        <x:v>115年7月</x:v>
      </x:c>
      <x:c r="C106" s="31" t="str">
        <x:v>勞工保險</x:v>
      </x:c>
      <x:c r="D106" s="31" t="str">
        <x:v>國內</x:v>
      </x:c>
      <x:c r="E106" s="31" t="str">
        <x:v>109年第二次委託經營(相對報酬)</x:v>
      </x:c>
      <x:c r="F106" s="31" t="str">
        <x:v>野村</x:v>
      </x:c>
      <x:c r="G106" s="40" t="n">
        <x:v>500000000</x:v>
      </x:c>
      <x:c r="H106" s="40" t="n">
        <x:v>1148829895</x:v>
      </x:c>
      <x:c r="I106" s="40" t="n">
        <x:v>1148829895</x:v>
      </x:c>
      <x:c r="J106" s="31" t="str">
        <x:v>新增</x:v>
      </x:c>
      <x:c r="K106" s="31" t="str">
        <x:v>新臺幣元</x:v>
      </x:c>
      <x:c r="L106" s="43" t="n">
        <x:v>1.185</x:v>
      </x:c>
      <x:c r="M106" s="43" t="n">
        <x:v>1.2554</x:v>
      </x:c>
      <x:c r="N106" s="32" t="str">
        <x:v>勞工保險基金-115年7月.pdf</x:v>
      </x:c>
    </x:row>
    <x:row r="107">
      <x:c r="A107" s="37" t="n">
        <x:v>46204</x:v>
      </x:c>
      <x:c r="B107" s="31" t="str">
        <x:v>115年7月</x:v>
      </x:c>
      <x:c r="C107" s="31" t="str">
        <x:v>勞工保險</x:v>
      </x:c>
      <x:c r="D107" s="31" t="str">
        <x:v>國內</x:v>
      </x:c>
      <x:c r="E107" s="31" t="str">
        <x:v>109年第二次委託經營(相對報酬)</x:v>
      </x:c>
      <x:c r="F107" s="31" t="str">
        <x:v>國泰</x:v>
      </x:c>
      <x:c r="G107" s="40" t="n">
        <x:v>500000000</x:v>
      </x:c>
      <x:c r="H107" s="40" t="n">
        <x:v>1186966069</x:v>
      </x:c>
      <x:c r="I107" s="40" t="n">
        <x:v>1186966069</x:v>
      </x:c>
      <x:c r="J107" s="31" t="str">
        <x:v>新增</x:v>
      </x:c>
      <x:c r="K107" s="31" t="str">
        <x:v>新臺幣元</x:v>
      </x:c>
      <x:c r="L107" s="43" t="n">
        <x:v>1.2793</x:v>
      </x:c>
      <x:c r="M107" s="43" t="n">
        <x:v>1.2554</x:v>
      </x:c>
      <x:c r="N107" s="32" t="str">
        <x:v>勞工保險基金-115年7月.pdf</x:v>
      </x:c>
    </x:row>
    <x:row r="108">
      <x:c r="A108" s="37" t="n">
        <x:v>46204</x:v>
      </x:c>
      <x:c r="B108" s="31" t="str">
        <x:v>115年7月</x:v>
      </x:c>
      <x:c r="C108" s="31" t="str">
        <x:v>國民年金</x:v>
      </x:c>
      <x:c r="D108" s="31" t="str">
        <x:v>國內</x:v>
      </x:c>
      <x:c r="E108" s="31" t="str">
        <x:v>112年第一次委託經營(相對報酬)</x:v>
      </x:c>
      <x:c r="F108" s="31" t="str">
        <x:v>施羅德</x:v>
      </x:c>
      <x:c r="G108" s="40" t="n">
        <x:v>3000000000</x:v>
      </x:c>
      <x:c r="H108" s="40" t="n">
        <x:v>3958912304</x:v>
      </x:c>
      <x:c r="I108" s="40" t="n">
        <x:v>1380163332</x:v>
      </x:c>
      <x:c r="J108" s="31" t="str">
        <x:v>持續</x:v>
      </x:c>
      <x:c r="K108" s="31" t="str">
        <x:v>新臺幣元</x:v>
      </x:c>
      <x:c r="L108" s="43" t="n">
        <x:v>1.1781</x:v>
      </x:c>
      <x:c r="M108" s="43" t="n">
        <x:v>1.1673</x:v>
      </x:c>
      <x:c r="N108" s="32" t="str">
        <x:v>國民年金保險基金-115年7月.pdf</x:v>
      </x:c>
    </x:row>
    <x:row r="109">
      <x:c r="A109" s="37" t="n">
        <x:v>46204</x:v>
      </x:c>
      <x:c r="B109" s="31" t="str">
        <x:v>115年7月</x:v>
      </x:c>
      <x:c r="C109" s="31" t="str">
        <x:v>國民年金</x:v>
      </x:c>
      <x:c r="D109" s="31" t="str">
        <x:v>國內</x:v>
      </x:c>
      <x:c r="E109" s="31" t="str">
        <x:v>112年第一次委託經營(相對報酬)</x:v>
      </x:c>
      <x:c r="F109" s="31" t="str">
        <x:v>野村</x:v>
      </x:c>
      <x:c r="G109" s="40" t="n">
        <x:v>3000000000</x:v>
      </x:c>
      <x:c r="H109" s="40" t="n">
        <x:v>3975895368</x:v>
      </x:c>
      <x:c r="I109" s="40" t="n">
        <x:v>1397858568</x:v>
      </x:c>
      <x:c r="J109" s="31" t="str">
        <x:v>持續</x:v>
      </x:c>
      <x:c r="K109" s="31" t="str">
        <x:v>新臺幣元</x:v>
      </x:c>
      <x:c r="L109" s="43" t="n">
        <x:v>1.198</x:v>
      </x:c>
      <x:c r="M109" s="43" t="n">
        <x:v>1.1673</x:v>
      </x:c>
      <x:c r="N109" s="32" t="str">
        <x:v>國民年金保險基金-115年7月.pdf</x:v>
      </x:c>
    </x:row>
    <x:row r="110">
      <x:c r="A110" s="37" t="n">
        <x:v>46204</x:v>
      </x:c>
      <x:c r="B110" s="31" t="str">
        <x:v>115年7月</x:v>
      </x:c>
      <x:c r="C110" s="31" t="str">
        <x:v>國民年金</x:v>
      </x:c>
      <x:c r="D110" s="31" t="str">
        <x:v>國內</x:v>
      </x:c>
      <x:c r="E110" s="31" t="str">
        <x:v>114年第一次委託經營</x:v>
      </x:c>
      <x:c r="F110" s="31" t="str">
        <x:v>元大</x:v>
      </x:c>
      <x:c r="G110" s="40" t="n">
        <x:v>400000000</x:v>
      </x:c>
      <x:c r="H110" s="40" t="n">
        <x:v>381187393</x:v>
      </x:c>
      <x:c r="I110" s="40" t="n">
        <x:v>-30591888</x:v>
      </x:c>
      <x:c r="J110" s="31" t="str">
        <x:v>持續</x:v>
      </x:c>
      <x:c r="K110" s="31" t="str">
        <x:v>新臺幣元</x:v>
      </x:c>
      <x:c r="L110" s="43" t="n">
        <x:v>-0.047</x:v>
      </x:c>
      <x:c r="M110" s="43" t="n">
        <x:v>0.009000000000000001</x:v>
      </x:c>
      <x:c r="N110" s="32" t="str">
        <x:v>國民年金保險基金-115年7月.pdf</x:v>
      </x:c>
    </x:row>
    <x:row r="111">
      <x:c r="A111" s="37" t="n">
        <x:v>46204</x:v>
      </x:c>
      <x:c r="B111" s="31" t="str">
        <x:v>115年7月</x:v>
      </x:c>
      <x:c r="C111" s="31" t="str">
        <x:v>國民年金</x:v>
      </x:c>
      <x:c r="D111" s="31" t="str">
        <x:v>國內</x:v>
      </x:c>
      <x:c r="E111" s="31" t="str">
        <x:v>114年第一次委託經營</x:v>
      </x:c>
      <x:c r="F111" s="31" t="str">
        <x:v>施羅德</x:v>
      </x:c>
      <x:c r="G111" s="40" t="n">
        <x:v>400000000</x:v>
      </x:c>
      <x:c r="H111" s="40" t="n">
        <x:v>333326095</x:v>
      </x:c>
      <x:c r="I111" s="40" t="n">
        <x:v>-59815011</x:v>
      </x:c>
      <x:c r="J111" s="31" t="str">
        <x:v>持續</x:v>
      </x:c>
      <x:c r="K111" s="31" t="str">
        <x:v>新臺幣元</x:v>
      </x:c>
      <x:c r="L111" s="43" t="n">
        <x:v>-0.16670000000000001</x:v>
      </x:c>
      <x:c r="M111" s="43" t="n">
        <x:v>0.009000000000000001</x:v>
      </x:c>
      <x:c r="N111" s="32" t="str">
        <x:v>國民年金保險基金-115年7月.pdf</x:v>
      </x:c>
    </x:row>
    <x:row r="112">
      <x:c r="A112" s="37" t="n">
        <x:v>46204</x:v>
      </x:c>
      <x:c r="B112" s="31" t="str">
        <x:v>115年7月</x:v>
      </x:c>
      <x:c r="C112" s="31" t="str">
        <x:v>國民年金</x:v>
      </x:c>
      <x:c r="D112" s="31" t="str">
        <x:v>國內</x:v>
      </x:c>
      <x:c r="E112" s="31" t="str">
        <x:v>114年第一次委託經營</x:v>
      </x:c>
      <x:c r="F112" s="31" t="str">
        <x:v>野村</x:v>
      </x:c>
      <x:c r="G112" s="40" t="n">
        <x:v>400000000</x:v>
      </x:c>
      <x:c r="H112" s="40" t="n">
        <x:v>341538111</x:v>
      </x:c>
      <x:c r="I112" s="40" t="n">
        <x:v>-55332604</x:v>
      </x:c>
      <x:c r="J112" s="31" t="str">
        <x:v>持續</x:v>
      </x:c>
      <x:c r="K112" s="31" t="str">
        <x:v>新臺幣元</x:v>
      </x:c>
      <x:c r="L112" s="43" t="n">
        <x:v>-0.1462</x:v>
      </x:c>
      <x:c r="M112" s="43" t="n">
        <x:v>0.009000000000000001</x:v>
      </x:c>
      <x:c r="N112" s="32" t="str">
        <x:v>國民年金保險基金-115年7月.pdf</x:v>
      </x:c>
    </x:row>
    <x:row r="113">
      <x:c r="A113" s="37" t="n">
        <x:v>46204</x:v>
      </x:c>
      <x:c r="B113" s="31" t="str">
        <x:v>115年7月</x:v>
      </x:c>
      <x:c r="C113" s="31" t="str">
        <x:v>新制</x:v>
      </x:c>
      <x:c r="D113" s="31" t="str">
        <x:v>國內</x:v>
      </x:c>
      <x:c r="E113" s="31" t="str">
        <x:v>114年第一次委託經營</x:v>
      </x:c>
      <x:c r="F113" s="31" t="str">
        <x:v>安聯</x:v>
      </x:c>
      <x:c r="G113" s="40" t="n">
        <x:v>0</x:v>
      </x:c>
      <x:c r="H113" s="40" t="n">
        <x:v>0</x:v>
      </x:c>
      <x:c r="I113" s="40" t="n">
        <x:v>-1528889549</x:v>
      </x:c>
      <x:c r="J113" s="31" t="str">
        <x:v>解約</x:v>
      </x:c>
      <x:c r="K113" s="31" t="str">
        <x:v>新臺幣元</x:v>
      </x:c>
      <x:c r="L113" s="43"/>
      <x:c r="M113" s="43"/>
      <x:c r="N113" s="32" t="str"/>
    </x:row>
    <x:row r="114">
      <x:c r="A114" s="37" t="n">
        <x:v>46204</x:v>
      </x:c>
      <x:c r="B114" s="31" t="str">
        <x:v>115年7月</x:v>
      </x:c>
      <x:c r="C114" s="31" t="str">
        <x:v>新制</x:v>
      </x:c>
      <x:c r="D114" s="31" t="str">
        <x:v>國內</x:v>
      </x:c>
      <x:c r="E114" s="31" t="str">
        <x:v>114年第一次委託經營</x:v>
      </x:c>
      <x:c r="F114" s="31" t="str">
        <x:v>施羅德</x:v>
      </x:c>
      <x:c r="G114" s="40" t="n">
        <x:v>0</x:v>
      </x:c>
      <x:c r="H114" s="40" t="n">
        <x:v>0</x:v>
      </x:c>
      <x:c r="I114" s="40" t="n">
        <x:v>-1474347055</x:v>
      </x:c>
      <x:c r="J114" s="31" t="str">
        <x:v>解約</x:v>
      </x:c>
      <x:c r="K114" s="31" t="str">
        <x:v>新臺幣元</x:v>
      </x:c>
      <x:c r="L114" s="43"/>
      <x:c r="M114" s="43"/>
      <x:c r="N114" s="32" t="str"/>
    </x:row>
    <x:row r="115">
      <x:c r="A115" s="37" t="n">
        <x:v>46204</x:v>
      </x:c>
      <x:c r="B115" s="31" t="str">
        <x:v>115年7月</x:v>
      </x:c>
      <x:c r="C115" s="31" t="str">
        <x:v>新制</x:v>
      </x:c>
      <x:c r="D115" s="31" t="str">
        <x:v>國內</x:v>
      </x:c>
      <x:c r="E115" s="31" t="str">
        <x:v>114年第一次委託經營</x:v>
      </x:c>
      <x:c r="F115" s="31" t="str">
        <x:v>野村</x:v>
      </x:c>
      <x:c r="G115" s="40" t="n">
        <x:v>0</x:v>
      </x:c>
      <x:c r="H115" s="40" t="n">
        <x:v>0</x:v>
      </x:c>
      <x:c r="I115" s="40" t="n">
        <x:v>-1489331693</x:v>
      </x:c>
      <x:c r="J115" s="31" t="str">
        <x:v>解約</x:v>
      </x:c>
      <x:c r="K115" s="31" t="str">
        <x:v>新臺幣元</x:v>
      </x:c>
      <x:c r="L115" s="43"/>
      <x:c r="M115" s="43"/>
      <x:c r="N115" s="32" t="str"/>
    </x:row>
    <x:row r="116">
      <x:c r="A116" s="38" t="n">
        <x:v>46204</x:v>
      </x:c>
      <x:c r="B116" s="34" t="str">
        <x:v>115年7月</x:v>
      </x:c>
      <x:c r="C116" s="34" t="str">
        <x:v>新制</x:v>
      </x:c>
      <x:c r="D116" s="34" t="str">
        <x:v>國內</x:v>
      </x:c>
      <x:c r="E116" s="34" t="str">
        <x:v>114年第一次委託經營</x:v>
      </x:c>
      <x:c r="F116" s="34" t="str">
        <x:v>JPMorgan（國內）</x:v>
      </x:c>
      <x:c r="G116" s="41" t="n">
        <x:v>0</x:v>
      </x:c>
      <x:c r="H116" s="41" t="n">
        <x:v>0</x:v>
      </x:c>
      <x:c r="I116" s="41" t="n">
        <x:v>-1492945981</x:v>
      </x:c>
      <x:c r="J116" s="34" t="str">
        <x:v>解約</x:v>
      </x:c>
      <x:c r="K116" s="34" t="str">
        <x:v>新臺幣元</x:v>
      </x:c>
      <x:c r="L116" s="44"/>
      <x:c r="M116" s="44"/>
      <x:c r="N116" s="35" t="str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95d6e070e5b4f7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.779998779296875" hidden="0" customWidth="1"/>
    <x:col min="2" max="2" width="7.329999923706055" hidden="0" customWidth="1"/>
    <x:col min="3" max="3" width="7" hidden="0" customWidth="1"/>
    <x:col min="4" max="4" width="6" hidden="0" customWidth="1"/>
    <x:col min="5" max="5" width="38" hidden="0" customWidth="1"/>
    <x:col min="6" max="6" width="14.4399995803833" hidden="0" customWidth="1"/>
    <x:col min="7" max="7" width="10.890000343322754" hidden="0" customWidth="1"/>
    <x:col min="8" max="8" width="10.890000343322754" hidden="0" customWidth="1"/>
    <x:col min="9" max="9" width="16.329999923706055" hidden="0" customWidth="1"/>
    <x:col min="10" max="10" width="9.220000267028809" hidden="0" customWidth="1"/>
    <x:col min="11" max="11" width="7" hidden="0" customWidth="1"/>
    <x:col min="12" max="12" width="17.329999923706055" hidden="0" customWidth="1"/>
    <x:col min="13" max="13" width="22.219999313354492" hidden="0" customWidth="1"/>
    <x:col min="14" max="14" width="28" hidden="0" customWidth="1"/>
  </x:cols>
  <x:sheetData>
    <x:row r="1" ht="30" customHeight="1">
      <x:c r="A1" s="4" t="str">
        <x:v>國外委外明細｜最新月度受託機構明細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5" t="str">
        <x:v>日期</x:v>
      </x:c>
      <x:c r="B3" s="16" t="str">
        <x:v>期間</x:v>
      </x:c>
      <x:c r="C3" s="16" t="str">
        <x:v>基金</x:v>
      </x:c>
      <x:c r="D3" s="16" t="str">
        <x:v>區域</x:v>
      </x:c>
      <x:c r="E3" s="16" t="str">
        <x:v>批次／策略類型</x:v>
      </x:c>
      <x:c r="F3" s="16" t="str">
        <x:v>業者</x:v>
      </x:c>
      <x:c r="G3" s="16" t="str">
        <x:v>委託金額</x:v>
      </x:c>
      <x:c r="H3" s="16" t="str">
        <x:v>目前淨資產</x:v>
      </x:c>
      <x:c r="I3" s="16" t="str">
        <x:v>委外帳戶當期加/減</x:v>
      </x:c>
      <x:c r="J3" s="16" t="str">
        <x:v>帳戶狀態</x:v>
      </x:c>
      <x:c r="K3" s="16" t="str">
        <x:v>單位</x:v>
      </x:c>
      <x:c r="L3" s="16" t="str">
        <x:v>委任至今投資報酬率</x:v>
      </x:c>
      <x:c r="M3" s="16" t="str">
        <x:v>委任至今目標／指標報酬率</x:v>
      </x:c>
      <x:c r="N3" s="17" t="str">
        <x:v>來源檔案</x:v>
      </x:c>
    </x:row>
    <x:row r="4">
      <x:c r="A4" s="36" t="n">
        <x:v>46204</x:v>
      </x:c>
      <x:c r="B4" s="28" t="str">
        <x:v>115年7月</x:v>
      </x:c>
      <x:c r="C4" s="28" t="str">
        <x:v>新制</x:v>
      </x:c>
      <x:c r="D4" s="28" t="str">
        <x:v>國外</x:v>
      </x:c>
      <x:c r="E4" s="28" t="str">
        <x:v>97-1全球主動債券型（續約3）</x:v>
      </x:c>
      <x:c r="F4" s="28" t="str">
        <x:v>聯博</x:v>
      </x:c>
      <x:c r="G4" s="39" t="n">
        <x:v>900495639</x:v>
      </x:c>
      <x:c r="H4" s="39" t="n">
        <x:v>897752897</x:v>
      </x:c>
      <x:c r="I4" s="39" t="n">
        <x:v>-6520966</x:v>
      </x:c>
      <x:c r="J4" s="28" t="str">
        <x:v>持續</x:v>
      </x:c>
      <x:c r="K4" s="28" t="str">
        <x:v>美元</x:v>
      </x:c>
      <x:c r="L4" s="42" t="n">
        <x:v>-0.003</x:v>
      </x:c>
      <x:c r="M4" s="42" t="n">
        <x:v>-0.0048</x:v>
      </x:c>
      <x:c r="N4" s="29" t="str">
        <x:v>勞工退休基金-115年7月.pdf</x:v>
      </x:c>
    </x:row>
    <x:row r="5">
      <x:c r="A5" s="37" t="n">
        <x:v>46204</x:v>
      </x:c>
      <x:c r="B5" s="31" t="str">
        <x:v>115年7月</x:v>
      </x:c>
      <x:c r="C5" s="31" t="str">
        <x:v>新制</x:v>
      </x:c>
      <x:c r="D5" s="31" t="str">
        <x:v>國外</x:v>
      </x:c>
      <x:c r="E5" s="31" t="str">
        <x:v>97-1全球主動債券型（續約3）</x:v>
      </x:c>
      <x:c r="F5" s="31" t="str">
        <x:v>富蘭克林坦伯頓</x:v>
      </x:c>
      <x:c r="G5" s="40" t="n">
        <x:v>1338657958</x:v>
      </x:c>
      <x:c r="H5" s="40" t="n">
        <x:v>1334569313</x:v>
      </x:c>
      <x:c r="I5" s="40" t="n">
        <x:v>-7251097</x:v>
      </x:c>
      <x:c r="J5" s="31" t="str">
        <x:v>持續</x:v>
      </x:c>
      <x:c r="K5" s="31" t="str">
        <x:v>美元</x:v>
      </x:c>
      <x:c r="L5" s="43" t="n">
        <x:v>-0.0031</x:v>
      </x:c>
      <x:c r="M5" s="43" t="n">
        <x:v>-0.0048</x:v>
      </x:c>
      <x:c r="N5" s="32" t="str">
        <x:v>勞工退休基金-115年7月.pdf</x:v>
      </x:c>
    </x:row>
    <x:row r="6">
      <x:c r="A6" s="37" t="n">
        <x:v>46204</x:v>
      </x:c>
      <x:c r="B6" s="31" t="str">
        <x:v>115年7月</x:v>
      </x:c>
      <x:c r="C6" s="31" t="str">
        <x:v>新制</x:v>
      </x:c>
      <x:c r="D6" s="31" t="str">
        <x:v>國外</x:v>
      </x:c>
      <x:c r="E6" s="31" t="str">
        <x:v>97-2全球增值債券型（續約3）</x:v>
      </x:c>
      <x:c r="F6" s="31" t="str">
        <x:v>PIMCO</x:v>
      </x:c>
      <x:c r="G6" s="40" t="n">
        <x:v>2408967886</x:v>
      </x:c>
      <x:c r="H6" s="40" t="n">
        <x:v>2364612047</x:v>
      </x:c>
      <x:c r="I6" s="40" t="n">
        <x:v>-22907566</x:v>
      </x:c>
      <x:c r="J6" s="31" t="str">
        <x:v>持續</x:v>
      </x:c>
      <x:c r="K6" s="31" t="str">
        <x:v>美元</x:v>
      </x:c>
      <x:c r="L6" s="43" t="n">
        <x:v>-0.0496</x:v>
      </x:c>
      <x:c r="M6" s="43" t="n">
        <x:v>-0.07490000000000001</x:v>
      </x:c>
      <x:c r="N6" s="32" t="str">
        <x:v>勞工退休基金-115年7月.pdf</x:v>
      </x:c>
    </x:row>
    <x:row r="7">
      <x:c r="A7" s="37" t="n">
        <x:v>46204</x:v>
      </x:c>
      <x:c r="B7" s="31" t="str">
        <x:v>115年7月</x:v>
      </x:c>
      <x:c r="C7" s="31" t="str">
        <x:v>新制</x:v>
      </x:c>
      <x:c r="D7" s="31" t="str">
        <x:v>國外</x:v>
      </x:c>
      <x:c r="E7" s="31" t="str">
        <x:v>97-2全球增值股票型（續約3）</x:v>
      </x:c>
      <x:c r="F7" s="31" t="str">
        <x:v>貝萊德</x:v>
      </x:c>
      <x:c r="G7" s="40" t="n">
        <x:v>2034805538</x:v>
      </x:c>
      <x:c r="H7" s="40" t="n">
        <x:v>3608745347</x:v>
      </x:c>
      <x:c r="I7" s="40" t="n">
        <x:v>232055969</x:v>
      </x:c>
      <x:c r="J7" s="31" t="str">
        <x:v>持續</x:v>
      </x:c>
      <x:c r="K7" s="31" t="str">
        <x:v>美元</x:v>
      </x:c>
      <x:c r="L7" s="43" t="n">
        <x:v>0.8793000000000001</x:v>
      </x:c>
      <x:c r="M7" s="43" t="n">
        <x:v>0.6754000000000001</x:v>
      </x:c>
      <x:c r="N7" s="32" t="str">
        <x:v>勞工退休基金-115年7月.pdf</x:v>
      </x:c>
    </x:row>
    <x:row r="8">
      <x:c r="A8" s="37" t="n">
        <x:v>46204</x:v>
      </x:c>
      <x:c r="B8" s="31" t="str">
        <x:v>115年7月</x:v>
      </x:c>
      <x:c r="C8" s="31" t="str">
        <x:v>新制</x:v>
      </x:c>
      <x:c r="D8" s="31" t="str">
        <x:v>國外</x:v>
      </x:c>
      <x:c r="E8" s="31" t="str">
        <x:v>97-2全球增值股票型（續約3）</x:v>
      </x:c>
      <x:c r="F8" s="31" t="str">
        <x:v>JPMorgan（國外）</x:v>
      </x:c>
      <x:c r="G8" s="40" t="n">
        <x:v>1585120883</x:v>
      </x:c>
      <x:c r="H8" s="40" t="n">
        <x:v>2656287171</x:v>
      </x:c>
      <x:c r="I8" s="40" t="n">
        <x:v>6278013</x:v>
      </x:c>
      <x:c r="J8" s="31" t="str">
        <x:v>持續</x:v>
      </x:c>
      <x:c r="K8" s="31" t="str">
        <x:v>美元</x:v>
      </x:c>
      <x:c r="L8" s="43" t="n">
        <x:v>0.6968000000000001</x:v>
      </x:c>
      <x:c r="M8" s="43" t="n">
        <x:v>0.6754000000000001</x:v>
      </x:c>
      <x:c r="N8" s="32" t="str">
        <x:v>勞工退休基金-115年7月.pdf</x:v>
      </x:c>
    </x:row>
    <x:row r="9">
      <x:c r="A9" s="37" t="n">
        <x:v>46204</x:v>
      </x:c>
      <x:c r="B9" s="31" t="str">
        <x:v>115年7月</x:v>
      </x:c>
      <x:c r="C9" s="31" t="str">
        <x:v>新制</x:v>
      </x:c>
      <x:c r="D9" s="31" t="str">
        <x:v>國外</x:v>
      </x:c>
      <x:c r="E9" s="31" t="str">
        <x:v>98-1亞太（日本除外）主動股票型（續約3）</x:v>
      </x:c>
      <x:c r="F9" s="31" t="str">
        <x:v>景順</x:v>
      </x:c>
      <x:c r="G9" s="40" t="n">
        <x:v>656507639</x:v>
      </x:c>
      <x:c r="H9" s="40" t="n">
        <x:v>1304933202</x:v>
      </x:c>
      <x:c r="I9" s="40" t="n">
        <x:v>11196846</x:v>
      </x:c>
      <x:c r="J9" s="31" t="str">
        <x:v>持續</x:v>
      </x:c>
      <x:c r="K9" s="31" t="str">
        <x:v>美元</x:v>
      </x:c>
      <x:c r="L9" s="43" t="n">
        <x:v>0.9876999999999999</x:v>
      </x:c>
      <x:c r="M9" s="43" t="n">
        <x:v>0.882</x:v>
      </x:c>
      <x:c r="N9" s="32" t="str">
        <x:v>勞工退休基金-115年7月.pdf</x:v>
      </x:c>
    </x:row>
    <x:row r="10">
      <x:c r="A10" s="37" t="n">
        <x:v>46204</x:v>
      </x:c>
      <x:c r="B10" s="31" t="str">
        <x:v>115年7月</x:v>
      </x:c>
      <x:c r="C10" s="31" t="str">
        <x:v>新制</x:v>
      </x:c>
      <x:c r="D10" s="31" t="str">
        <x:v>國外</x:v>
      </x:c>
      <x:c r="E10" s="31" t="str">
        <x:v>98-1全球被動股票型（續約3）</x:v>
      </x:c>
      <x:c r="F10" s="31" t="str">
        <x:v>貝萊德</x:v>
      </x:c>
      <x:c r="G10" s="40" t="n">
        <x:v>1321092316</x:v>
      </x:c>
      <x:c r="H10" s="40" t="n">
        <x:v>2348868079</x:v>
      </x:c>
      <x:c r="I10" s="40" t="n">
        <x:v>-5498903</x:v>
      </x:c>
      <x:c r="J10" s="31" t="str">
        <x:v>持續</x:v>
      </x:c>
      <x:c r="K10" s="31" t="str">
        <x:v>美元</x:v>
      </x:c>
      <x:c r="L10" s="43" t="n">
        <x:v>0.8826999999999999</x:v>
      </x:c>
      <x:c r="M10" s="43" t="n">
        <x:v>0.8704999999999999</x:v>
      </x:c>
      <x:c r="N10" s="32" t="str">
        <x:v>勞工退休基金-115年7月.pdf</x:v>
      </x:c>
    </x:row>
    <x:row r="11">
      <x:c r="A11" s="37" t="n">
        <x:v>46204</x:v>
      </x:c>
      <x:c r="B11" s="31" t="str">
        <x:v>115年7月</x:v>
      </x:c>
      <x:c r="C11" s="31" t="str">
        <x:v>新制</x:v>
      </x:c>
      <x:c r="D11" s="31" t="str">
        <x:v>國外</x:v>
      </x:c>
      <x:c r="E11" s="31" t="str">
        <x:v>98-1全球被動股票型（續約3）</x:v>
      </x:c>
      <x:c r="F11" s="31" t="str">
        <x:v>道富</x:v>
      </x:c>
      <x:c r="G11" s="40" t="n">
        <x:v>1783655177</x:v>
      </x:c>
      <x:c r="H11" s="40" t="n">
        <x:v>3175972208</x:v>
      </x:c>
      <x:c r="I11" s="40" t="n">
        <x:v>6605173</x:v>
      </x:c>
      <x:c r="J11" s="31" t="str">
        <x:v>持續</x:v>
      </x:c>
      <x:c r="K11" s="31" t="str">
        <x:v>美元</x:v>
      </x:c>
      <x:c r="L11" s="43" t="n">
        <x:v>0.8973</x:v>
      </x:c>
      <x:c r="M11" s="43" t="n">
        <x:v>0.8704999999999999</x:v>
      </x:c>
      <x:c r="N11" s="32" t="str">
        <x:v>勞工退休基金-115年7月.pdf</x:v>
      </x:c>
    </x:row>
    <x:row r="12">
      <x:c r="A12" s="37" t="n">
        <x:v>46204</x:v>
      </x:c>
      <x:c r="B12" s="31" t="str">
        <x:v>115年7月</x:v>
      </x:c>
      <x:c r="C12" s="31" t="str">
        <x:v>新制</x:v>
      </x:c>
      <x:c r="D12" s="31" t="str">
        <x:v>國外</x:v>
      </x:c>
      <x:c r="E12" s="31" t="str">
        <x:v>100-1全球基本面指數被動股票型（續約3）</x:v>
      </x:c>
      <x:c r="F12" s="31" t="str">
        <x:v>道富</x:v>
      </x:c>
      <x:c r="G12" s="40" t="n">
        <x:v>1683240295</x:v>
      </x:c>
      <x:c r="H12" s="40" t="n">
        <x:v>1714089252</x:v>
      </x:c>
      <x:c r="I12" s="40" t="n">
        <x:v>1714089252</x:v>
      </x:c>
      <x:c r="J12" s="31" t="str">
        <x:v>新增</x:v>
      </x:c>
      <x:c r="K12" s="31" t="str">
        <x:v>美元</x:v>
      </x:c>
      <x:c r="L12" s="43" t="n">
        <x:v>0.0183</x:v>
      </x:c>
      <x:c r="M12" s="43" t="n">
        <x:v>0.0174</x:v>
      </x:c>
      <x:c r="N12" s="32" t="str">
        <x:v>勞工退休基金-115年7月.pdf</x:v>
      </x:c>
    </x:row>
    <x:row r="13">
      <x:c r="A13" s="37" t="n">
        <x:v>46204</x:v>
      </x:c>
      <x:c r="B13" s="31" t="str">
        <x:v>115年7月</x:v>
      </x:c>
      <x:c r="C13" s="31" t="str">
        <x:v>新制</x:v>
      </x:c>
      <x:c r="D13" s="31" t="str">
        <x:v>國外</x:v>
      </x:c>
      <x:c r="E13" s="31" t="str">
        <x:v>100-1全球基本面指數被動股票型（續約3）</x:v>
      </x:c>
      <x:c r="F13" s="31" t="str">
        <x:v>貝萊德</x:v>
      </x:c>
      <x:c r="G13" s="40" t="n">
        <x:v>1687228552</x:v>
      </x:c>
      <x:c r="H13" s="40" t="n">
        <x:v>1711777799</x:v>
      </x:c>
      <x:c r="I13" s="40" t="n">
        <x:v>1711777799</x:v>
      </x:c>
      <x:c r="J13" s="31" t="str">
        <x:v>新增</x:v>
      </x:c>
      <x:c r="K13" s="31" t="str">
        <x:v>美元</x:v>
      </x:c>
      <x:c r="L13" s="43" t="n">
        <x:v>0.0146</x:v>
      </x:c>
      <x:c r="M13" s="43" t="n">
        <x:v>0.0174</x:v>
      </x:c>
      <x:c r="N13" s="32" t="str">
        <x:v>勞工退休基金-115年7月.pdf</x:v>
      </x:c>
    </x:row>
    <x:row r="14">
      <x:c r="A14" s="37" t="n">
        <x:v>46204</x:v>
      </x:c>
      <x:c r="B14" s="31" t="str">
        <x:v>115年7月</x:v>
      </x:c>
      <x:c r="C14" s="31" t="str">
        <x:v>新制</x:v>
      </x:c>
      <x:c r="D14" s="31" t="str">
        <x:v>國外</x:v>
      </x:c>
      <x:c r="E14" s="31" t="str">
        <x:v>100-1全球不動產有價證券型（續約2）</x:v>
      </x:c>
      <x:c r="F14" s="31" t="str">
        <x:v>Cohen &amp;Steers</x:v>
      </x:c>
      <x:c r="G14" s="40" t="n">
        <x:v>2555932432</x:v>
      </x:c>
      <x:c r="H14" s="40" t="n">
        <x:v>2941839542</x:v>
      </x:c>
      <x:c r="I14" s="40" t="n">
        <x:v>79438726</x:v>
      </x:c>
      <x:c r="J14" s="31" t="str">
        <x:v>持續</x:v>
      </x:c>
      <x:c r="K14" s="31" t="str">
        <x:v>美元</x:v>
      </x:c>
      <x:c r="L14" s="43" t="n">
        <x:v>0.1306</x:v>
      </x:c>
      <x:c r="M14" s="43"/>
      <x:c r="N14" s="32" t="str">
        <x:v>勞工退休基金-115年7月.pdf</x:v>
      </x:c>
    </x:row>
    <x:row r="15">
      <x:c r="A15" s="37" t="n">
        <x:v>46204</x:v>
      </x:c>
      <x:c r="B15" s="31" t="str">
        <x:v>115年7月</x:v>
      </x:c>
      <x:c r="C15" s="31" t="str">
        <x:v>新制</x:v>
      </x:c>
      <x:c r="D15" s="31" t="str">
        <x:v>國外</x:v>
      </x:c>
      <x:c r="E15" s="31" t="str">
        <x:v>100-1全球不動產有價證券型（續約2）</x:v>
      </x:c>
      <x:c r="F15" s="31" t="str">
        <x:v>景順</x:v>
      </x:c>
      <x:c r="G15" s="40" t="n">
        <x:v>1417127452</x:v>
      </x:c>
      <x:c r="H15" s="40" t="n">
        <x:v>1552479450</x:v>
      </x:c>
      <x:c r="I15" s="40" t="n">
        <x:v>43035694</x:v>
      </x:c>
      <x:c r="J15" s="31" t="str">
        <x:v>持續</x:v>
      </x:c>
      <x:c r="K15" s="31" t="str">
        <x:v>美元</x:v>
      </x:c>
      <x:c r="L15" s="43" t="n">
        <x:v>0.08070000000000001</x:v>
      </x:c>
      <x:c r="M15" s="43"/>
      <x:c r="N15" s="32" t="str">
        <x:v>勞工退休基金-115年7月.pdf</x:v>
      </x:c>
    </x:row>
    <x:row r="16">
      <x:c r="A16" s="37" t="n">
        <x:v>46204</x:v>
      </x:c>
      <x:c r="B16" s="31" t="str">
        <x:v>115年7月</x:v>
      </x:c>
      <x:c r="C16" s="31" t="str">
        <x:v>新制</x:v>
      </x:c>
      <x:c r="D16" s="31" t="str">
        <x:v>國外</x:v>
      </x:c>
      <x:c r="E16" s="31" t="str">
        <x:v>101-1全球新興市場主動債券型（續約2）</x:v>
      </x:c>
      <x:c r="F16" s="31" t="str">
        <x:v>Pictet</x:v>
      </x:c>
      <x:c r="G16" s="40" t="n">
        <x:v>618843493</x:v>
      </x:c>
      <x:c r="H16" s="40" t="n">
        <x:v>769778438</x:v>
      </x:c>
      <x:c r="I16" s="40" t="n">
        <x:v>-7734260</x:v>
      </x:c>
      <x:c r="J16" s="31" t="str">
        <x:v>持續</x:v>
      </x:c>
      <x:c r="K16" s="31" t="str">
        <x:v>美元</x:v>
      </x:c>
      <x:c r="L16" s="43" t="n">
        <x:v>0.24969999999999998</x:v>
      </x:c>
      <x:c r="M16" s="43" t="n">
        <x:v>0.2728</x:v>
      </x:c>
      <x:c r="N16" s="32" t="str">
        <x:v>勞工退休基金-115年7月.pdf</x:v>
      </x:c>
    </x:row>
    <x:row r="17">
      <x:c r="A17" s="37" t="n">
        <x:v>46204</x:v>
      </x:c>
      <x:c r="B17" s="31" t="str">
        <x:v>115年7月</x:v>
      </x:c>
      <x:c r="C17" s="31" t="str">
        <x:v>新制</x:v>
      </x:c>
      <x:c r="D17" s="31" t="str">
        <x:v>國外</x:v>
      </x:c>
      <x:c r="E17" s="31" t="str">
        <x:v>101-1全球低波動指數被動股票型（續約2）</x:v>
      </x:c>
      <x:c r="F17" s="31" t="str">
        <x:v>道富</x:v>
      </x:c>
      <x:c r="G17" s="40" t="n">
        <x:v>1263392347</x:v>
      </x:c>
      <x:c r="H17" s="40" t="n">
        <x:v>1666508211</x:v>
      </x:c>
      <x:c r="I17" s="40" t="n">
        <x:v>45958505</x:v>
      </x:c>
      <x:c r="J17" s="31" t="str">
        <x:v>持續</x:v>
      </x:c>
      <x:c r="K17" s="31" t="str">
        <x:v>美元</x:v>
      </x:c>
      <x:c r="L17" s="43" t="n">
        <x:v>0.345</x:v>
      </x:c>
      <x:c r="M17" s="43" t="n">
        <x:v>0.3337</x:v>
      </x:c>
      <x:c r="N17" s="32" t="str">
        <x:v>勞工退休基金-115年7月.pdf</x:v>
      </x:c>
    </x:row>
    <x:row r="18">
      <x:c r="A18" s="37" t="n">
        <x:v>46204</x:v>
      </x:c>
      <x:c r="B18" s="31" t="str">
        <x:v>115年7月</x:v>
      </x:c>
      <x:c r="C18" s="31" t="str">
        <x:v>新制</x:v>
      </x:c>
      <x:c r="D18" s="31" t="str">
        <x:v>國外</x:v>
      </x:c>
      <x:c r="E18" s="31" t="str">
        <x:v>101-1全球低波動指數被動股票型（續約2）</x:v>
      </x:c>
      <x:c r="F18" s="31" t="str">
        <x:v>貝萊德</x:v>
      </x:c>
      <x:c r="G18" s="40" t="n">
        <x:v>1352011599</x:v>
      </x:c>
      <x:c r="H18" s="40" t="n">
        <x:v>1781352129</x:v>
      </x:c>
      <x:c r="I18" s="40" t="n">
        <x:v>49415079</x:v>
      </x:c>
      <x:c r="J18" s="31" t="str">
        <x:v>持續</x:v>
      </x:c>
      <x:c r="K18" s="31" t="str">
        <x:v>美元</x:v>
      </x:c>
      <x:c r="L18" s="43" t="n">
        <x:v>0.3471</x:v>
      </x:c>
      <x:c r="M18" s="43" t="n">
        <x:v>0.3337</x:v>
      </x:c>
      <x:c r="N18" s="32" t="str">
        <x:v>勞工退休基金-115年7月.pdf</x:v>
      </x:c>
    </x:row>
    <x:row r="19">
      <x:c r="A19" s="37" t="n">
        <x:v>46204</x:v>
      </x:c>
      <x:c r="B19" s="31" t="str">
        <x:v>115年7月</x:v>
      </x:c>
      <x:c r="C19" s="31" t="str">
        <x:v>新制</x:v>
      </x:c>
      <x:c r="D19" s="31" t="str">
        <x:v>國外</x:v>
      </x:c>
      <x:c r="E19" s="31" t="str">
        <x:v>102-1全球高股利增值股票型（續約2）</x:v>
      </x:c>
      <x:c r="F19" s="31" t="str">
        <x:v>瑞萬通博</x:v>
      </x:c>
      <x:c r="G19" s="40" t="n">
        <x:v>1796000834</x:v>
      </x:c>
      <x:c r="H19" s="40" t="n">
        <x:v>2098200969</x:v>
      </x:c>
      <x:c r="I19" s="40" t="n">
        <x:v>-4941952</x:v>
      </x:c>
      <x:c r="J19" s="31" t="str">
        <x:v>持續</x:v>
      </x:c>
      <x:c r="K19" s="31" t="str">
        <x:v>美元</x:v>
      </x:c>
      <x:c r="L19" s="43" t="n">
        <x:v>0.1744</x:v>
      </x:c>
      <x:c r="M19" s="43" t="n">
        <x:v>0.5083</x:v>
      </x:c>
      <x:c r="N19" s="32" t="str">
        <x:v>勞工退休基金-115年7月.pdf</x:v>
      </x:c>
    </x:row>
    <x:row r="20">
      <x:c r="A20" s="37" t="n">
        <x:v>46204</x:v>
      </x:c>
      <x:c r="B20" s="31" t="str">
        <x:v>115年7月</x:v>
      </x:c>
      <x:c r="C20" s="31" t="str">
        <x:v>新制</x:v>
      </x:c>
      <x:c r="D20" s="31" t="str">
        <x:v>國外</x:v>
      </x:c>
      <x:c r="E20" s="31" t="str">
        <x:v>102-1全球高股利增值股票型（續約2）</x:v>
      </x:c>
      <x:c r="F20" s="31" t="str">
        <x:v>MFS</x:v>
      </x:c>
      <x:c r="G20" s="40" t="n">
        <x:v>1164480846</x:v>
      </x:c>
      <x:c r="H20" s="40" t="n">
        <x:v>1785160367</x:v>
      </x:c>
      <x:c r="I20" s="40" t="n">
        <x:v>66873759</x:v>
      </x:c>
      <x:c r="J20" s="31" t="str">
        <x:v>持續</x:v>
      </x:c>
      <x:c r="K20" s="31" t="str">
        <x:v>美元</x:v>
      </x:c>
      <x:c r="L20" s="43" t="n">
        <x:v>0.5401</x:v>
      </x:c>
      <x:c r="M20" s="43" t="n">
        <x:v>0.5083</x:v>
      </x:c>
      <x:c r="N20" s="32" t="str">
        <x:v>勞工退休基金-115年7月.pdf</x:v>
      </x:c>
    </x:row>
    <x:row r="21">
      <x:c r="A21" s="37" t="n">
        <x:v>46204</x:v>
      </x:c>
      <x:c r="B21" s="31" t="str">
        <x:v>115年7月</x:v>
      </x:c>
      <x:c r="C21" s="31" t="str">
        <x:v>新制</x:v>
      </x:c>
      <x:c r="D21" s="31" t="str">
        <x:v>國外</x:v>
      </x:c>
      <x:c r="E21" s="31" t="str">
        <x:v>102-1全球高股利增值股票型（續約2）</x:v>
      </x:c>
      <x:c r="F21" s="31" t="str">
        <x:v>威靈頓</x:v>
      </x:c>
      <x:c r="G21" s="40" t="n">
        <x:v>1507914919</x:v>
      </x:c>
      <x:c r="H21" s="40" t="n">
        <x:v>2290978822</x:v>
      </x:c>
      <x:c r="I21" s="40" t="n">
        <x:v>76464879</x:v>
      </x:c>
      <x:c r="J21" s="31" t="str">
        <x:v>持續</x:v>
      </x:c>
      <x:c r="K21" s="31" t="str">
        <x:v>美元</x:v>
      </x:c>
      <x:c r="L21" s="43" t="n">
        <x:v>0.5279</x:v>
      </x:c>
      <x:c r="M21" s="43" t="n">
        <x:v>0.5083</x:v>
      </x:c>
      <x:c r="N21" s="32" t="str">
        <x:v>勞工退休基金-115年7月.pdf</x:v>
      </x:c>
    </x:row>
    <x:row r="22">
      <x:c r="A22" s="37" t="n">
        <x:v>46204</x:v>
      </x:c>
      <x:c r="B22" s="31" t="str">
        <x:v>115年7月</x:v>
      </x:c>
      <x:c r="C22" s="31" t="str">
        <x:v>新制</x:v>
      </x:c>
      <x:c r="D22" s="31" t="str">
        <x:v>國外</x:v>
      </x:c>
      <x:c r="E22" s="31" t="str">
        <x:v>102-1全球信用主動債券型（續約2）</x:v>
      </x:c>
      <x:c r="F22" s="31" t="str">
        <x:v>RBC</x:v>
      </x:c>
      <x:c r="G22" s="40" t="n">
        <x:v>1186559371</x:v>
      </x:c>
      <x:c r="H22" s="40" t="n">
        <x:v>1352096519</x:v>
      </x:c>
      <x:c r="I22" s="40" t="n">
        <x:v>-15992016</x:v>
      </x:c>
      <x:c r="J22" s="31" t="str">
        <x:v>持續</x:v>
      </x:c>
      <x:c r="K22" s="31" t="str">
        <x:v>美元</x:v>
      </x:c>
      <x:c r="L22" s="43" t="n">
        <x:v>0.1457</x:v>
      </x:c>
      <x:c r="M22" s="43" t="n">
        <x:v>0.1376</x:v>
      </x:c>
      <x:c r="N22" s="32" t="str">
        <x:v>勞工退休基金-115年7月.pdf</x:v>
      </x:c>
    </x:row>
    <x:row r="23">
      <x:c r="A23" s="37" t="n">
        <x:v>46204</x:v>
      </x:c>
      <x:c r="B23" s="31" t="str">
        <x:v>115年7月</x:v>
      </x:c>
      <x:c r="C23" s="31" t="str">
        <x:v>新制</x:v>
      </x:c>
      <x:c r="D23" s="31" t="str">
        <x:v>國外</x:v>
      </x:c>
      <x:c r="E23" s="31" t="str">
        <x:v>102-1全球信用主動債券型（續約2）</x:v>
      </x:c>
      <x:c r="F23" s="31" t="str">
        <x:v>貝萊德</x:v>
      </x:c>
      <x:c r="G23" s="40" t="n">
        <x:v>670392768</x:v>
      </x:c>
      <x:c r="H23" s="40" t="n">
        <x:v>760653316</x:v>
      </x:c>
      <x:c r="I23" s="40" t="n">
        <x:v>-8033409</x:v>
      </x:c>
      <x:c r="J23" s="31" t="str">
        <x:v>持續</x:v>
      </x:c>
      <x:c r="K23" s="31" t="str">
        <x:v>美元</x:v>
      </x:c>
      <x:c r="L23" s="43" t="n">
        <x:v>0.1346</x:v>
      </x:c>
      <x:c r="M23" s="43" t="n">
        <x:v>0.1376</x:v>
      </x:c>
      <x:c r="N23" s="32" t="str">
        <x:v>勞工退休基金-115年7月.pdf</x:v>
      </x:c>
    </x:row>
    <x:row r="24">
      <x:c r="A24" s="37" t="n">
        <x:v>46204</x:v>
      </x:c>
      <x:c r="B24" s="31" t="str">
        <x:v>115年7月</x:v>
      </x:c>
      <x:c r="C24" s="31" t="str">
        <x:v>新制</x:v>
      </x:c>
      <x:c r="D24" s="31" t="str">
        <x:v>國外</x:v>
      </x:c>
      <x:c r="E24" s="31" t="str">
        <x:v>102-1全球信用主動債券型（續約2）</x:v>
      </x:c>
      <x:c r="F24" s="31" t="str">
        <x:v>盧米斯</x:v>
      </x:c>
      <x:c r="G24" s="40" t="n">
        <x:v>941561542</x:v>
      </x:c>
      <x:c r="H24" s="40" t="n">
        <x:v>1065528056</x:v>
      </x:c>
      <x:c r="I24" s="40" t="n">
        <x:v>-12213749</x:v>
      </x:c>
      <x:c r="J24" s="31" t="str">
        <x:v>持續</x:v>
      </x:c>
      <x:c r="K24" s="31" t="str">
        <x:v>美元</x:v>
      </x:c>
      <x:c r="L24" s="43" t="n">
        <x:v>0.1351</x:v>
      </x:c>
      <x:c r="M24" s="43" t="n">
        <x:v>0.1376</x:v>
      </x:c>
      <x:c r="N24" s="32" t="str">
        <x:v>勞工退休基金-115年7月.pdf</x:v>
      </x:c>
    </x:row>
    <x:row r="25">
      <x:c r="A25" s="37" t="n">
        <x:v>46204</x:v>
      </x:c>
      <x:c r="B25" s="31" t="str">
        <x:v>115年7月</x:v>
      </x:c>
      <x:c r="C25" s="31" t="str">
        <x:v>新制</x:v>
      </x:c>
      <x:c r="D25" s="31" t="str">
        <x:v>國外</x:v>
      </x:c>
      <x:c r="E25" s="31" t="str">
        <x:v>104-1全球高品質被動股票型（續約2）</x:v>
      </x:c>
      <x:c r="F25" s="31" t="str">
        <x:v>北美信託</x:v>
      </x:c>
      <x:c r="G25" s="40" t="n">
        <x:v>3222313413</x:v>
      </x:c>
      <x:c r="H25" s="40" t="n">
        <x:v>3904111203</x:v>
      </x:c>
      <x:c r="I25" s="40" t="n">
        <x:v>-71469561</x:v>
      </x:c>
      <x:c r="J25" s="31" t="str">
        <x:v>持續</x:v>
      </x:c>
      <x:c r="K25" s="31" t="str">
        <x:v>美元</x:v>
      </x:c>
      <x:c r="L25" s="43" t="n">
        <x:v>0.2121</x:v>
      </x:c>
      <x:c r="M25" s="43" t="n">
        <x:v>0.21989999999999998</x:v>
      </x:c>
      <x:c r="N25" s="32" t="str">
        <x:v>勞工退休基金-115年7月.pdf</x:v>
      </x:c>
    </x:row>
    <x:row r="26">
      <x:c r="A26" s="37" t="n">
        <x:v>46204</x:v>
      </x:c>
      <x:c r="B26" s="31" t="str">
        <x:v>115年7月</x:v>
      </x:c>
      <x:c r="C26" s="31" t="str">
        <x:v>新制</x:v>
      </x:c>
      <x:c r="D26" s="31" t="str">
        <x:v>國外</x:v>
      </x:c>
      <x:c r="E26" s="31" t="str">
        <x:v>104-1全球高品質被動股票型（續約2）</x:v>
      </x:c>
      <x:c r="F26" s="31" t="str">
        <x:v>L&amp;G</x:v>
      </x:c>
      <x:c r="G26" s="40" t="n">
        <x:v>3208355339</x:v>
      </x:c>
      <x:c r="H26" s="40" t="n">
        <x:v>3866001108</x:v>
      </x:c>
      <x:c r="I26" s="40" t="n">
        <x:v>3866001108</x:v>
      </x:c>
      <x:c r="J26" s="31" t="str">
        <x:v>新增</x:v>
      </x:c>
      <x:c r="K26" s="31" t="str">
        <x:v>美元</x:v>
      </x:c>
      <x:c r="L26" s="43" t="n">
        <x:v>0.20559999999999998</x:v>
      </x:c>
      <x:c r="M26" s="43" t="n">
        <x:v>0.21989999999999998</x:v>
      </x:c>
      <x:c r="N26" s="32" t="str">
        <x:v>勞工退休基金-115年7月.pdf</x:v>
      </x:c>
    </x:row>
    <x:row r="27">
      <x:c r="A27" s="37" t="n">
        <x:v>46204</x:v>
      </x:c>
      <x:c r="B27" s="31" t="str">
        <x:v>115年7月</x:v>
      </x:c>
      <x:c r="C27" s="31" t="str">
        <x:v>新制</x:v>
      </x:c>
      <x:c r="D27" s="31" t="str">
        <x:v>國外</x:v>
      </x:c>
      <x:c r="E27" s="31" t="str">
        <x:v>104-1全球高品質被動股票型（續約2）</x:v>
      </x:c>
      <x:c r="F27" s="31" t="str">
        <x:v>Geode</x:v>
      </x:c>
      <x:c r="G27" s="40" t="n">
        <x:v>3189006741</x:v>
      </x:c>
      <x:c r="H27" s="40" t="n">
        <x:v>3853735625</x:v>
      </x:c>
      <x:c r="I27" s="40" t="n">
        <x:v>-68827965</x:v>
      </x:c>
      <x:c r="J27" s="31" t="str">
        <x:v>持續</x:v>
      </x:c>
      <x:c r="K27" s="31" t="str">
        <x:v>美元</x:v>
      </x:c>
      <x:c r="L27" s="43" t="n">
        <x:v>0.209</x:v>
      </x:c>
      <x:c r="M27" s="43" t="n">
        <x:v>0.21989999999999998</x:v>
      </x:c>
      <x:c r="N27" s="32" t="str">
        <x:v>勞工退休基金-115年7月.pdf</x:v>
      </x:c>
    </x:row>
    <x:row r="28">
      <x:c r="A28" s="37" t="n">
        <x:v>46204</x:v>
      </x:c>
      <x:c r="B28" s="31" t="str">
        <x:v>115年7月</x:v>
      </x:c>
      <x:c r="C28" s="31" t="str">
        <x:v>新制</x:v>
      </x:c>
      <x:c r="D28" s="31" t="str">
        <x:v>國外</x:v>
      </x:c>
      <x:c r="E28" s="31" t="str">
        <x:v>104-2全球基礎建設有價證券型（續約2）</x:v>
      </x:c>
      <x:c r="F28" s="31" t="str">
        <x:v>Magellan</x:v>
      </x:c>
      <x:c r="G28" s="40" t="n">
        <x:v>1159305130</x:v>
      </x:c>
      <x:c r="H28" s="40" t="n">
        <x:v>1318692011</x:v>
      </x:c>
      <x:c r="I28" s="40" t="n">
        <x:v>1318692011</x:v>
      </x:c>
      <x:c r="J28" s="31" t="str">
        <x:v>新增</x:v>
      </x:c>
      <x:c r="K28" s="31" t="str">
        <x:v>美元</x:v>
      </x:c>
      <x:c r="L28" s="43" t="n">
        <x:v>0.1375</x:v>
      </x:c>
      <x:c r="M28" s="43" t="n">
        <x:v>0.1247</x:v>
      </x:c>
      <x:c r="N28" s="32" t="str">
        <x:v>勞工退休基金-115年7月.pdf</x:v>
      </x:c>
    </x:row>
    <x:row r="29">
      <x:c r="A29" s="37" t="n">
        <x:v>46204</x:v>
      </x:c>
      <x:c r="B29" s="31" t="str">
        <x:v>115年7月</x:v>
      </x:c>
      <x:c r="C29" s="31" t="str">
        <x:v>新制</x:v>
      </x:c>
      <x:c r="D29" s="31" t="str">
        <x:v>國外</x:v>
      </x:c>
      <x:c r="E29" s="31" t="str">
        <x:v>104-2全球基礎建設有價證券型（續約2）</x:v>
      </x:c>
      <x:c r="F29" s="31" t="str">
        <x:v>RREEF</x:v>
      </x:c>
      <x:c r="G29" s="40" t="n">
        <x:v>1668471152</x:v>
      </x:c>
      <x:c r="H29" s="40" t="n">
        <x:v>1836404740</x:v>
      </x:c>
      <x:c r="I29" s="40" t="n">
        <x:v>1836404740</x:v>
      </x:c>
      <x:c r="J29" s="31" t="str">
        <x:v>新增</x:v>
      </x:c>
      <x:c r="K29" s="31" t="str">
        <x:v>美元</x:v>
      </x:c>
      <x:c r="L29" s="43" t="n">
        <x:v>0.1007</x:v>
      </x:c>
      <x:c r="M29" s="43" t="n">
        <x:v>0.1247</x:v>
      </x:c>
      <x:c r="N29" s="32" t="str">
        <x:v>勞工退休基金-115年7月.pdf</x:v>
      </x:c>
    </x:row>
    <x:row r="30">
      <x:c r="A30" s="37" t="n">
        <x:v>46204</x:v>
      </x:c>
      <x:c r="B30" s="31" t="str">
        <x:v>115年7月</x:v>
      </x:c>
      <x:c r="C30" s="31" t="str">
        <x:v>新制</x:v>
      </x:c>
      <x:c r="D30" s="31" t="str">
        <x:v>國外</x:v>
      </x:c>
      <x:c r="E30" s="31" t="str">
        <x:v>105-1亞太混合指數增值股票型(續約)</x:v>
      </x:c>
      <x:c r="F30" s="31" t="str">
        <x:v>貝萊德</x:v>
      </x:c>
      <x:c r="G30" s="40" t="n">
        <x:v>949175052</x:v>
      </x:c>
      <x:c r="H30" s="40" t="n">
        <x:v>1656860388</x:v>
      </x:c>
      <x:c r="I30" s="40" t="n">
        <x:v>-61990147</x:v>
      </x:c>
      <x:c r="J30" s="31" t="str">
        <x:v>持續</x:v>
      </x:c>
      <x:c r="K30" s="31" t="str">
        <x:v>美元</x:v>
      </x:c>
      <x:c r="L30" s="43" t="n">
        <x:v>0.7456</x:v>
      </x:c>
      <x:c r="M30" s="43" t="n">
        <x:v>0.6866</x:v>
      </x:c>
      <x:c r="N30" s="32" t="str">
        <x:v>勞工退休基金-115年7月.pdf</x:v>
      </x:c>
    </x:row>
    <x:row r="31">
      <x:c r="A31" s="37" t="n">
        <x:v>46204</x:v>
      </x:c>
      <x:c r="B31" s="31" t="str">
        <x:v>115年7月</x:v>
      </x:c>
      <x:c r="C31" s="31" t="str">
        <x:v>新制</x:v>
      </x:c>
      <x:c r="D31" s="31" t="str">
        <x:v>國外</x:v>
      </x:c>
      <x:c r="E31" s="31" t="str">
        <x:v>106-1全球ESG混合指數被動股票型(續約)</x:v>
      </x:c>
      <x:c r="F31" s="31" t="str">
        <x:v>貝萊德</x:v>
      </x:c>
      <x:c r="G31" s="40" t="n">
        <x:v>641552002</x:v>
      </x:c>
      <x:c r="H31" s="40" t="n">
        <x:v>1179392915</x:v>
      </x:c>
      <x:c r="I31" s="40" t="n">
        <x:v>-5865687</x:v>
      </x:c>
      <x:c r="J31" s="31" t="str">
        <x:v>持續</x:v>
      </x:c>
      <x:c r="K31" s="31" t="str">
        <x:v>美元</x:v>
      </x:c>
      <x:c r="L31" s="43" t="n">
        <x:v>0.9170999999999999</x:v>
      </x:c>
      <x:c r="M31" s="43" t="n">
        <x:v>0.914</x:v>
      </x:c>
      <x:c r="N31" s="32" t="str">
        <x:v>勞工退休基金-115年7月.pdf</x:v>
      </x:c>
    </x:row>
    <x:row r="32">
      <x:c r="A32" s="37" t="n">
        <x:v>46204</x:v>
      </x:c>
      <x:c r="B32" s="31" t="str">
        <x:v>115年7月</x:v>
      </x:c>
      <x:c r="C32" s="31" t="str">
        <x:v>新制</x:v>
      </x:c>
      <x:c r="D32" s="31" t="str">
        <x:v>國外</x:v>
      </x:c>
      <x:c r="E32" s="31" t="str">
        <x:v>106-1全球ESG混合指數被動股票型(續約)</x:v>
      </x:c>
      <x:c r="F32" s="31" t="str">
        <x:v>DWS</x:v>
      </x:c>
      <x:c r="G32" s="40" t="n">
        <x:v>848715051</x:v>
      </x:c>
      <x:c r="H32" s="40" t="n">
        <x:v>1520309377</x:v>
      </x:c>
      <x:c r="I32" s="40" t="n">
        <x:v>-1531838</x:v>
      </x:c>
      <x:c r="J32" s="31" t="str">
        <x:v>持續</x:v>
      </x:c>
      <x:c r="K32" s="31" t="str">
        <x:v>美元</x:v>
      </x:c>
      <x:c r="L32" s="43" t="n">
        <x:v>0.9606999999999999</x:v>
      </x:c>
      <x:c r="M32" s="43" t="n">
        <x:v>0.914</x:v>
      </x:c>
      <x:c r="N32" s="32" t="str">
        <x:v>勞工退休基金-115年7月.pdf</x:v>
      </x:c>
    </x:row>
    <x:row r="33">
      <x:c r="A33" s="37" t="n">
        <x:v>46204</x:v>
      </x:c>
      <x:c r="B33" s="31" t="str">
        <x:v>115年7月</x:v>
      </x:c>
      <x:c r="C33" s="31" t="str">
        <x:v>新制</x:v>
      </x:c>
      <x:c r="D33" s="31" t="str">
        <x:v>國外</x:v>
      </x:c>
      <x:c r="E33" s="31" t="str">
        <x:v>106-1全球ESG混合指數被動股票型(續約)</x:v>
      </x:c>
      <x:c r="F33" s="31" t="str">
        <x:v>道富</x:v>
      </x:c>
      <x:c r="G33" s="40" t="n">
        <x:v>849045562</x:v>
      </x:c>
      <x:c r="H33" s="40" t="n">
        <x:v>1538613293</x:v>
      </x:c>
      <x:c r="I33" s="40" t="n">
        <x:v>-2206522</x:v>
      </x:c>
      <x:c r="J33" s="31" t="str">
        <x:v>持續</x:v>
      </x:c>
      <x:c r="K33" s="31" t="str">
        <x:v>美元</x:v>
      </x:c>
      <x:c r="L33" s="43" t="n">
        <x:v>0.9578</x:v>
      </x:c>
      <x:c r="M33" s="43" t="n">
        <x:v>0.914</x:v>
      </x:c>
      <x:c r="N33" s="32" t="str">
        <x:v>勞工退休基金-115年7月.pdf</x:v>
      </x:c>
    </x:row>
    <x:row r="34">
      <x:c r="A34" s="37" t="n">
        <x:v>46204</x:v>
      </x:c>
      <x:c r="B34" s="31" t="str">
        <x:v>115年7月</x:v>
      </x:c>
      <x:c r="C34" s="31" t="str">
        <x:v>新制</x:v>
      </x:c>
      <x:c r="D34" s="31" t="str">
        <x:v>國外</x:v>
      </x:c>
      <x:c r="E34" s="31" t="str">
        <x:v>106-1全球ESG混合指數被動股票型(續約)</x:v>
      </x:c>
      <x:c r="F34" s="31" t="str">
        <x:v>北美信託</x:v>
      </x:c>
      <x:c r="G34" s="40" t="n">
        <x:v>762047560</x:v>
      </x:c>
      <x:c r="H34" s="40" t="n">
        <x:v>1408516487</x:v>
      </x:c>
      <x:c r="I34" s="40" t="n">
        <x:v>-3741370</x:v>
      </x:c>
      <x:c r="J34" s="31" t="str">
        <x:v>持續</x:v>
      </x:c>
      <x:c r="K34" s="31" t="str">
        <x:v>美元</x:v>
      </x:c>
      <x:c r="L34" s="43" t="n">
        <x:v>0.9377</x:v>
      </x:c>
      <x:c r="M34" s="43" t="n">
        <x:v>0.914</x:v>
      </x:c>
      <x:c r="N34" s="32" t="str">
        <x:v>勞工退休基金-115年7月.pdf</x:v>
      </x:c>
    </x:row>
    <x:row r="35">
      <x:c r="A35" s="37" t="n">
        <x:v>46204</x:v>
      </x:c>
      <x:c r="B35" s="31" t="str">
        <x:v>115年7月</x:v>
      </x:c>
      <x:c r="C35" s="31" t="str">
        <x:v>新制</x:v>
      </x:c>
      <x:c r="D35" s="31" t="str">
        <x:v>國外</x:v>
      </x:c>
      <x:c r="E35" s="31" t="str">
        <x:v>106-1絕對報酬債券型(續約)</x:v>
      </x:c>
      <x:c r="F35" s="31" t="str">
        <x:v>American Century</x:v>
      </x:c>
      <x:c r="G35" s="40" t="n">
        <x:v>427360620</x:v>
      </x:c>
      <x:c r="H35" s="40" t="n">
        <x:v>523380643</x:v>
      </x:c>
      <x:c r="I35" s="40" t="n">
        <x:v>502276</x:v>
      </x:c>
      <x:c r="J35" s="31" t="str">
        <x:v>持續</x:v>
      </x:c>
      <x:c r="K35" s="31" t="str">
        <x:v>美元</x:v>
      </x:c>
      <x:c r="L35" s="43" t="n">
        <x:v>0.22469999999999998</x:v>
      </x:c>
      <x:c r="M35" s="43"/>
      <x:c r="N35" s="32" t="str">
        <x:v>勞工退休基金-115年7月.pdf</x:v>
      </x:c>
    </x:row>
    <x:row r="36">
      <x:c r="A36" s="37" t="n">
        <x:v>46204</x:v>
      </x:c>
      <x:c r="B36" s="31" t="str">
        <x:v>115年7月</x:v>
      </x:c>
      <x:c r="C36" s="31" t="str">
        <x:v>新制</x:v>
      </x:c>
      <x:c r="D36" s="31" t="str">
        <x:v>國外</x:v>
      </x:c>
      <x:c r="E36" s="31" t="str">
        <x:v>106-1絕對報酬債券型(續約)</x:v>
      </x:c>
      <x:c r="F36" s="31" t="str">
        <x:v>富達</x:v>
      </x:c>
      <x:c r="G36" s="40" t="n">
        <x:v>905211657</x:v>
      </x:c>
      <x:c r="H36" s="40" t="n">
        <x:v>1164994046</x:v>
      </x:c>
      <x:c r="I36" s="40" t="n">
        <x:v>2212877</x:v>
      </x:c>
      <x:c r="J36" s="31" t="str">
        <x:v>持續</x:v>
      </x:c>
      <x:c r="K36" s="31" t="str">
        <x:v>美元</x:v>
      </x:c>
      <x:c r="L36" s="43" t="n">
        <x:v>0.2735</x:v>
      </x:c>
      <x:c r="M36" s="43"/>
      <x:c r="N36" s="32" t="str">
        <x:v>勞工退休基金-115年7月.pdf</x:v>
      </x:c>
    </x:row>
    <x:row r="37">
      <x:c r="A37" s="37" t="n">
        <x:v>46204</x:v>
      </x:c>
      <x:c r="B37" s="31" t="str">
        <x:v>115年7月</x:v>
      </x:c>
      <x:c r="C37" s="31" t="str">
        <x:v>新制</x:v>
      </x:c>
      <x:c r="D37" s="31" t="str">
        <x:v>國外</x:v>
      </x:c>
      <x:c r="E37" s="31" t="str">
        <x:v>106-1絕對報酬債券型(續約)</x:v>
      </x:c>
      <x:c r="F37" s="31" t="str">
        <x:v>TCW</x:v>
      </x:c>
      <x:c r="G37" s="40" t="n">
        <x:v>1039618153</x:v>
      </x:c>
      <x:c r="H37" s="40" t="n">
        <x:v>1287714646</x:v>
      </x:c>
      <x:c r="I37" s="40" t="n">
        <x:v>-360968</x:v>
      </x:c>
      <x:c r="J37" s="31" t="str">
        <x:v>持續</x:v>
      </x:c>
      <x:c r="K37" s="31" t="str">
        <x:v>美元</x:v>
      </x:c>
      <x:c r="L37" s="43" t="n">
        <x:v>0.2384</x:v>
      </x:c>
      <x:c r="M37" s="43"/>
      <x:c r="N37" s="32" t="str">
        <x:v>勞工退休基金-115年7月.pdf</x:v>
      </x:c>
    </x:row>
    <x:row r="38">
      <x:c r="A38" s="37" t="n">
        <x:v>46204</x:v>
      </x:c>
      <x:c r="B38" s="31" t="str">
        <x:v>115年7月</x:v>
      </x:c>
      <x:c r="C38" s="31" t="str">
        <x:v>新制</x:v>
      </x:c>
      <x:c r="D38" s="31" t="str">
        <x:v>國外</x:v>
      </x:c>
      <x:c r="E38" s="31" t="str">
        <x:v>107-1絕對報酬股票型（續約）</x:v>
      </x:c>
      <x:c r="F38" s="31" t="str">
        <x:v>景順</x:v>
      </x:c>
      <x:c r="G38" s="40" t="n">
        <x:v>1006698949</x:v>
      </x:c>
      <x:c r="H38" s="40" t="n">
        <x:v>1523316004</x:v>
      </x:c>
      <x:c r="I38" s="40" t="n">
        <x:v>24254831</x:v>
      </x:c>
      <x:c r="J38" s="31" t="str">
        <x:v>持續</x:v>
      </x:c>
      <x:c r="K38" s="31" t="str">
        <x:v>美元</x:v>
      </x:c>
      <x:c r="L38" s="43" t="n">
        <x:v>0.6008</x:v>
      </x:c>
      <x:c r="M38" s="43" t="n">
        <x:v>0.4412</x:v>
      </x:c>
      <x:c r="N38" s="32" t="str">
        <x:v>勞工退休基金-115年7月.pdf</x:v>
      </x:c>
    </x:row>
    <x:row r="39">
      <x:c r="A39" s="37" t="n">
        <x:v>46204</x:v>
      </x:c>
      <x:c r="B39" s="31" t="str">
        <x:v>115年7月</x:v>
      </x:c>
      <x:c r="C39" s="31" t="str">
        <x:v>新制</x:v>
      </x:c>
      <x:c r="D39" s="31" t="str">
        <x:v>國外</x:v>
      </x:c>
      <x:c r="E39" s="31" t="str">
        <x:v>107-1絕對報酬股票型（續約）</x:v>
      </x:c>
      <x:c r="F39" s="31" t="str">
        <x:v>威靈頓</x:v>
      </x:c>
      <x:c r="G39" s="40" t="n">
        <x:v>867219463</x:v>
      </x:c>
      <x:c r="H39" s="40" t="n">
        <x:v>1147513598</x:v>
      </x:c>
      <x:c r="I39" s="40" t="n">
        <x:v>9050732</x:v>
      </x:c>
      <x:c r="J39" s="31" t="str">
        <x:v>持續</x:v>
      </x:c>
      <x:c r="K39" s="31" t="str">
        <x:v>美元</x:v>
      </x:c>
      <x:c r="L39" s="43" t="n">
        <x:v>0.3544</x:v>
      </x:c>
      <x:c r="M39" s="43" t="n">
        <x:v>0.4412</x:v>
      </x:c>
      <x:c r="N39" s="32" t="str">
        <x:v>勞工退休基金-115年7月.pdf</x:v>
      </x:c>
    </x:row>
    <x:row r="40">
      <x:c r="A40" s="37" t="n">
        <x:v>46204</x:v>
      </x:c>
      <x:c r="B40" s="31" t="str">
        <x:v>115年7月</x:v>
      </x:c>
      <x:c r="C40" s="31" t="str">
        <x:v>新制</x:v>
      </x:c>
      <x:c r="D40" s="31" t="str">
        <x:v>國外</x:v>
      </x:c>
      <x:c r="E40" s="31" t="str">
        <x:v>107-1絕對報酬股票型（續約）</x:v>
      </x:c>
      <x:c r="F40" s="31" t="str">
        <x:v>CPR</x:v>
      </x:c>
      <x:c r="G40" s="40" t="n">
        <x:v>938885217</x:v>
      </x:c>
      <x:c r="H40" s="40" t="n">
        <x:v>1316573361</x:v>
      </x:c>
      <x:c r="I40" s="40" t="n">
        <x:v>10162178</x:v>
      </x:c>
      <x:c r="J40" s="31" t="str">
        <x:v>持續</x:v>
      </x:c>
      <x:c r="K40" s="31" t="str">
        <x:v>美元</x:v>
      </x:c>
      <x:c r="L40" s="43" t="n">
        <x:v>0.457</x:v>
      </x:c>
      <x:c r="M40" s="43" t="n">
        <x:v>0.4412</x:v>
      </x:c>
      <x:c r="N40" s="32" t="str">
        <x:v>勞工退休基金-115年7月.pdf</x:v>
      </x:c>
    </x:row>
    <x:row r="41">
      <x:c r="A41" s="37" t="n">
        <x:v>46204</x:v>
      </x:c>
      <x:c r="B41" s="31" t="str">
        <x:v>115年7月</x:v>
      </x:c>
      <x:c r="C41" s="31" t="str">
        <x:v>新制</x:v>
      </x:c>
      <x:c r="D41" s="31" t="str">
        <x:v>國外</x:v>
      </x:c>
      <x:c r="E41" s="31" t="str">
        <x:v>107-1絕對報酬股票型（續約）</x:v>
      </x:c>
      <x:c r="F41" s="31" t="str">
        <x:v>道富</x:v>
      </x:c>
      <x:c r="G41" s="40" t="n">
        <x:v>806462703</x:v>
      </x:c>
      <x:c r="H41" s="40" t="n">
        <x:v>1142750317</x:v>
      </x:c>
      <x:c r="I41" s="40" t="n">
        <x:v>-536251384</x:v>
      </x:c>
      <x:c r="J41" s="31" t="str">
        <x:v>持續</x:v>
      </x:c>
      <x:c r="K41" s="31" t="str">
        <x:v>美元</x:v>
      </x:c>
      <x:c r="L41" s="43" t="n">
        <x:v>0.4711</x:v>
      </x:c>
      <x:c r="M41" s="43" t="n">
        <x:v>0.4412</x:v>
      </x:c>
      <x:c r="N41" s="32" t="str">
        <x:v>勞工退休基金-115年7月.pdf</x:v>
      </x:c>
    </x:row>
    <x:row r="42">
      <x:c r="A42" s="37" t="n">
        <x:v>46204</x:v>
      </x:c>
      <x:c r="B42" s="31" t="str">
        <x:v>115年7月</x:v>
      </x:c>
      <x:c r="C42" s="31" t="str">
        <x:v>新制</x:v>
      </x:c>
      <x:c r="D42" s="31" t="str">
        <x:v>國外</x:v>
      </x:c>
      <x:c r="E42" s="31" t="str">
        <x:v>107-1絕對報酬股票型（續約）</x:v>
      </x:c>
      <x:c r="F42" s="31" t="str">
        <x:v>Nomura</x:v>
      </x:c>
      <x:c r="G42" s="40" t="n">
        <x:v>559865985</x:v>
      </x:c>
      <x:c r="H42" s="40" t="n">
        <x:v>792418771</x:v>
      </x:c>
      <x:c r="I42" s="40" t="n">
        <x:v>37354910</x:v>
      </x:c>
      <x:c r="J42" s="31" t="str">
        <x:v>持續</x:v>
      </x:c>
      <x:c r="K42" s="31" t="str">
        <x:v>美元</x:v>
      </x:c>
      <x:c r="L42" s="43" t="n">
        <x:v>0.42229999999999995</x:v>
      </x:c>
      <x:c r="M42" s="43" t="n">
        <x:v>0.4412</x:v>
      </x:c>
      <x:c r="N42" s="32" t="str">
        <x:v>勞工退休基金-115年7月.pdf</x:v>
      </x:c>
    </x:row>
    <x:row r="43">
      <x:c r="A43" s="37" t="n">
        <x:v>46204</x:v>
      </x:c>
      <x:c r="B43" s="31" t="str">
        <x:v>115年7月</x:v>
      </x:c>
      <x:c r="C43" s="31" t="str">
        <x:v>新制</x:v>
      </x:c>
      <x:c r="D43" s="31" t="str">
        <x:v>國外</x:v>
      </x:c>
      <x:c r="E43" s="31" t="str">
        <x:v>107-1絕對報酬股票型（續約）</x:v>
      </x:c>
      <x:c r="F43" s="31" t="str">
        <x:v>荷寶</x:v>
      </x:c>
      <x:c r="G43" s="40" t="n">
        <x:v>506416368</x:v>
      </x:c>
      <x:c r="H43" s="40" t="n">
        <x:v>697308846</x:v>
      </x:c>
      <x:c r="I43" s="40" t="n">
        <x:v>31087972</x:v>
      </x:c>
      <x:c r="J43" s="31" t="str">
        <x:v>持續</x:v>
      </x:c>
      <x:c r="K43" s="31" t="str">
        <x:v>美元</x:v>
      </x:c>
      <x:c r="L43" s="43" t="n">
        <x:v>0.3882</x:v>
      </x:c>
      <x:c r="M43" s="43" t="n">
        <x:v>0.4412</x:v>
      </x:c>
      <x:c r="N43" s="32" t="str">
        <x:v>勞工退休基金-115年7月.pdf</x:v>
      </x:c>
    </x:row>
    <x:row r="44">
      <x:c r="A44" s="37" t="n">
        <x:v>46204</x:v>
      </x:c>
      <x:c r="B44" s="31" t="str">
        <x:v>115年7月</x:v>
      </x:c>
      <x:c r="C44" s="31" t="str">
        <x:v>新制</x:v>
      </x:c>
      <x:c r="D44" s="31" t="str">
        <x:v>國外</x:v>
      </x:c>
      <x:c r="E44" s="31" t="str">
        <x:v>107-1絕對報酬股票型（續約）</x:v>
      </x:c>
      <x:c r="F44" s="31" t="str">
        <x:v>道富</x:v>
      </x:c>
      <x:c r="G44" s="40" t="n">
        <x:v>441937598</x:v>
      </x:c>
      <x:c r="H44" s="40" t="n">
        <x:v>621979937</x:v>
      </x:c>
      <x:c r="I44" s="40" t="n">
        <x:v>-1057021764</x:v>
      </x:c>
      <x:c r="J44" s="31" t="str">
        <x:v>持續</x:v>
      </x:c>
      <x:c r="K44" s="31" t="str">
        <x:v>美元</x:v>
      </x:c>
      <x:c r="L44" s="43" t="n">
        <x:v>0.40740000000000004</x:v>
      </x:c>
      <x:c r="M44" s="43" t="n">
        <x:v>0.4412</x:v>
      </x:c>
      <x:c r="N44" s="32" t="str">
        <x:v>勞工退休基金-115年7月.pdf</x:v>
      </x:c>
    </x:row>
    <x:row r="45">
      <x:c r="A45" s="37" t="n">
        <x:v>46204</x:v>
      </x:c>
      <x:c r="B45" s="31" t="str">
        <x:v>115年7月</x:v>
      </x:c>
      <x:c r="C45" s="31" t="str">
        <x:v>新制</x:v>
      </x:c>
      <x:c r="D45" s="31" t="str">
        <x:v>國外</x:v>
      </x:c>
      <x:c r="E45" s="31" t="str">
        <x:v>109-1全球美元公司增值債券型(續約)</x:v>
      </x:c>
      <x:c r="F45" s="31" t="str">
        <x:v>Insight</x:v>
      </x:c>
      <x:c r="G45" s="40" t="n">
        <x:v>1059063706</x:v>
      </x:c>
      <x:c r="H45" s="40" t="n">
        <x:v>1049063723</x:v>
      </x:c>
      <x:c r="I45" s="40" t="n">
        <x:v>-17082600</x:v>
      </x:c>
      <x:c r="J45" s="31" t="str">
        <x:v>持續</x:v>
      </x:c>
      <x:c r="K45" s="31" t="str">
        <x:v>美元</x:v>
      </x:c>
      <x:c r="L45" s="43" t="n">
        <x:v>-0.009000000000000001</x:v>
      </x:c>
      <x:c r="M45" s="43" t="n">
        <x:v>-0.0070999999999999995</x:v>
      </x:c>
      <x:c r="N45" s="32" t="str">
        <x:v>勞工退休基金-115年7月.pdf</x:v>
      </x:c>
    </x:row>
    <x:row r="46">
      <x:c r="A46" s="37" t="n">
        <x:v>46204</x:v>
      </x:c>
      <x:c r="B46" s="31" t="str">
        <x:v>115年7月</x:v>
      </x:c>
      <x:c r="C46" s="31" t="str">
        <x:v>新制</x:v>
      </x:c>
      <x:c r="D46" s="31" t="str">
        <x:v>國外</x:v>
      </x:c>
      <x:c r="E46" s="31" t="str">
        <x:v>109-1全球美元公司增值債券型(續約)</x:v>
      </x:c>
      <x:c r="F46" s="31" t="str">
        <x:v>JPMorgan（國外）</x:v>
      </x:c>
      <x:c r="G46" s="40" t="n">
        <x:v>558802476</x:v>
      </x:c>
      <x:c r="H46" s="40" t="n">
        <x:v>554364692</x:v>
      </x:c>
      <x:c r="I46" s="40" t="n">
        <x:v>-8893677</x:v>
      </x:c>
      <x:c r="J46" s="31" t="str">
        <x:v>持續</x:v>
      </x:c>
      <x:c r="K46" s="31" t="str">
        <x:v>美元</x:v>
      </x:c>
      <x:c r="L46" s="43" t="n">
        <x:v>-0.0073</x:v>
      </x:c>
      <x:c r="M46" s="43" t="n">
        <x:v>-0.0070999999999999995</x:v>
      </x:c>
      <x:c r="N46" s="32" t="str">
        <x:v>勞工退休基金-115年7月.pdf</x:v>
      </x:c>
    </x:row>
    <x:row r="47">
      <x:c r="A47" s="37" t="n">
        <x:v>46204</x:v>
      </x:c>
      <x:c r="B47" s="31" t="str">
        <x:v>115年7月</x:v>
      </x:c>
      <x:c r="C47" s="31" t="str">
        <x:v>新制</x:v>
      </x:c>
      <x:c r="D47" s="31" t="str">
        <x:v>國外</x:v>
      </x:c>
      <x:c r="E47" s="31" t="str">
        <x:v>109-1全球美元公司增值債券型(續約)</x:v>
      </x:c>
      <x:c r="F47" s="31" t="str">
        <x:v>PIMCO</x:v>
      </x:c>
      <x:c r="G47" s="40" t="n">
        <x:v>674765647</x:v>
      </x:c>
      <x:c r="H47" s="40" t="n">
        <x:v>668540853</x:v>
      </x:c>
      <x:c r="I47" s="40" t="n">
        <x:v>-10700769</x:v>
      </x:c>
      <x:c r="J47" s="31" t="str">
        <x:v>持續</x:v>
      </x:c>
      <x:c r="K47" s="31" t="str">
        <x:v>美元</x:v>
      </x:c>
      <x:c r="L47" s="43" t="n">
        <x:v>-0.0089</x:v>
      </x:c>
      <x:c r="M47" s="43" t="n">
        <x:v>-0.0070999999999999995</x:v>
      </x:c>
      <x:c r="N47" s="32" t="str">
        <x:v>勞工退休基金-115年7月.pdf</x:v>
      </x:c>
    </x:row>
    <x:row r="48">
      <x:c r="A48" s="37" t="n">
        <x:v>46204</x:v>
      </x:c>
      <x:c r="B48" s="31" t="str">
        <x:v>115年7月</x:v>
      </x:c>
      <x:c r="C48" s="31" t="str">
        <x:v>新制</x:v>
      </x:c>
      <x:c r="D48" s="31" t="str">
        <x:v>國外</x:v>
      </x:c>
      <x:c r="E48" s="31" t="str">
        <x:v>110-1全球基礎建設有價證券型</x:v>
      </x:c>
      <x:c r="F48" s="31" t="str">
        <x:v>CBRE</x:v>
      </x:c>
      <x:c r="G48" s="40" t="n">
        <x:v>430000000</x:v>
      </x:c>
      <x:c r="H48" s="40" t="n">
        <x:v>578472486</x:v>
      </x:c>
      <x:c r="I48" s="40" t="n">
        <x:v>-1988798</x:v>
      </x:c>
      <x:c r="J48" s="31" t="str">
        <x:v>持續</x:v>
      </x:c>
      <x:c r="K48" s="31" t="str">
        <x:v>美元</x:v>
      </x:c>
      <x:c r="L48" s="43" t="n">
        <x:v>0.3861</x:v>
      </x:c>
      <x:c r="M48" s="43" t="n">
        <x:v>0.39909999999999995</x:v>
      </x:c>
      <x:c r="N48" s="32" t="str">
        <x:v>勞工退休基金-115年7月.pdf</x:v>
      </x:c>
    </x:row>
    <x:row r="49">
      <x:c r="A49" s="37" t="n">
        <x:v>46204</x:v>
      </x:c>
      <x:c r="B49" s="31" t="str">
        <x:v>115年7月</x:v>
      </x:c>
      <x:c r="C49" s="31" t="str">
        <x:v>新制</x:v>
      </x:c>
      <x:c r="D49" s="31" t="str">
        <x:v>國外</x:v>
      </x:c>
      <x:c r="E49" s="31" t="str">
        <x:v>110-1全球基礎建設有價證券型</x:v>
      </x:c>
      <x:c r="F49" s="31" t="str">
        <x:v>ClearBridge</x:v>
      </x:c>
      <x:c r="G49" s="40" t="n">
        <x:v>700000000</x:v>
      </x:c>
      <x:c r="H49" s="40" t="n">
        <x:v>957679882</x:v>
      </x:c>
      <x:c r="I49" s="40" t="n">
        <x:v>-1809574</x:v>
      </x:c>
      <x:c r="J49" s="31" t="str">
        <x:v>持續</x:v>
      </x:c>
      <x:c r="K49" s="31" t="str">
        <x:v>美元</x:v>
      </x:c>
      <x:c r="L49" s="43" t="n">
        <x:v>0.5249</x:v>
      </x:c>
      <x:c r="M49" s="43" t="n">
        <x:v>0.39909999999999995</x:v>
      </x:c>
      <x:c r="N49" s="32" t="str">
        <x:v>勞工退休基金-115年7月.pdf</x:v>
      </x:c>
    </x:row>
    <x:row r="50">
      <x:c r="A50" s="37" t="n">
        <x:v>46204</x:v>
      </x:c>
      <x:c r="B50" s="31" t="str">
        <x:v>115年7月</x:v>
      </x:c>
      <x:c r="C50" s="31" t="str">
        <x:v>新制</x:v>
      </x:c>
      <x:c r="D50" s="31" t="str">
        <x:v>國外</x:v>
      </x:c>
      <x:c r="E50" s="31" t="str">
        <x:v>110-1全球基礎建設有價證券型</x:v>
      </x:c>
      <x:c r="F50" s="31" t="str">
        <x:v>Magellan</x:v>
      </x:c>
      <x:c r="G50" s="40" t="n">
        <x:v>350000000</x:v>
      </x:c>
      <x:c r="H50" s="40" t="n">
        <x:v>487745804</x:v>
      </x:c>
      <x:c r="I50" s="40" t="n">
        <x:v>-5749257</x:v>
      </x:c>
      <x:c r="J50" s="31" t="str">
        <x:v>持續</x:v>
      </x:c>
      <x:c r="K50" s="31" t="str">
        <x:v>美元</x:v>
      </x:c>
      <x:c r="L50" s="43" t="n">
        <x:v>0.3725</x:v>
      </x:c>
      <x:c r="M50" s="43" t="n">
        <x:v>0.39909999999999995</x:v>
      </x:c>
      <x:c r="N50" s="32" t="str">
        <x:v>勞工退休基金-115年7月.pdf</x:v>
      </x:c>
    </x:row>
    <x:row r="51">
      <x:c r="A51" s="37" t="n">
        <x:v>46204</x:v>
      </x:c>
      <x:c r="B51" s="31" t="str">
        <x:v>115年7月</x:v>
      </x:c>
      <x:c r="C51" s="31" t="str">
        <x:v>新制</x:v>
      </x:c>
      <x:c r="D51" s="31" t="str">
        <x:v>國外</x:v>
      </x:c>
      <x:c r="E51" s="31" t="str">
        <x:v>110-1全球基礎建設有價證券型</x:v>
      </x:c>
      <x:c r="F51" s="31" t="str">
        <x:v>RREEF</x:v>
      </x:c>
      <x:c r="G51" s="40" t="n">
        <x:v>430000000</x:v>
      </x:c>
      <x:c r="H51" s="40" t="n">
        <x:v>583830731</x:v>
      </x:c>
      <x:c r="I51" s="40" t="n">
        <x:v>6753960</x:v>
      </x:c>
      <x:c r="J51" s="31" t="str">
        <x:v>持續</x:v>
      </x:c>
      <x:c r="K51" s="31" t="str">
        <x:v>美元</x:v>
      </x:c>
      <x:c r="L51" s="43" t="n">
        <x:v>0.395</x:v>
      </x:c>
      <x:c r="M51" s="43" t="n">
        <x:v>0.39909999999999995</x:v>
      </x:c>
      <x:c r="N51" s="32" t="str">
        <x:v>勞工退休基金-115年7月.pdf</x:v>
      </x:c>
    </x:row>
    <x:row r="52">
      <x:c r="A52" s="37" t="n">
        <x:v>46204</x:v>
      </x:c>
      <x:c r="B52" s="31" t="str">
        <x:v>115年7月</x:v>
      </x:c>
      <x:c r="C52" s="31" t="str">
        <x:v>新制</x:v>
      </x:c>
      <x:c r="D52" s="31" t="str">
        <x:v>國外</x:v>
      </x:c>
      <x:c r="E52" s="31" t="str">
        <x:v>110-1全球多元資產型</x:v>
      </x:c>
      <x:c r="F52" s="31" t="str">
        <x:v>富達</x:v>
      </x:c>
      <x:c r="G52" s="40" t="n">
        <x:v>400000000</x:v>
      </x:c>
      <x:c r="H52" s="40" t="n">
        <x:v>515794235</x:v>
      </x:c>
      <x:c r="I52" s="40" t="n">
        <x:v>-15067728</x:v>
      </x:c>
      <x:c r="J52" s="31" t="str">
        <x:v>持續</x:v>
      </x:c>
      <x:c r="K52" s="31" t="str">
        <x:v>美元</x:v>
      </x:c>
      <x:c r="L52" s="43" t="n">
        <x:v>0.2842</x:v>
      </x:c>
      <x:c r="M52" s="43"/>
      <x:c r="N52" s="32" t="str">
        <x:v>勞工退休基金-115年7月.pdf</x:v>
      </x:c>
    </x:row>
    <x:row r="53">
      <x:c r="A53" s="37" t="n">
        <x:v>46204</x:v>
      </x:c>
      <x:c r="B53" s="31" t="str">
        <x:v>115年7月</x:v>
      </x:c>
      <x:c r="C53" s="31" t="str">
        <x:v>新制</x:v>
      </x:c>
      <x:c r="D53" s="31" t="str">
        <x:v>國外</x:v>
      </x:c>
      <x:c r="E53" s="31" t="str">
        <x:v>110-1全球多元資產型</x:v>
      </x:c>
      <x:c r="F53" s="31" t="str">
        <x:v>JPMorgan（國外）</x:v>
      </x:c>
      <x:c r="G53" s="40" t="n">
        <x:v>400000000</x:v>
      </x:c>
      <x:c r="H53" s="40" t="n">
        <x:v>487389833</x:v>
      </x:c>
      <x:c r="I53" s="40" t="n">
        <x:v>-3435319</x:v>
      </x:c>
      <x:c r="J53" s="31" t="str">
        <x:v>持續</x:v>
      </x:c>
      <x:c r="K53" s="31" t="str">
        <x:v>美元</x:v>
      </x:c>
      <x:c r="L53" s="43" t="n">
        <x:v>0.2163</x:v>
      </x:c>
      <x:c r="M53" s="43"/>
      <x:c r="N53" s="32" t="str">
        <x:v>勞工退休基金-115年7月.pdf</x:v>
      </x:c>
    </x:row>
    <x:row r="54">
      <x:c r="A54" s="37" t="n">
        <x:v>46204</x:v>
      </x:c>
      <x:c r="B54" s="31" t="str">
        <x:v>115年7月</x:v>
      </x:c>
      <x:c r="C54" s="31" t="str">
        <x:v>新制</x:v>
      </x:c>
      <x:c r="D54" s="31" t="str">
        <x:v>國外</x:v>
      </x:c>
      <x:c r="E54" s="31" t="str">
        <x:v>110-1全球多元資產型</x:v>
      </x:c>
      <x:c r="F54" s="31" t="str">
        <x:v>Ninety One</x:v>
      </x:c>
      <x:c r="G54" s="40" t="n">
        <x:v>400000000</x:v>
      </x:c>
      <x:c r="H54" s="40" t="n">
        <x:v>491940624</x:v>
      </x:c>
      <x:c r="I54" s="40" t="n">
        <x:v>533187</x:v>
      </x:c>
      <x:c r="J54" s="31" t="str">
        <x:v>持續</x:v>
      </x:c>
      <x:c r="K54" s="31" t="str">
        <x:v>美元</x:v>
      </x:c>
      <x:c r="L54" s="43" t="n">
        <x:v>0.2234</x:v>
      </x:c>
      <x:c r="M54" s="43"/>
      <x:c r="N54" s="32" t="str">
        <x:v>勞工退休基金-115年7月.pdf</x:v>
      </x:c>
    </x:row>
    <x:row r="55">
      <x:c r="A55" s="37" t="n">
        <x:v>46204</x:v>
      </x:c>
      <x:c r="B55" s="31" t="str">
        <x:v>115年7月</x:v>
      </x:c>
      <x:c r="C55" s="31" t="str">
        <x:v>新制</x:v>
      </x:c>
      <x:c r="D55" s="31" t="str">
        <x:v>國外</x:v>
      </x:c>
      <x:c r="E55" s="31" t="str">
        <x:v>110-1全球多元資產型</x:v>
      </x:c>
      <x:c r="F55" s="31" t="str">
        <x:v>Schroders</x:v>
      </x:c>
      <x:c r="G55" s="40" t="n">
        <x:v>400000000</x:v>
      </x:c>
      <x:c r="H55" s="40" t="n">
        <x:v>538651033</x:v>
      </x:c>
      <x:c r="I55" s="40" t="n">
        <x:v>-97334</x:v>
      </x:c>
      <x:c r="J55" s="31" t="str">
        <x:v>持續</x:v>
      </x:c>
      <x:c r="K55" s="31" t="str">
        <x:v>美元</x:v>
      </x:c>
      <x:c r="L55" s="43" t="n">
        <x:v>0.3411</x:v>
      </x:c>
      <x:c r="M55" s="43"/>
      <x:c r="N55" s="32" t="str">
        <x:v>勞工退休基金-115年7月.pdf</x:v>
      </x:c>
    </x:row>
    <x:row r="56">
      <x:c r="A56" s="37" t="n">
        <x:v>46204</x:v>
      </x:c>
      <x:c r="B56" s="31" t="str">
        <x:v>115年7月</x:v>
      </x:c>
      <x:c r="C56" s="31" t="str">
        <x:v>新制</x:v>
      </x:c>
      <x:c r="D56" s="31" t="str">
        <x:v>國外</x:v>
      </x:c>
      <x:c r="E56" s="31" t="str">
        <x:v>110-1全球多元資產型</x:v>
      </x:c>
      <x:c r="F56" s="31" t="str">
        <x:v>T. Rowe Price</x:v>
      </x:c>
      <x:c r="G56" s="40" t="n">
        <x:v>400000000</x:v>
      </x:c>
      <x:c r="H56" s="40" t="n">
        <x:v>509014558</x:v>
      </x:c>
      <x:c r="I56" s="40" t="n">
        <x:v>-3371138</x:v>
      </x:c>
      <x:c r="J56" s="31" t="str">
        <x:v>持續</x:v>
      </x:c>
      <x:c r="K56" s="31" t="str">
        <x:v>美元</x:v>
      </x:c>
      <x:c r="L56" s="43" t="n">
        <x:v>0.2576</x:v>
      </x:c>
      <x:c r="M56" s="43"/>
      <x:c r="N56" s="32" t="str">
        <x:v>勞工退休基金-115年7月.pdf</x:v>
      </x:c>
    </x:row>
    <x:row r="57">
      <x:c r="A57" s="37" t="n">
        <x:v>46204</x:v>
      </x:c>
      <x:c r="B57" s="31" t="str">
        <x:v>115年7月</x:v>
      </x:c>
      <x:c r="C57" s="31" t="str">
        <x:v>新制</x:v>
      </x:c>
      <x:c r="D57" s="31" t="str">
        <x:v>國外</x:v>
      </x:c>
      <x:c r="E57" s="31" t="str">
        <x:v>111-1全球氣候變遷增值股票型</x:v>
      </x:c>
      <x:c r="F57" s="31" t="str">
        <x:v>滙豐</x:v>
      </x:c>
      <x:c r="G57" s="40" t="n">
        <x:v>400000000</x:v>
      </x:c>
      <x:c r="H57" s="40" t="n">
        <x:v>617340295</x:v>
      </x:c>
      <x:c r="I57" s="40" t="n">
        <x:v>-8554071</x:v>
      </x:c>
      <x:c r="J57" s="31" t="str">
        <x:v>持續</x:v>
      </x:c>
      <x:c r="K57" s="31" t="str">
        <x:v>美元</x:v>
      </x:c>
      <x:c r="L57" s="43" t="n">
        <x:v>0.8184999999999999</x:v>
      </x:c>
      <x:c r="M57" s="43"/>
      <x:c r="N57" s="32" t="str">
        <x:v>勞工退休基金-115年7月.pdf</x:v>
      </x:c>
    </x:row>
    <x:row r="58">
      <x:c r="A58" s="37" t="n">
        <x:v>46204</x:v>
      </x:c>
      <x:c r="B58" s="31" t="str">
        <x:v>115年7月</x:v>
      </x:c>
      <x:c r="C58" s="31" t="str">
        <x:v>新制</x:v>
      </x:c>
      <x:c r="D58" s="31" t="str">
        <x:v>國外</x:v>
      </x:c>
      <x:c r="E58" s="31" t="str">
        <x:v>111-1全球氣候變遷增值股票型</x:v>
      </x:c>
      <x:c r="F58" s="31" t="str">
        <x:v>LGIM</x:v>
      </x:c>
      <x:c r="G58" s="40" t="n">
        <x:v>400000000</x:v>
      </x:c>
      <x:c r="H58" s="40" t="n">
        <x:v>593041556</x:v>
      </x:c>
      <x:c r="I58" s="40" t="n">
        <x:v>-6506126</x:v>
      </x:c>
      <x:c r="J58" s="31" t="str">
        <x:v>持續</x:v>
      </x:c>
      <x:c r="K58" s="31" t="str">
        <x:v>美元</x:v>
      </x:c>
      <x:c r="L58" s="43" t="n">
        <x:v>0.7273000000000001</x:v>
      </x:c>
      <x:c r="M58" s="43"/>
      <x:c r="N58" s="32" t="str">
        <x:v>勞工退休基金-115年7月.pdf</x:v>
      </x:c>
    </x:row>
    <x:row r="59">
      <x:c r="A59" s="37" t="n">
        <x:v>46204</x:v>
      </x:c>
      <x:c r="B59" s="31" t="str">
        <x:v>115年7月</x:v>
      </x:c>
      <x:c r="C59" s="31" t="str">
        <x:v>新制</x:v>
      </x:c>
      <x:c r="D59" s="31" t="str">
        <x:v>國外</x:v>
      </x:c>
      <x:c r="E59" s="31" t="str">
        <x:v>111-1全球氣候變遷增值股票型</x:v>
      </x:c>
      <x:c r="F59" s="31" t="str">
        <x:v>摩根士丹利</x:v>
      </x:c>
      <x:c r="G59" s="40" t="n">
        <x:v>400000000</x:v>
      </x:c>
      <x:c r="H59" s="40" t="n">
        <x:v>603262281</x:v>
      </x:c>
      <x:c r="I59" s="40" t="n">
        <x:v>-3239957</x:v>
      </x:c>
      <x:c r="J59" s="31" t="str">
        <x:v>持續</x:v>
      </x:c>
      <x:c r="K59" s="31" t="str">
        <x:v>美元</x:v>
      </x:c>
      <x:c r="L59" s="43" t="n">
        <x:v>0.7391</x:v>
      </x:c>
      <x:c r="M59" s="43"/>
      <x:c r="N59" s="32" t="str">
        <x:v>勞工退休基金-115年7月.pdf</x:v>
      </x:c>
    </x:row>
    <x:row r="60">
      <x:c r="A60" s="37" t="n">
        <x:v>46204</x:v>
      </x:c>
      <x:c r="B60" s="31" t="str">
        <x:v>115年7月</x:v>
      </x:c>
      <x:c r="C60" s="31" t="str">
        <x:v>新制</x:v>
      </x:c>
      <x:c r="D60" s="31" t="str">
        <x:v>國外</x:v>
      </x:c>
      <x:c r="E60" s="31" t="str">
        <x:v>111-1全球氣候變遷增值股票型</x:v>
      </x:c>
      <x:c r="F60" s="31" t="str">
        <x:v>Schroders</x:v>
      </x:c>
      <x:c r="G60" s="40" t="n">
        <x:v>400000000</x:v>
      </x:c>
      <x:c r="H60" s="40" t="n">
        <x:v>580538915</x:v>
      </x:c>
      <x:c r="I60" s="40" t="n">
        <x:v>1682150</x:v>
      </x:c>
      <x:c r="J60" s="31" t="str">
        <x:v>持續</x:v>
      </x:c>
      <x:c r="K60" s="31" t="str">
        <x:v>美元</x:v>
      </x:c>
      <x:c r="L60" s="43" t="n">
        <x:v>0.7005</x:v>
      </x:c>
      <x:c r="M60" s="43"/>
      <x:c r="N60" s="32" t="str">
        <x:v>勞工退休基金-115年7月.pdf</x:v>
      </x:c>
    </x:row>
    <x:row r="61">
      <x:c r="A61" s="37" t="n">
        <x:v>46204</x:v>
      </x:c>
      <x:c r="B61" s="31" t="str">
        <x:v>115年7月</x:v>
      </x:c>
      <x:c r="C61" s="31" t="str">
        <x:v>新制</x:v>
      </x:c>
      <x:c r="D61" s="31" t="str">
        <x:v>國外</x:v>
      </x:c>
      <x:c r="E61" s="31" t="str">
        <x:v>111-1全球氣候變遷增值股票型</x:v>
      </x:c>
      <x:c r="F61" s="31" t="str">
        <x:v>威靈頓</x:v>
      </x:c>
      <x:c r="G61" s="40" t="n">
        <x:v>400000000</x:v>
      </x:c>
      <x:c r="H61" s="40" t="n">
        <x:v>616317921</x:v>
      </x:c>
      <x:c r="I61" s="40" t="n">
        <x:v>-5482958</x:v>
      </x:c>
      <x:c r="J61" s="31" t="str">
        <x:v>持續</x:v>
      </x:c>
      <x:c r="K61" s="31" t="str">
        <x:v>美元</x:v>
      </x:c>
      <x:c r="L61" s="43" t="n">
        <x:v>0.8192</x:v>
      </x:c>
      <x:c r="M61" s="43"/>
      <x:c r="N61" s="32" t="str">
        <x:v>勞工退休基金-115年7月.pdf</x:v>
      </x:c>
    </x:row>
    <x:row r="62">
      <x:c r="A62" s="37" t="n">
        <x:v>46204</x:v>
      </x:c>
      <x:c r="B62" s="31" t="str">
        <x:v>115年7月</x:v>
      </x:c>
      <x:c r="C62" s="31" t="str">
        <x:v>新制</x:v>
      </x:c>
      <x:c r="D62" s="31" t="str">
        <x:v>國外</x:v>
      </x:c>
      <x:c r="E62" s="31" t="str">
        <x:v>111-2絕對報酬債券型</x:v>
      </x:c>
      <x:c r="F62" s="31" t="str">
        <x:v>盧米斯</x:v>
      </x:c>
      <x:c r="G62" s="40" t="n">
        <x:v>600000000</x:v>
      </x:c>
      <x:c r="H62" s="40" t="n">
        <x:v>687485218</x:v>
      </x:c>
      <x:c r="I62" s="40" t="n">
        <x:v>-1989098</x:v>
      </x:c>
      <x:c r="J62" s="31" t="str">
        <x:v>持續</x:v>
      </x:c>
      <x:c r="K62" s="31" t="str">
        <x:v>美元</x:v>
      </x:c>
      <x:c r="L62" s="43" t="n">
        <x:v>0.20929999999999999</x:v>
      </x:c>
      <x:c r="M62" s="43"/>
      <x:c r="N62" s="32" t="str">
        <x:v>勞工退休基金-115年7月.pdf</x:v>
      </x:c>
    </x:row>
    <x:row r="63">
      <x:c r="A63" s="37" t="n">
        <x:v>46204</x:v>
      </x:c>
      <x:c r="B63" s="31" t="str">
        <x:v>115年7月</x:v>
      </x:c>
      <x:c r="C63" s="31" t="str">
        <x:v>新制</x:v>
      </x:c>
      <x:c r="D63" s="31" t="str">
        <x:v>國外</x:v>
      </x:c>
      <x:c r="E63" s="31" t="str">
        <x:v>111-2絕對報酬債券型</x:v>
      </x:c>
      <x:c r="F63" s="31" t="str">
        <x:v>Ninety One</x:v>
      </x:c>
      <x:c r="G63" s="40" t="n">
        <x:v>500000000</x:v>
      </x:c>
      <x:c r="H63" s="40" t="n">
        <x:v>585326949</x:v>
      </x:c>
      <x:c r="I63" s="40" t="n">
        <x:v>-1842144</x:v>
      </x:c>
      <x:c r="J63" s="31" t="str">
        <x:v>持續</x:v>
      </x:c>
      <x:c r="K63" s="31" t="str">
        <x:v>美元</x:v>
      </x:c>
      <x:c r="L63" s="43" t="n">
        <x:v>0.19640000000000002</x:v>
      </x:c>
      <x:c r="M63" s="43"/>
      <x:c r="N63" s="32" t="str">
        <x:v>勞工退休基金-115年7月.pdf</x:v>
      </x:c>
    </x:row>
    <x:row r="64">
      <x:c r="A64" s="37" t="n">
        <x:v>46204</x:v>
      </x:c>
      <x:c r="B64" s="31" t="str">
        <x:v>115年7月</x:v>
      </x:c>
      <x:c r="C64" s="31" t="str">
        <x:v>新制</x:v>
      </x:c>
      <x:c r="D64" s="31" t="str">
        <x:v>國外</x:v>
      </x:c>
      <x:c r="E64" s="31" t="str">
        <x:v>111-2絕對報酬債券型</x:v>
      </x:c>
      <x:c r="F64" s="31" t="str">
        <x:v>PIMCO</x:v>
      </x:c>
      <x:c r="G64" s="40" t="n">
        <x:v>500000000</x:v>
      </x:c>
      <x:c r="H64" s="40" t="n">
        <x:v>592402750</x:v>
      </x:c>
      <x:c r="I64" s="40" t="n">
        <x:v>-1333136</x:v>
      </x:c>
      <x:c r="J64" s="31" t="str">
        <x:v>持續</x:v>
      </x:c>
      <x:c r="K64" s="31" t="str">
        <x:v>美元</x:v>
      </x:c>
      <x:c r="L64" s="43" t="n">
        <x:v>0.2073</x:v>
      </x:c>
      <x:c r="M64" s="43"/>
      <x:c r="N64" s="32" t="str">
        <x:v>勞工退休基金-115年7月.pdf</x:v>
      </x:c>
    </x:row>
    <x:row r="65">
      <x:c r="A65" s="37" t="n">
        <x:v>46204</x:v>
      </x:c>
      <x:c r="B65" s="31" t="str">
        <x:v>115年7月</x:v>
      </x:c>
      <x:c r="C65" s="31" t="str">
        <x:v>新制</x:v>
      </x:c>
      <x:c r="D65" s="31" t="str">
        <x:v>國外</x:v>
      </x:c>
      <x:c r="E65" s="31" t="str">
        <x:v>111-2絕對報酬債券型</x:v>
      </x:c>
      <x:c r="F65" s="31" t="str">
        <x:v>PGIM</x:v>
      </x:c>
      <x:c r="G65" s="40" t="n">
        <x:v>600000000</x:v>
      </x:c>
      <x:c r="H65" s="40" t="n">
        <x:v>688857784</x:v>
      </x:c>
      <x:c r="I65" s="40" t="n">
        <x:v>2896439</x:v>
      </x:c>
      <x:c r="J65" s="31" t="str">
        <x:v>持續</x:v>
      </x:c>
      <x:c r="K65" s="31" t="str">
        <x:v>美元</x:v>
      </x:c>
      <x:c r="L65" s="43" t="n">
        <x:v>0.21350000000000002</x:v>
      </x:c>
      <x:c r="M65" s="43"/>
      <x:c r="N65" s="32" t="str">
        <x:v>勞工退休基金-115年7月.pdf</x:v>
      </x:c>
    </x:row>
    <x:row r="66">
      <x:c r="A66" s="37" t="n">
        <x:v>46204</x:v>
      </x:c>
      <x:c r="B66" s="31" t="str">
        <x:v>115年7月</x:v>
      </x:c>
      <x:c r="C66" s="31" t="str">
        <x:v>新制</x:v>
      </x:c>
      <x:c r="D66" s="31" t="str">
        <x:v>國外</x:v>
      </x:c>
      <x:c r="E66" s="31" t="str">
        <x:v>111-2絕對報酬債券型</x:v>
      </x:c>
      <x:c r="F66" s="31" t="str">
        <x:v>T. Rowe Price</x:v>
      </x:c>
      <x:c r="G66" s="40" t="n">
        <x:v>500000000</x:v>
      </x:c>
      <x:c r="H66" s="40" t="n">
        <x:v>557844230</x:v>
      </x:c>
      <x:c r="I66" s="40" t="n">
        <x:v>112413</x:v>
      </x:c>
      <x:c r="J66" s="31" t="str">
        <x:v>持續</x:v>
      </x:c>
      <x:c r="K66" s="31" t="str">
        <x:v>美元</x:v>
      </x:c>
      <x:c r="L66" s="43" t="n">
        <x:v>0.126</x:v>
      </x:c>
      <x:c r="M66" s="43"/>
      <x:c r="N66" s="32" t="str">
        <x:v>勞工退休基金-115年7月.pdf</x:v>
      </x:c>
    </x:row>
    <x:row r="67">
      <x:c r="A67" s="37" t="n">
        <x:v>46204</x:v>
      </x:c>
      <x:c r="B67" s="31" t="str">
        <x:v>115年7月</x:v>
      </x:c>
      <x:c r="C67" s="31" t="str">
        <x:v>新制</x:v>
      </x:c>
      <x:c r="D67" s="31" t="str">
        <x:v>國外</x:v>
      </x:c>
      <x:c r="E67" s="31" t="str">
        <x:v>111-2絕對報酬債券型</x:v>
      </x:c>
      <x:c r="F67" s="31" t="str">
        <x:v>威靈頓</x:v>
      </x:c>
      <x:c r="G67" s="40" t="n">
        <x:v>500000000</x:v>
      </x:c>
      <x:c r="H67" s="40" t="n">
        <x:v>574633525</x:v>
      </x:c>
      <x:c r="I67" s="40" t="n">
        <x:v>1135897</x:v>
      </x:c>
      <x:c r="J67" s="31" t="str">
        <x:v>持續</x:v>
      </x:c>
      <x:c r="K67" s="31" t="str">
        <x:v>美元</x:v>
      </x:c>
      <x:c r="L67" s="43" t="n">
        <x:v>0.177</x:v>
      </x:c>
      <x:c r="M67" s="43"/>
      <x:c r="N67" s="32" t="str">
        <x:v>勞工退休基金-115年7月.pdf</x:v>
      </x:c>
    </x:row>
    <x:row r="68">
      <x:c r="A68" s="37" t="n">
        <x:v>46204</x:v>
      </x:c>
      <x:c r="B68" s="31" t="str">
        <x:v>115年7月</x:v>
      </x:c>
      <x:c r="C68" s="31" t="str">
        <x:v>新制</x:v>
      </x:c>
      <x:c r="D68" s="31" t="str">
        <x:v>國外</x:v>
      </x:c>
      <x:c r="E68" s="31" t="str">
        <x:v>112-1全球被動股票型</x:v>
      </x:c>
      <x:c r="F68" s="31" t="str">
        <x:v>Amundi</x:v>
      </x:c>
      <x:c r="G68" s="40" t="n">
        <x:v>400000000</x:v>
      </x:c>
      <x:c r="H68" s="40" t="n">
        <x:v>532527714</x:v>
      </x:c>
      <x:c r="I68" s="40" t="n">
        <x:v>-508444</x:v>
      </x:c>
      <x:c r="J68" s="31" t="str">
        <x:v>持續</x:v>
      </x:c>
      <x:c r="K68" s="31" t="str">
        <x:v>美元</x:v>
      </x:c>
      <x:c r="L68" s="43" t="n">
        <x:v>0.38880000000000003</x:v>
      </x:c>
      <x:c r="M68" s="43" t="n">
        <x:v>0.4351</x:v>
      </x:c>
      <x:c r="N68" s="32" t="str">
        <x:v>勞工退休基金-115年7月.pdf</x:v>
      </x:c>
    </x:row>
    <x:row r="69">
      <x:c r="A69" s="37" t="n">
        <x:v>46204</x:v>
      </x:c>
      <x:c r="B69" s="31" t="str">
        <x:v>115年7月</x:v>
      </x:c>
      <x:c r="C69" s="31" t="str">
        <x:v>新制</x:v>
      </x:c>
      <x:c r="D69" s="31" t="str">
        <x:v>國外</x:v>
      </x:c>
      <x:c r="E69" s="31" t="str">
        <x:v>112-1全球被動股票型</x:v>
      </x:c>
      <x:c r="F69" s="31" t="str">
        <x:v>L&amp;G</x:v>
      </x:c>
      <x:c r="G69" s="40" t="n">
        <x:v>400000000</x:v>
      </x:c>
      <x:c r="H69" s="40" t="n">
        <x:v>544159304</x:v>
      </x:c>
      <x:c r="I69" s="40" t="n">
        <x:v>544159304</x:v>
      </x:c>
      <x:c r="J69" s="31" t="str">
        <x:v>新增</x:v>
      </x:c>
      <x:c r="K69" s="31" t="str">
        <x:v>美元</x:v>
      </x:c>
      <x:c r="L69" s="43" t="n">
        <x:v>0.433</x:v>
      </x:c>
      <x:c r="M69" s="43" t="n">
        <x:v>0.4351</x:v>
      </x:c>
      <x:c r="N69" s="32" t="str">
        <x:v>勞工退休基金-115年7月.pdf</x:v>
      </x:c>
    </x:row>
    <x:row r="70">
      <x:c r="A70" s="37" t="n">
        <x:v>46204</x:v>
      </x:c>
      <x:c r="B70" s="31" t="str">
        <x:v>115年7月</x:v>
      </x:c>
      <x:c r="C70" s="31" t="str">
        <x:v>新制</x:v>
      </x:c>
      <x:c r="D70" s="31" t="str">
        <x:v>國外</x:v>
      </x:c>
      <x:c r="E70" s="31" t="str">
        <x:v>112-1全球被動股票型</x:v>
      </x:c>
      <x:c r="F70" s="31" t="str">
        <x:v>道富</x:v>
      </x:c>
      <x:c r="G70" s="40" t="n">
        <x:v>400000000</x:v>
      </x:c>
      <x:c r="H70" s="40" t="n">
        <x:v>546139746</x:v>
      </x:c>
      <x:c r="I70" s="40" t="n">
        <x:v>1244569</x:v>
      </x:c>
      <x:c r="J70" s="31" t="str">
        <x:v>持續</x:v>
      </x:c>
      <x:c r="K70" s="31" t="str">
        <x:v>美元</x:v>
      </x:c>
      <x:c r="L70" s="43" t="n">
        <x:v>0.44060000000000005</x:v>
      </x:c>
      <x:c r="M70" s="43" t="n">
        <x:v>0.4351</x:v>
      </x:c>
      <x:c r="N70" s="32" t="str">
        <x:v>勞工退休基金-115年7月.pdf</x:v>
      </x:c>
    </x:row>
    <x:row r="71">
      <x:c r="A71" s="37" t="n">
        <x:v>46204</x:v>
      </x:c>
      <x:c r="B71" s="31" t="str">
        <x:v>115年7月</x:v>
      </x:c>
      <x:c r="C71" s="31" t="str">
        <x:v>新制</x:v>
      </x:c>
      <x:c r="D71" s="31" t="str">
        <x:v>國外</x:v>
      </x:c>
      <x:c r="E71" s="31" t="str">
        <x:v>112-1全球被動股票型</x:v>
      </x:c>
      <x:c r="F71" s="31" t="str">
        <x:v>北美信託</x:v>
      </x:c>
      <x:c r="G71" s="40" t="n">
        <x:v>400000000</x:v>
      </x:c>
      <x:c r="H71" s="40" t="n">
        <x:v>546102748</x:v>
      </x:c>
      <x:c r="I71" s="40" t="n">
        <x:v>671977</x:v>
      </x:c>
      <x:c r="J71" s="31" t="str">
        <x:v>持續</x:v>
      </x:c>
      <x:c r="K71" s="31" t="str">
        <x:v>美元</x:v>
      </x:c>
      <x:c r="L71" s="43" t="n">
        <x:v>0.4384</x:v>
      </x:c>
      <x:c r="M71" s="43" t="n">
        <x:v>0.4351</x:v>
      </x:c>
      <x:c r="N71" s="32" t="str">
        <x:v>勞工退休基金-115年7月.pdf</x:v>
      </x:c>
    </x:row>
    <x:row r="72">
      <x:c r="A72" s="37" t="n">
        <x:v>46204</x:v>
      </x:c>
      <x:c r="B72" s="31" t="str">
        <x:v>115年7月</x:v>
      </x:c>
      <x:c r="C72" s="31" t="str">
        <x:v>新制</x:v>
      </x:c>
      <x:c r="D72" s="31" t="str">
        <x:v>國外</x:v>
      </x:c>
      <x:c r="E72" s="31" t="str">
        <x:v>113-1全球永續不動產有價證券型</x:v>
      </x:c>
      <x:c r="F72" s="31" t="str">
        <x:v>貝萊德</x:v>
      </x:c>
      <x:c r="G72" s="40" t="n">
        <x:v>400000000</x:v>
      </x:c>
      <x:c r="H72" s="40" t="n">
        <x:v>450426531</x:v>
      </x:c>
      <x:c r="I72" s="40" t="n">
        <x:v>12569454</x:v>
      </x:c>
      <x:c r="J72" s="31" t="str">
        <x:v>持續</x:v>
      </x:c>
      <x:c r="K72" s="31" t="str">
        <x:v>美元</x:v>
      </x:c>
      <x:c r="L72" s="43" t="n">
        <x:v>0.15439999999999998</x:v>
      </x:c>
      <x:c r="M72" s="43" t="n">
        <x:v>0.1201</x:v>
      </x:c>
      <x:c r="N72" s="32" t="str">
        <x:v>勞工退休基金-115年7月.pdf</x:v>
      </x:c>
    </x:row>
    <x:row r="73">
      <x:c r="A73" s="37" t="n">
        <x:v>46204</x:v>
      </x:c>
      <x:c r="B73" s="31" t="str">
        <x:v>115年7月</x:v>
      </x:c>
      <x:c r="C73" s="31" t="str">
        <x:v>新制</x:v>
      </x:c>
      <x:c r="D73" s="31" t="str">
        <x:v>國外</x:v>
      </x:c>
      <x:c r="E73" s="31" t="str">
        <x:v>113-1全球永續不動產有價證券型</x:v>
      </x:c>
      <x:c r="F73" s="31" t="str">
        <x:v>Center Square</x:v>
      </x:c>
      <x:c r="G73" s="40" t="n">
        <x:v>400000000</x:v>
      </x:c>
      <x:c r="H73" s="40" t="n">
        <x:v>458409894</x:v>
      </x:c>
      <x:c r="I73" s="40" t="n">
        <x:v>12336919</x:v>
      </x:c>
      <x:c r="J73" s="31" t="str">
        <x:v>持續</x:v>
      </x:c>
      <x:c r="K73" s="31" t="str">
        <x:v>美元</x:v>
      </x:c>
      <x:c r="L73" s="43" t="n">
        <x:v>0.1727</x:v>
      </x:c>
      <x:c r="M73" s="43" t="n">
        <x:v>0.1201</x:v>
      </x:c>
      <x:c r="N73" s="32" t="str">
        <x:v>勞工退休基金-115年7月.pdf</x:v>
      </x:c>
    </x:row>
    <x:row r="74">
      <x:c r="A74" s="37" t="n">
        <x:v>46204</x:v>
      </x:c>
      <x:c r="B74" s="31" t="str">
        <x:v>115年7月</x:v>
      </x:c>
      <x:c r="C74" s="31" t="str">
        <x:v>新制</x:v>
      </x:c>
      <x:c r="D74" s="31" t="str">
        <x:v>國外</x:v>
      </x:c>
      <x:c r="E74" s="31" t="str">
        <x:v>113-1全球永續不動產有價證券型</x:v>
      </x:c>
      <x:c r="F74" s="31" t="str">
        <x:v>富達</x:v>
      </x:c>
      <x:c r="G74" s="40" t="n">
        <x:v>400000000</x:v>
      </x:c>
      <x:c r="H74" s="40" t="n">
        <x:v>454110042</x:v>
      </x:c>
      <x:c r="I74" s="40" t="n">
        <x:v>10557301</x:v>
      </x:c>
      <x:c r="J74" s="31" t="str">
        <x:v>持續</x:v>
      </x:c>
      <x:c r="K74" s="31" t="str">
        <x:v>美元</x:v>
      </x:c>
      <x:c r="L74" s="43" t="n">
        <x:v>0.1631</x:v>
      </x:c>
      <x:c r="M74" s="43" t="n">
        <x:v>0.1201</x:v>
      </x:c>
      <x:c r="N74" s="32" t="str">
        <x:v>勞工退休基金-115年7月.pdf</x:v>
      </x:c>
    </x:row>
    <x:row r="75">
      <x:c r="A75" s="37" t="n">
        <x:v>46204</x:v>
      </x:c>
      <x:c r="B75" s="31" t="str">
        <x:v>115年7月</x:v>
      </x:c>
      <x:c r="C75" s="31" t="str">
        <x:v>新制</x:v>
      </x:c>
      <x:c r="D75" s="31" t="str">
        <x:v>國外</x:v>
      </x:c>
      <x:c r="E75" s="31" t="str">
        <x:v>113-1全球永續不動產有價證券型</x:v>
      </x:c>
      <x:c r="F75" s="31" t="str">
        <x:v>RREEF</x:v>
      </x:c>
      <x:c r="G75" s="40" t="n">
        <x:v>400000000</x:v>
      </x:c>
      <x:c r="H75" s="40" t="n">
        <x:v>453176548</x:v>
      </x:c>
      <x:c r="I75" s="40" t="n">
        <x:v>10798921</x:v>
      </x:c>
      <x:c r="J75" s="31" t="str">
        <x:v>持續</x:v>
      </x:c>
      <x:c r="K75" s="31" t="str">
        <x:v>美元</x:v>
      </x:c>
      <x:c r="L75" s="43" t="n">
        <x:v>0.15960000000000002</x:v>
      </x:c>
      <x:c r="M75" s="43" t="n">
        <x:v>0.1201</x:v>
      </x:c>
      <x:c r="N75" s="32" t="str">
        <x:v>勞工退休基金-115年7月.pdf</x:v>
      </x:c>
    </x:row>
    <x:row r="76">
      <x:c r="A76" s="37" t="n">
        <x:v>46204</x:v>
      </x:c>
      <x:c r="B76" s="31" t="str">
        <x:v>115年7月</x:v>
      </x:c>
      <x:c r="C76" s="31" t="str">
        <x:v>新制</x:v>
      </x:c>
      <x:c r="D76" s="31" t="str">
        <x:v>國外</x:v>
      </x:c>
      <x:c r="E76" s="31" t="str">
        <x:v>114-1全球氣候轉型被動股票型</x:v>
      </x:c>
      <x:c r="F76" s="31" t="str">
        <x:v>貝萊德</x:v>
      </x:c>
      <x:c r="G76" s="40" t="n">
        <x:v>400000000</x:v>
      </x:c>
      <x:c r="H76" s="40" t="n">
        <x:v>423356755</x:v>
      </x:c>
      <x:c r="I76" s="40" t="n">
        <x:v>3142782</x:v>
      </x:c>
      <x:c r="J76" s="31" t="str">
        <x:v>持續</x:v>
      </x:c>
      <x:c r="K76" s="31" t="str">
        <x:v>美元</x:v>
      </x:c>
      <x:c r="L76" s="43" t="n">
        <x:v>0.1117</x:v>
      </x:c>
      <x:c r="M76" s="43" t="n">
        <x:v>0.1043</x:v>
      </x:c>
      <x:c r="N76" s="32" t="str">
        <x:v>勞工退休基金-115年7月.pdf</x:v>
      </x:c>
    </x:row>
    <x:row r="77">
      <x:c r="A77" s="37" t="n">
        <x:v>46204</x:v>
      </x:c>
      <x:c r="B77" s="31" t="str">
        <x:v>115年7月</x:v>
      </x:c>
      <x:c r="C77" s="31" t="str">
        <x:v>新制</x:v>
      </x:c>
      <x:c r="D77" s="31" t="str">
        <x:v>國外</x:v>
      </x:c>
      <x:c r="E77" s="31" t="str">
        <x:v>114-1全球氣候轉型被動股票型</x:v>
      </x:c>
      <x:c r="F77" s="31" t="str">
        <x:v>HSBC</x:v>
      </x:c>
      <x:c r="G77" s="40" t="n">
        <x:v>400000000</x:v>
      </x:c>
      <x:c r="H77" s="40" t="n">
        <x:v>421747465</x:v>
      </x:c>
      <x:c r="I77" s="40" t="n">
        <x:v>2810705</x:v>
      </x:c>
      <x:c r="J77" s="31" t="str">
        <x:v>持續</x:v>
      </x:c>
      <x:c r="K77" s="31" t="str">
        <x:v>美元</x:v>
      </x:c>
      <x:c r="L77" s="43" t="n">
        <x:v>0.1032</x:v>
      </x:c>
      <x:c r="M77" s="43" t="n">
        <x:v>0.1043</x:v>
      </x:c>
      <x:c r="N77" s="32" t="str">
        <x:v>勞工退休基金-115年7月.pdf</x:v>
      </x:c>
    </x:row>
    <x:row r="78">
      <x:c r="A78" s="37" t="n">
        <x:v>46204</x:v>
      </x:c>
      <x:c r="B78" s="31" t="str">
        <x:v>115年7月</x:v>
      </x:c>
      <x:c r="C78" s="31" t="str">
        <x:v>新制</x:v>
      </x:c>
      <x:c r="D78" s="31" t="str">
        <x:v>國外</x:v>
      </x:c>
      <x:c r="E78" s="31" t="str">
        <x:v>114-1全球氣候轉型被動股票型</x:v>
      </x:c>
      <x:c r="F78" s="31" t="str">
        <x:v>道富</x:v>
      </x:c>
      <x:c r="G78" s="40" t="n">
        <x:v>400000000</x:v>
      </x:c>
      <x:c r="H78" s="40" t="n">
        <x:v>421814640</x:v>
      </x:c>
      <x:c r="I78" s="40" t="n">
        <x:v>2766191</x:v>
      </x:c>
      <x:c r="J78" s="31" t="str">
        <x:v>持續</x:v>
      </x:c>
      <x:c r="K78" s="31" t="str">
        <x:v>美元</x:v>
      </x:c>
      <x:c r="L78" s="43" t="n">
        <x:v>0.1047</x:v>
      </x:c>
      <x:c r="M78" s="43" t="n">
        <x:v>0.1043</x:v>
      </x:c>
      <x:c r="N78" s="32" t="str">
        <x:v>勞工退休基金-115年7月.pdf</x:v>
      </x:c>
    </x:row>
    <x:row r="79">
      <x:c r="A79" s="37" t="n">
        <x:v>46204</x:v>
      </x:c>
      <x:c r="B79" s="31" t="str">
        <x:v>115年7月</x:v>
      </x:c>
      <x:c r="C79" s="31" t="str">
        <x:v>新制</x:v>
      </x:c>
      <x:c r="D79" s="31" t="str">
        <x:v>國外</x:v>
      </x:c>
      <x:c r="E79" s="31" t="str">
        <x:v>114-1全球氣候轉型被動股票型</x:v>
      </x:c>
      <x:c r="F79" s="31" t="str">
        <x:v>UBS</x:v>
      </x:c>
      <x:c r="G79" s="40" t="n">
        <x:v>400000000</x:v>
      </x:c>
      <x:c r="H79" s="40" t="n">
        <x:v>422040147</x:v>
      </x:c>
      <x:c r="I79" s="40" t="n">
        <x:v>2839858</x:v>
      </x:c>
      <x:c r="J79" s="31" t="str">
        <x:v>持續</x:v>
      </x:c>
      <x:c r="K79" s="31" t="str">
        <x:v>美元</x:v>
      </x:c>
      <x:c r="L79" s="43" t="n">
        <x:v>0.1054</x:v>
      </x:c>
      <x:c r="M79" s="43" t="n">
        <x:v>0.1043</x:v>
      </x:c>
      <x:c r="N79" s="32" t="str">
        <x:v>勞工退休基金-115年7月.pdf</x:v>
      </x:c>
    </x:row>
    <x:row r="80">
      <x:c r="A80" s="37" t="n">
        <x:v>46204</x:v>
      </x:c>
      <x:c r="B80" s="31" t="str">
        <x:v>115年7月</x:v>
      </x:c>
      <x:c r="C80" s="31" t="str">
        <x:v>舊制</x:v>
      </x:c>
      <x:c r="D80" s="31" t="str">
        <x:v>國外</x:v>
      </x:c>
      <x:c r="E80" s="31" t="str">
        <x:v>96國際平衡型(續約4)</x:v>
      </x:c>
      <x:c r="F80" s="31" t="str">
        <x:v>富達</x:v>
      </x:c>
      <x:c r="G80" s="40" t="n">
        <x:v>753144454</x:v>
      </x:c>
      <x:c r="H80" s="40" t="n">
        <x:v>1000473186</x:v>
      </x:c>
      <x:c r="I80" s="40" t="n">
        <x:v>-15737222</x:v>
      </x:c>
      <x:c r="J80" s="31" t="str">
        <x:v>持續</x:v>
      </x:c>
      <x:c r="K80" s="31" t="str">
        <x:v>美元</x:v>
      </x:c>
      <x:c r="L80" s="43" t="n">
        <x:v>0.3284</x:v>
      </x:c>
      <x:c r="M80" s="43" t="n">
        <x:v>0.2753</x:v>
      </x:c>
      <x:c r="N80" s="32" t="str">
        <x:v>勞工退休基金-115年7月.pdf</x:v>
      </x:c>
    </x:row>
    <x:row r="81">
      <x:c r="A81" s="37" t="n">
        <x:v>46204</x:v>
      </x:c>
      <x:c r="B81" s="31" t="str">
        <x:v>115年7月</x:v>
      </x:c>
      <x:c r="C81" s="31" t="str">
        <x:v>舊制</x:v>
      </x:c>
      <x:c r="D81" s="31" t="str">
        <x:v>國外</x:v>
      </x:c>
      <x:c r="E81" s="31" t="str">
        <x:v>97-1全球增值債券型(續約3)</x:v>
      </x:c>
      <x:c r="F81" s="31" t="str">
        <x:v>PIMCO</x:v>
      </x:c>
      <x:c r="G81" s="40" t="n">
        <x:v>1003724736</x:v>
      </x:c>
      <x:c r="H81" s="40" t="n">
        <x:v>955925026</x:v>
      </x:c>
      <x:c r="I81" s="40" t="n">
        <x:v>-9211812</x:v>
      </x:c>
      <x:c r="J81" s="31" t="str">
        <x:v>持續</x:v>
      </x:c>
      <x:c r="K81" s="31" t="str">
        <x:v>美元</x:v>
      </x:c>
      <x:c r="L81" s="43" t="n">
        <x:v>-0.047599999999999996</x:v>
      </x:c>
      <x:c r="M81" s="43" t="n">
        <x:v>-0.07490000000000001</x:v>
      </x:c>
      <x:c r="N81" s="32" t="str">
        <x:v>勞工退休基金-115年7月.pdf</x:v>
      </x:c>
    </x:row>
    <x:row r="82">
      <x:c r="A82" s="37" t="n">
        <x:v>46204</x:v>
      </x:c>
      <x:c r="B82" s="31" t="str">
        <x:v>115年7月</x:v>
      </x:c>
      <x:c r="C82" s="31" t="str">
        <x:v>舊制</x:v>
      </x:c>
      <x:c r="D82" s="31" t="str">
        <x:v>國外</x:v>
      </x:c>
      <x:c r="E82" s="31" t="str">
        <x:v>97-1全球增值債券型(續約3)</x:v>
      </x:c>
      <x:c r="F82" s="31" t="str">
        <x:v>盧米斯</x:v>
      </x:c>
      <x:c r="G82" s="40" t="n">
        <x:v>1018693762</x:v>
      </x:c>
      <x:c r="H82" s="40" t="n">
        <x:v>951725548</x:v>
      </x:c>
      <x:c r="I82" s="40" t="n">
        <x:v>-7643783</x:v>
      </x:c>
      <x:c r="J82" s="31" t="str">
        <x:v>持續</x:v>
      </x:c>
      <x:c r="K82" s="31" t="str">
        <x:v>美元</x:v>
      </x:c>
      <x:c r="L82" s="43" t="n">
        <x:v>-0.07769999999999999</x:v>
      </x:c>
      <x:c r="M82" s="43" t="n">
        <x:v>-0.07490000000000001</x:v>
      </x:c>
      <x:c r="N82" s="32" t="str">
        <x:v>勞工退休基金-115年7月.pdf</x:v>
      </x:c>
    </x:row>
    <x:row r="83">
      <x:c r="A83" s="37" t="n">
        <x:v>46204</x:v>
      </x:c>
      <x:c r="B83" s="31" t="str">
        <x:v>115年7月</x:v>
      </x:c>
      <x:c r="C83" s="31" t="str">
        <x:v>舊制</x:v>
      </x:c>
      <x:c r="D83" s="31" t="str">
        <x:v>國外</x:v>
      </x:c>
      <x:c r="E83" s="31" t="str">
        <x:v>97-1全球增值股票型(續約3)</x:v>
      </x:c>
      <x:c r="F83" s="31" t="str">
        <x:v>貝萊德</x:v>
      </x:c>
      <x:c r="G83" s="40" t="n">
        <x:v>456987544</x:v>
      </x:c>
      <x:c r="H83" s="40" t="n">
        <x:v>1504388734</x:v>
      </x:c>
      <x:c r="I83" s="40" t="n">
        <x:v>-492790883</x:v>
      </x:c>
      <x:c r="J83" s="31" t="str">
        <x:v>持續</x:v>
      </x:c>
      <x:c r="K83" s="31" t="str">
        <x:v>美元</x:v>
      </x:c>
      <x:c r="L83" s="43" t="n">
        <x:v>0.8691</x:v>
      </x:c>
      <x:c r="M83" s="43" t="n">
        <x:v>0.6754000000000001</x:v>
      </x:c>
      <x:c r="N83" s="32" t="str">
        <x:v>勞工退休基金-115年7月.pdf</x:v>
      </x:c>
    </x:row>
    <x:row r="84">
      <x:c r="A84" s="37" t="n">
        <x:v>46204</x:v>
      </x:c>
      <x:c r="B84" s="31" t="str">
        <x:v>115年7月</x:v>
      </x:c>
      <x:c r="C84" s="31" t="str">
        <x:v>舊制</x:v>
      </x:c>
      <x:c r="D84" s="31" t="str">
        <x:v>國外</x:v>
      </x:c>
      <x:c r="E84" s="31" t="str">
        <x:v>98-1亞太(日本除外)主動股票型(續約3)</x:v>
      </x:c>
      <x:c r="F84" s="31" t="str">
        <x:v>景順</x:v>
      </x:c>
      <x:c r="G84" s="40" t="n">
        <x:v>181124998</x:v>
      </x:c>
      <x:c r="H84" s="40" t="n">
        <x:v>388876019</x:v>
      </x:c>
      <x:c r="I84" s="40" t="n">
        <x:v>3292095</x:v>
      </x:c>
      <x:c r="J84" s="31" t="str">
        <x:v>持續</x:v>
      </x:c>
      <x:c r="K84" s="31" t="str">
        <x:v>美元</x:v>
      </x:c>
      <x:c r="L84" s="43" t="n">
        <x:v>0.9747</x:v>
      </x:c>
      <x:c r="M84" s="43"/>
      <x:c r="N84" s="32" t="str">
        <x:v>勞工退休基金-115年7月.pdf</x:v>
      </x:c>
    </x:row>
    <x:row r="85">
      <x:c r="A85" s="37" t="n">
        <x:v>46204</x:v>
      </x:c>
      <x:c r="B85" s="31" t="str">
        <x:v>115年7月</x:v>
      </x:c>
      <x:c r="C85" s="31" t="str">
        <x:v>舊制</x:v>
      </x:c>
      <x:c r="D85" s="31" t="str">
        <x:v>國外</x:v>
      </x:c>
      <x:c r="E85" s="31" t="str">
        <x:v>100-1全球基本面指數被動股票型(續約3)</x:v>
      </x:c>
      <x:c r="F85" s="31" t="str">
        <x:v>貝萊德</x:v>
      </x:c>
      <x:c r="G85" s="40" t="n">
        <x:v>303753501</x:v>
      </x:c>
      <x:c r="H85" s="40" t="n">
        <x:v>308345333</x:v>
      </x:c>
      <x:c r="I85" s="40" t="n">
        <x:v>308345333</x:v>
      </x:c>
      <x:c r="J85" s="31" t="str">
        <x:v>新增</x:v>
      </x:c>
      <x:c r="K85" s="31" t="str">
        <x:v>美元</x:v>
      </x:c>
      <x:c r="L85" s="43" t="n">
        <x:v>0.0151</x:v>
      </x:c>
      <x:c r="M85" s="43" t="n">
        <x:v>0.0174</x:v>
      </x:c>
      <x:c r="N85" s="32" t="str">
        <x:v>勞工退休基金-115年7月.pdf</x:v>
      </x:c>
    </x:row>
    <x:row r="86">
      <x:c r="A86" s="37" t="n">
        <x:v>46204</x:v>
      </x:c>
      <x:c r="B86" s="31" t="str">
        <x:v>115年7月</x:v>
      </x:c>
      <x:c r="C86" s="31" t="str">
        <x:v>舊制</x:v>
      </x:c>
      <x:c r="D86" s="31" t="str">
        <x:v>國外</x:v>
      </x:c>
      <x:c r="E86" s="31" t="str">
        <x:v>100-1全球基本面指數被動股票型(續約3)</x:v>
      </x:c>
      <x:c r="F86" s="31" t="str">
        <x:v>道富</x:v>
      </x:c>
      <x:c r="G86" s="40" t="n">
        <x:v>456179013</x:v>
      </x:c>
      <x:c r="H86" s="40" t="n">
        <x:v>464380516</x:v>
      </x:c>
      <x:c r="I86" s="40" t="n">
        <x:v>464380516</x:v>
      </x:c>
      <x:c r="J86" s="31" t="str">
        <x:v>新增</x:v>
      </x:c>
      <x:c r="K86" s="31" t="str">
        <x:v>美元</x:v>
      </x:c>
      <x:c r="L86" s="43" t="n">
        <x:v>0.018000000000000002</x:v>
      </x:c>
      <x:c r="M86" s="43" t="n">
        <x:v>0.0174</x:v>
      </x:c>
      <x:c r="N86" s="32" t="str">
        <x:v>勞工退休基金-115年7月.pdf</x:v>
      </x:c>
    </x:row>
    <x:row r="87">
      <x:c r="A87" s="37" t="n">
        <x:v>46204</x:v>
      </x:c>
      <x:c r="B87" s="31" t="str">
        <x:v>115年7月</x:v>
      </x:c>
      <x:c r="C87" s="31" t="str">
        <x:v>舊制</x:v>
      </x:c>
      <x:c r="D87" s="31" t="str">
        <x:v>國外</x:v>
      </x:c>
      <x:c r="E87" s="31" t="str">
        <x:v>100-1全球基本面指數被動股票型(續約3)</x:v>
      </x:c>
      <x:c r="F87" s="31" t="str">
        <x:v>UBS</x:v>
      </x:c>
      <x:c r="G87" s="40" t="n">
        <x:v>361201485</x:v>
      </x:c>
      <x:c r="H87" s="40" t="n">
        <x:v>367521178</x:v>
      </x:c>
      <x:c r="I87" s="40" t="n">
        <x:v>367521178</x:v>
      </x:c>
      <x:c r="J87" s="31" t="str">
        <x:v>新增</x:v>
      </x:c>
      <x:c r="K87" s="31" t="str">
        <x:v>美元</x:v>
      </x:c>
      <x:c r="L87" s="43" t="n">
        <x:v>0.0175</x:v>
      </x:c>
      <x:c r="M87" s="43" t="n">
        <x:v>0.0174</x:v>
      </x:c>
      <x:c r="N87" s="32" t="str">
        <x:v>勞工退休基金-115年7月.pdf</x:v>
      </x:c>
    </x:row>
    <x:row r="88">
      <x:c r="A88" s="37" t="n">
        <x:v>46204</x:v>
      </x:c>
      <x:c r="B88" s="31" t="str">
        <x:v>115年7月</x:v>
      </x:c>
      <x:c r="C88" s="31" t="str">
        <x:v>舊制</x:v>
      </x:c>
      <x:c r="D88" s="31" t="str">
        <x:v>國外</x:v>
      </x:c>
      <x:c r="E88" s="31" t="str">
        <x:v>100-1全球基本面指數被動股票型(續約3)</x:v>
      </x:c>
      <x:c r="F88" s="31" t="str">
        <x:v>Nomura</x:v>
      </x:c>
      <x:c r="G88" s="40" t="n">
        <x:v>405779245</x:v>
      </x:c>
      <x:c r="H88" s="40" t="n">
        <x:v>412290581</x:v>
      </x:c>
      <x:c r="I88" s="40" t="n">
        <x:v>412290581</x:v>
      </x:c>
      <x:c r="J88" s="31" t="str">
        <x:v>新增</x:v>
      </x:c>
      <x:c r="K88" s="31" t="str">
        <x:v>美元</x:v>
      </x:c>
      <x:c r="L88" s="43" t="n">
        <x:v>0.016</x:v>
      </x:c>
      <x:c r="M88" s="43" t="n">
        <x:v>0.0174</x:v>
      </x:c>
      <x:c r="N88" s="32" t="str">
        <x:v>勞工退休基金-115年7月.pdf</x:v>
      </x:c>
    </x:row>
    <x:row r="89">
      <x:c r="A89" s="37" t="n">
        <x:v>46204</x:v>
      </x:c>
      <x:c r="B89" s="31" t="str">
        <x:v>115年7月</x:v>
      </x:c>
      <x:c r="C89" s="31" t="str">
        <x:v>舊制</x:v>
      </x:c>
      <x:c r="D89" s="31" t="str">
        <x:v>國外</x:v>
      </x:c>
      <x:c r="E89" s="31" t="str">
        <x:v>101-1全球低波動指數被動股票型(續約2)</x:v>
      </x:c>
      <x:c r="F89" s="31" t="str">
        <x:v>貝萊德</x:v>
      </x:c>
      <x:c r="G89" s="40" t="n">
        <x:v>751993706</x:v>
      </x:c>
      <x:c r="H89" s="40" t="n">
        <x:v>1013212614</x:v>
      </x:c>
      <x:c r="I89" s="40" t="n">
        <x:v>28070705</x:v>
      </x:c>
      <x:c r="J89" s="31" t="str">
        <x:v>持續</x:v>
      </x:c>
      <x:c r="K89" s="31" t="str">
        <x:v>美元</x:v>
      </x:c>
      <x:c r="L89" s="43" t="n">
        <x:v>0.34740000000000004</x:v>
      </x:c>
      <x:c r="M89" s="43" t="n">
        <x:v>0.3337</x:v>
      </x:c>
      <x:c r="N89" s="32" t="str">
        <x:v>勞工退休基金-115年7月.pdf</x:v>
      </x:c>
    </x:row>
    <x:row r="90">
      <x:c r="A90" s="37" t="n">
        <x:v>46204</x:v>
      </x:c>
      <x:c r="B90" s="31" t="str">
        <x:v>115年7月</x:v>
      </x:c>
      <x:c r="C90" s="31" t="str">
        <x:v>舊制</x:v>
      </x:c>
      <x:c r="D90" s="31" t="str">
        <x:v>國外</x:v>
      </x:c>
      <x:c r="E90" s="31" t="str">
        <x:v>102-1年全球高股利增值股票型(續約2)</x:v>
      </x:c>
      <x:c r="F90" s="31" t="str">
        <x:v>瑞萬通博</x:v>
      </x:c>
      <x:c r="G90" s="40" t="n">
        <x:v>414056068</x:v>
      </x:c>
      <x:c r="H90" s="40" t="n">
        <x:v>485988414</x:v>
      </x:c>
      <x:c r="I90" s="40" t="n">
        <x:v>-1144086</x:v>
      </x:c>
      <x:c r="J90" s="31" t="str">
        <x:v>持續</x:v>
      </x:c>
      <x:c r="K90" s="31" t="str">
        <x:v>美元</x:v>
      </x:c>
      <x:c r="L90" s="43" t="n">
        <x:v>0.17370000000000002</x:v>
      </x:c>
      <x:c r="M90" s="43" t="n">
        <x:v>0.5083</x:v>
      </x:c>
      <x:c r="N90" s="32" t="str">
        <x:v>勞工退休基金-115年7月.pdf</x:v>
      </x:c>
    </x:row>
    <x:row r="91">
      <x:c r="A91" s="37" t="n">
        <x:v>46204</x:v>
      </x:c>
      <x:c r="B91" s="31" t="str">
        <x:v>115年7月</x:v>
      </x:c>
      <x:c r="C91" s="31" t="str">
        <x:v>舊制</x:v>
      </x:c>
      <x:c r="D91" s="31" t="str">
        <x:v>國外</x:v>
      </x:c>
      <x:c r="E91" s="31" t="str">
        <x:v>102-1年全球高股利增值股票型(續約2)</x:v>
      </x:c>
      <x:c r="F91" s="31" t="str">
        <x:v>MFS</x:v>
      </x:c>
      <x:c r="G91" s="40" t="n">
        <x:v>315296707</x:v>
      </x:c>
      <x:c r="H91" s="40" t="n">
        <x:v>485100246</x:v>
      </x:c>
      <x:c r="I91" s="40" t="n">
        <x:v>18202137</x:v>
      </x:c>
      <x:c r="J91" s="31" t="str">
        <x:v>持續</x:v>
      </x:c>
      <x:c r="K91" s="31" t="str">
        <x:v>美元</x:v>
      </x:c>
      <x:c r="L91" s="43" t="n">
        <x:v>0.5386</x:v>
      </x:c>
      <x:c r="M91" s="43" t="n">
        <x:v>0.5083</x:v>
      </x:c>
      <x:c r="N91" s="32" t="str">
        <x:v>勞工退休基金-115年7月.pdf</x:v>
      </x:c>
    </x:row>
    <x:row r="92">
      <x:c r="A92" s="37" t="n">
        <x:v>46204</x:v>
      </x:c>
      <x:c r="B92" s="31" t="str">
        <x:v>115年7月</x:v>
      </x:c>
      <x:c r="C92" s="31" t="str">
        <x:v>舊制</x:v>
      </x:c>
      <x:c r="D92" s="31" t="str">
        <x:v>國外</x:v>
      </x:c>
      <x:c r="E92" s="31" t="str">
        <x:v>102-1年全球高股利增值股票型(續約2)</x:v>
      </x:c>
      <x:c r="F92" s="31" t="str">
        <x:v>威靈頓</x:v>
      </x:c>
      <x:c r="G92" s="40" t="n">
        <x:v>704502354</x:v>
      </x:c>
      <x:c r="H92" s="40" t="n">
        <x:v>1076341328</x:v>
      </x:c>
      <x:c r="I92" s="40" t="n">
        <x:v>35929266</x:v>
      </x:c>
      <x:c r="J92" s="31" t="str">
        <x:v>持續</x:v>
      </x:c>
      <x:c r="K92" s="31" t="str">
        <x:v>美元</x:v>
      </x:c>
      <x:c r="L92" s="43" t="n">
        <x:v>0.5278</x:v>
      </x:c>
      <x:c r="M92" s="43" t="n">
        <x:v>0.5083</x:v>
      </x:c>
      <x:c r="N92" s="32" t="str">
        <x:v>勞工退休基金-115年7月.pdf</x:v>
      </x:c>
    </x:row>
    <x:row r="93">
      <x:c r="A93" s="37" t="n">
        <x:v>46204</x:v>
      </x:c>
      <x:c r="B93" s="31" t="str">
        <x:v>115年7月</x:v>
      </x:c>
      <x:c r="C93" s="31" t="str">
        <x:v>舊制</x:v>
      </x:c>
      <x:c r="D93" s="31" t="str">
        <x:v>國外</x:v>
      </x:c>
      <x:c r="E93" s="31" t="str">
        <x:v>102-2全球基礎建設有價證券型(續約2)</x:v>
      </x:c>
      <x:c r="F93" s="31" t="str">
        <x:v>Lazard</x:v>
      </x:c>
      <x:c r="G93" s="40" t="n">
        <x:v>954418976</x:v>
      </x:c>
      <x:c r="H93" s="40" t="n">
        <x:v>1388520134</x:v>
      </x:c>
      <x:c r="I93" s="40" t="n">
        <x:v>-4372508</x:v>
      </x:c>
      <x:c r="J93" s="31" t="str">
        <x:v>持續</x:v>
      </x:c>
      <x:c r="K93" s="31" t="str">
        <x:v>美元</x:v>
      </x:c>
      <x:c r="L93" s="43" t="n">
        <x:v>0.4548</x:v>
      </x:c>
      <x:c r="M93" s="43" t="n">
        <x:v>0.4003</x:v>
      </x:c>
      <x:c r="N93" s="32" t="str">
        <x:v>勞工退休基金-115年7月.pdf</x:v>
      </x:c>
    </x:row>
    <x:row r="94">
      <x:c r="A94" s="37" t="n">
        <x:v>46204</x:v>
      </x:c>
      <x:c r="B94" s="31" t="str">
        <x:v>115年7月</x:v>
      </x:c>
      <x:c r="C94" s="31" t="str">
        <x:v>舊制</x:v>
      </x:c>
      <x:c r="D94" s="31" t="str">
        <x:v>國外</x:v>
      </x:c>
      <x:c r="E94" s="31" t="str">
        <x:v>102-2全球不動產有價證券型(續約2)</x:v>
      </x:c>
      <x:c r="F94" s="31" t="str">
        <x:v>信安</x:v>
      </x:c>
      <x:c r="G94" s="40" t="n">
        <x:v>708888643</x:v>
      </x:c>
      <x:c r="H94" s="40" t="n">
        <x:v>801020312</x:v>
      </x:c>
      <x:c r="I94" s="40" t="n">
        <x:v>17805307</x:v>
      </x:c>
      <x:c r="J94" s="31" t="str">
        <x:v>持續</x:v>
      </x:c>
      <x:c r="K94" s="31" t="str">
        <x:v>美元</x:v>
      </x:c>
      <x:c r="L94" s="43" t="n">
        <x:v>0.13</x:v>
      </x:c>
      <x:c r="M94" s="43"/>
      <x:c r="N94" s="32" t="str">
        <x:v>勞工退休基金-115年7月.pdf</x:v>
      </x:c>
    </x:row>
    <x:row r="95">
      <x:c r="A95" s="37" t="n">
        <x:v>46204</x:v>
      </x:c>
      <x:c r="B95" s="31" t="str">
        <x:v>115年7月</x:v>
      </x:c>
      <x:c r="C95" s="31" t="str">
        <x:v>舊制</x:v>
      </x:c>
      <x:c r="D95" s="31" t="str">
        <x:v>國外</x:v>
      </x:c>
      <x:c r="E95" s="31" t="str">
        <x:v>105-1全球多元資產型(續約2)</x:v>
      </x:c>
      <x:c r="F95" s="31" t="str">
        <x:v>Allianz</x:v>
      </x:c>
      <x:c r="G95" s="40" t="n">
        <x:v>275923278</x:v>
      </x:c>
      <x:c r="H95" s="40" t="n">
        <x:v>275639320</x:v>
      </x:c>
      <x:c r="I95" s="40" t="n">
        <x:v>275639320</x:v>
      </x:c>
      <x:c r="J95" s="31" t="str">
        <x:v>新增</x:v>
      </x:c>
      <x:c r="K95" s="31" t="str">
        <x:v>美元</x:v>
      </x:c>
      <x:c r="L95" s="43" t="n">
        <x:v>-0.001</x:v>
      </x:c>
      <x:c r="M95" s="43"/>
      <x:c r="N95" s="32" t="str">
        <x:v>勞工退休基金-115年7月.pdf</x:v>
      </x:c>
    </x:row>
    <x:row r="96">
      <x:c r="A96" s="37" t="n">
        <x:v>46204</x:v>
      </x:c>
      <x:c r="B96" s="31" t="str">
        <x:v>115年7月</x:v>
      </x:c>
      <x:c r="C96" s="31" t="str">
        <x:v>舊制</x:v>
      </x:c>
      <x:c r="D96" s="31" t="str">
        <x:v>國外</x:v>
      </x:c>
      <x:c r="E96" s="31" t="str">
        <x:v>105-1全球多元資產型(續約2)</x:v>
      </x:c>
      <x:c r="F96" s="31" t="str">
        <x:v>JPMorgan（國外）</x:v>
      </x:c>
      <x:c r="G96" s="40" t="n">
        <x:v>440558255</x:v>
      </x:c>
      <x:c r="H96" s="40" t="n">
        <x:v>442701115</x:v>
      </x:c>
      <x:c r="I96" s="40" t="n">
        <x:v>442701115</x:v>
      </x:c>
      <x:c r="J96" s="31" t="str">
        <x:v>新增</x:v>
      </x:c>
      <x:c r="K96" s="31" t="str">
        <x:v>美元</x:v>
      </x:c>
      <x:c r="L96" s="43" t="n">
        <x:v>0.0049</x:v>
      </x:c>
      <x:c r="M96" s="43"/>
      <x:c r="N96" s="32" t="str">
        <x:v>勞工退休基金-115年7月.pdf</x:v>
      </x:c>
    </x:row>
    <x:row r="97">
      <x:c r="A97" s="37" t="n">
        <x:v>46204</x:v>
      </x:c>
      <x:c r="B97" s="31" t="str">
        <x:v>115年7月</x:v>
      </x:c>
      <x:c r="C97" s="31" t="str">
        <x:v>舊制</x:v>
      </x:c>
      <x:c r="D97" s="31" t="str">
        <x:v>國外</x:v>
      </x:c>
      <x:c r="E97" s="31" t="str">
        <x:v>105-1全球多元資產型(續約2)</x:v>
      </x:c>
      <x:c r="F97" s="31" t="str">
        <x:v>DWS</x:v>
      </x:c>
      <x:c r="G97" s="40" t="n">
        <x:v>443166315</x:v>
      </x:c>
      <x:c r="H97" s="40" t="n">
        <x:v>446332480</x:v>
      </x:c>
      <x:c r="I97" s="40" t="n">
        <x:v>446332480</x:v>
      </x:c>
      <x:c r="J97" s="31" t="str">
        <x:v>新增</x:v>
      </x:c>
      <x:c r="K97" s="31" t="str">
        <x:v>美元</x:v>
      </x:c>
      <x:c r="L97" s="43" t="n">
        <x:v>0.0070999999999999995</x:v>
      </x:c>
      <x:c r="M97" s="43"/>
      <x:c r="N97" s="32" t="str">
        <x:v>勞工退休基金-115年7月.pdf</x:v>
      </x:c>
    </x:row>
    <x:row r="98">
      <x:c r="A98" s="37" t="n">
        <x:v>46204</x:v>
      </x:c>
      <x:c r="B98" s="31" t="str">
        <x:v>115年7月</x:v>
      </x:c>
      <x:c r="C98" s="31" t="str">
        <x:v>舊制</x:v>
      </x:c>
      <x:c r="D98" s="31" t="str">
        <x:v>國外</x:v>
      </x:c>
      <x:c r="E98" s="31" t="str">
        <x:v>106-1全球ESG混合指數被動股票型(續約)</x:v>
      </x:c>
      <x:c r="F98" s="31" t="str">
        <x:v>貝萊德</x:v>
      </x:c>
      <x:c r="G98" s="40" t="n">
        <x:v>127303524</x:v>
      </x:c>
      <x:c r="H98" s="40" t="n">
        <x:v>243246878</x:v>
      </x:c>
      <x:c r="I98" s="40" t="n">
        <x:v>-903402</x:v>
      </x:c>
      <x:c r="J98" s="31" t="str">
        <x:v>持續</x:v>
      </x:c>
      <x:c r="K98" s="31" t="str">
        <x:v>美元</x:v>
      </x:c>
      <x:c r="L98" s="43" t="n">
        <x:v>0.9107999999999999</x:v>
      </x:c>
      <x:c r="M98" s="43" t="n">
        <x:v>0.914</x:v>
      </x:c>
      <x:c r="N98" s="32" t="str">
        <x:v>勞工退休基金-115年7月.pdf</x:v>
      </x:c>
    </x:row>
    <x:row r="99">
      <x:c r="A99" s="37" t="n">
        <x:v>46204</x:v>
      </x:c>
      <x:c r="B99" s="31" t="str">
        <x:v>115年7月</x:v>
      </x:c>
      <x:c r="C99" s="31" t="str">
        <x:v>舊制</x:v>
      </x:c>
      <x:c r="D99" s="31" t="str">
        <x:v>國外</x:v>
      </x:c>
      <x:c r="E99" s="31" t="str">
        <x:v>106-1全球ESG混合指數被動股票型(續約)</x:v>
      </x:c>
      <x:c r="F99" s="31" t="str">
        <x:v>DWS</x:v>
      </x:c>
      <x:c r="G99" s="40" t="n">
        <x:v>147528441</x:v>
      </x:c>
      <x:c r="H99" s="40" t="n">
        <x:v>288944122</x:v>
      </x:c>
      <x:c r="I99" s="40" t="n">
        <x:v>-305339</x:v>
      </x:c>
      <x:c r="J99" s="31" t="str">
        <x:v>持續</x:v>
      </x:c>
      <x:c r="K99" s="31" t="str">
        <x:v>美元</x:v>
      </x:c>
      <x:c r="L99" s="43" t="n">
        <x:v>0.9586</x:v>
      </x:c>
      <x:c r="M99" s="43" t="n">
        <x:v>0.914</x:v>
      </x:c>
      <x:c r="N99" s="32" t="str">
        <x:v>勞工退休基金-115年7月.pdf</x:v>
      </x:c>
    </x:row>
    <x:row r="100">
      <x:c r="A100" s="37" t="n">
        <x:v>46204</x:v>
      </x:c>
      <x:c r="B100" s="31" t="str">
        <x:v>115年7月</x:v>
      </x:c>
      <x:c r="C100" s="31" t="str">
        <x:v>舊制</x:v>
      </x:c>
      <x:c r="D100" s="31" t="str">
        <x:v>國外</x:v>
      </x:c>
      <x:c r="E100" s="31" t="str">
        <x:v>106-1全球ESG混合指數被動股票型(續約)</x:v>
      </x:c>
      <x:c r="F100" s="31" t="str">
        <x:v>道富</x:v>
      </x:c>
      <x:c r="G100" s="40" t="n">
        <x:v>157982595</x:v>
      </x:c>
      <x:c r="H100" s="40" t="n">
        <x:v>308803058</x:v>
      </x:c>
      <x:c r="I100" s="40" t="n">
        <x:v>-423848</x:v>
      </x:c>
      <x:c r="J100" s="31" t="str">
        <x:v>持續</x:v>
      </x:c>
      <x:c r="K100" s="31" t="str">
        <x:v>美元</x:v>
      </x:c>
      <x:c r="L100" s="43" t="n">
        <x:v>0.9547</x:v>
      </x:c>
      <x:c r="M100" s="43" t="n">
        <x:v>0.914</x:v>
      </x:c>
      <x:c r="N100" s="32" t="str">
        <x:v>勞工退休基金-115年7月.pdf</x:v>
      </x:c>
    </x:row>
    <x:row r="101">
      <x:c r="A101" s="37" t="n">
        <x:v>46204</x:v>
      </x:c>
      <x:c r="B101" s="31" t="str">
        <x:v>115年7月</x:v>
      </x:c>
      <x:c r="C101" s="31" t="str">
        <x:v>舊制</x:v>
      </x:c>
      <x:c r="D101" s="31" t="str">
        <x:v>國外</x:v>
      </x:c>
      <x:c r="E101" s="31" t="str">
        <x:v>106-1全球ESG混合指數被動股票型(續約)</x:v>
      </x:c>
      <x:c r="F101" s="31" t="str">
        <x:v>北美信託</x:v>
      </x:c>
      <x:c r="G101" s="40" t="n">
        <x:v>158484700</x:v>
      </x:c>
      <x:c r="H101" s="40" t="n">
        <x:v>306792507</x:v>
      </x:c>
      <x:c r="I101" s="40" t="n">
        <x:v>-754352</x:v>
      </x:c>
      <x:c r="J101" s="31" t="str">
        <x:v>持續</x:v>
      </x:c>
      <x:c r="K101" s="31" t="str">
        <x:v>美元</x:v>
      </x:c>
      <x:c r="L101" s="43" t="n">
        <x:v>0.9358</x:v>
      </x:c>
      <x:c r="M101" s="43" t="n">
        <x:v>0.914</x:v>
      </x:c>
      <x:c r="N101" s="32" t="str">
        <x:v>勞工退休基金-115年7月.pdf</x:v>
      </x:c>
    </x:row>
    <x:row r="102">
      <x:c r="A102" s="37" t="n">
        <x:v>46204</x:v>
      </x:c>
      <x:c r="B102" s="31" t="str">
        <x:v>115年7月</x:v>
      </x:c>
      <x:c r="C102" s="31" t="str">
        <x:v>舊制</x:v>
      </x:c>
      <x:c r="D102" s="31" t="str">
        <x:v>國外</x:v>
      </x:c>
      <x:c r="E102" s="31" t="str">
        <x:v>106-1絕對報酬債券型(續約)</x:v>
      </x:c>
      <x:c r="F102" s="31" t="str">
        <x:v>American Century</x:v>
      </x:c>
      <x:c r="G102" s="40" t="n">
        <x:v>319635794</x:v>
      </x:c>
      <x:c r="H102" s="40" t="n">
        <x:v>391326795</x:v>
      </x:c>
      <x:c r="I102" s="40" t="n">
        <x:v>381026</x:v>
      </x:c>
      <x:c r="J102" s="31" t="str">
        <x:v>持續</x:v>
      </x:c>
      <x:c r="K102" s="31" t="str">
        <x:v>美元</x:v>
      </x:c>
      <x:c r="L102" s="43" t="n">
        <x:v>0.2243</x:v>
      </x:c>
      <x:c r="M102" s="43"/>
      <x:c r="N102" s="32" t="str">
        <x:v>勞工退休基金-115年7月.pdf</x:v>
      </x:c>
    </x:row>
    <x:row r="103">
      <x:c r="A103" s="37" t="n">
        <x:v>46204</x:v>
      </x:c>
      <x:c r="B103" s="31" t="str">
        <x:v>115年7月</x:v>
      </x:c>
      <x:c r="C103" s="31" t="str">
        <x:v>舊制</x:v>
      </x:c>
      <x:c r="D103" s="31" t="str">
        <x:v>國外</x:v>
      </x:c>
      <x:c r="E103" s="31" t="str">
        <x:v>106-1絕對報酬債券型(續約)</x:v>
      </x:c>
      <x:c r="F103" s="31" t="str">
        <x:v>富達</x:v>
      </x:c>
      <x:c r="G103" s="40" t="n">
        <x:v>279785344</x:v>
      </x:c>
      <x:c r="H103" s="40" t="n">
        <x:v>361976287</x:v>
      </x:c>
      <x:c r="I103" s="40" t="n">
        <x:v>695834</x:v>
      </x:c>
      <x:c r="J103" s="31" t="str">
        <x:v>持續</x:v>
      </x:c>
      <x:c r="K103" s="31" t="str">
        <x:v>美元</x:v>
      </x:c>
      <x:c r="L103" s="43" t="n">
        <x:v>0.2789</x:v>
      </x:c>
      <x:c r="M103" s="43"/>
      <x:c r="N103" s="32" t="str">
        <x:v>勞工退休基金-115年7月.pdf</x:v>
      </x:c>
    </x:row>
    <x:row r="104">
      <x:c r="A104" s="37" t="n">
        <x:v>46204</x:v>
      </x:c>
      <x:c r="B104" s="31" t="str">
        <x:v>115年7月</x:v>
      </x:c>
      <x:c r="C104" s="31" t="str">
        <x:v>舊制</x:v>
      </x:c>
      <x:c r="D104" s="31" t="str">
        <x:v>國外</x:v>
      </x:c>
      <x:c r="E104" s="31" t="str">
        <x:v>106-1絕對報酬債券型(續約)</x:v>
      </x:c>
      <x:c r="F104" s="31" t="str">
        <x:v>TCW</x:v>
      </x:c>
      <x:c r="G104" s="40" t="n">
        <x:v>328000470</x:v>
      </x:c>
      <x:c r="H104" s="40" t="n">
        <x:v>409014201</x:v>
      </x:c>
      <x:c r="I104" s="40" t="n">
        <x:v>147161</x:v>
      </x:c>
      <x:c r="J104" s="31" t="str">
        <x:v>持續</x:v>
      </x:c>
      <x:c r="K104" s="31" t="str">
        <x:v>美元</x:v>
      </x:c>
      <x:c r="L104" s="43" t="n">
        <x:v>0.247</x:v>
      </x:c>
      <x:c r="M104" s="43"/>
      <x:c r="N104" s="32" t="str">
        <x:v>勞工退休基金-115年7月.pdf</x:v>
      </x:c>
    </x:row>
    <x:row r="105">
      <x:c r="A105" s="37" t="n">
        <x:v>46204</x:v>
      </x:c>
      <x:c r="B105" s="31" t="str">
        <x:v>115年7月</x:v>
      </x:c>
      <x:c r="C105" s="31" t="str">
        <x:v>舊制</x:v>
      </x:c>
      <x:c r="D105" s="31" t="str">
        <x:v>國外</x:v>
      </x:c>
      <x:c r="E105" s="31" t="str">
        <x:v>107-1絕對報酬股票型(續約)</x:v>
      </x:c>
      <x:c r="F105" s="31" t="str">
        <x:v>景順</x:v>
      </x:c>
      <x:c r="G105" s="40" t="n">
        <x:v>116977839</x:v>
      </x:c>
      <x:c r="H105" s="40" t="n">
        <x:v>187362563</x:v>
      </x:c>
      <x:c r="I105" s="40" t="n">
        <x:v>3027644</x:v>
      </x:c>
      <x:c r="J105" s="31" t="str">
        <x:v>持續</x:v>
      </x:c>
      <x:c r="K105" s="31" t="str">
        <x:v>美元</x:v>
      </x:c>
      <x:c r="L105" s="43" t="n">
        <x:v>0.6017</x:v>
      </x:c>
      <x:c r="M105" s="43"/>
      <x:c r="N105" s="32" t="str">
        <x:v>勞工退休基金-115年7月.pdf</x:v>
      </x:c>
    </x:row>
    <x:row r="106">
      <x:c r="A106" s="37" t="n">
        <x:v>46204</x:v>
      </x:c>
      <x:c r="B106" s="31" t="str">
        <x:v>115年7月</x:v>
      </x:c>
      <x:c r="C106" s="31" t="str">
        <x:v>舊制</x:v>
      </x:c>
      <x:c r="D106" s="31" t="str">
        <x:v>國外</x:v>
      </x:c>
      <x:c r="E106" s="31" t="str">
        <x:v>107-1絕對報酬股票型(續約)</x:v>
      </x:c>
      <x:c r="F106" s="31" t="str">
        <x:v>威靈頓</x:v>
      </x:c>
      <x:c r="G106" s="40" t="n">
        <x:v>107476614</x:v>
      </x:c>
      <x:c r="H106" s="40" t="n">
        <x:v>145514023</x:v>
      </x:c>
      <x:c r="I106" s="40" t="n">
        <x:v>1149442</x:v>
      </x:c>
      <x:c r="J106" s="31" t="str">
        <x:v>持續</x:v>
      </x:c>
      <x:c r="K106" s="31" t="str">
        <x:v>美元</x:v>
      </x:c>
      <x:c r="L106" s="43" t="n">
        <x:v>0.3539</x:v>
      </x:c>
      <x:c r="M106" s="43"/>
      <x:c r="N106" s="32" t="str">
        <x:v>勞工退休基金-115年7月.pdf</x:v>
      </x:c>
    </x:row>
    <x:row r="107">
      <x:c r="A107" s="37" t="n">
        <x:v>46204</x:v>
      </x:c>
      <x:c r="B107" s="31" t="str">
        <x:v>115年7月</x:v>
      </x:c>
      <x:c r="C107" s="31" t="str">
        <x:v>舊制</x:v>
      </x:c>
      <x:c r="D107" s="31" t="str">
        <x:v>國外</x:v>
      </x:c>
      <x:c r="E107" s="31" t="str">
        <x:v>107-1絕對報酬股票型(續約)</x:v>
      </x:c>
      <x:c r="F107" s="31" t="str">
        <x:v>CPR</x:v>
      </x:c>
      <x:c r="G107" s="40" t="n">
        <x:v>115110097</x:v>
      </x:c>
      <x:c r="H107" s="40" t="n">
        <x:v>167820235</x:v>
      </x:c>
      <x:c r="I107" s="40" t="n">
        <x:v>1264593</x:v>
      </x:c>
      <x:c r="J107" s="31" t="str">
        <x:v>持續</x:v>
      </x:c>
      <x:c r="K107" s="31" t="str">
        <x:v>美元</x:v>
      </x:c>
      <x:c r="L107" s="43" t="n">
        <x:v>0.4579</x:v>
      </x:c>
      <x:c r="M107" s="43"/>
      <x:c r="N107" s="32" t="str">
        <x:v>勞工退休基金-115年7月.pdf</x:v>
      </x:c>
    </x:row>
    <x:row r="108">
      <x:c r="A108" s="37" t="n">
        <x:v>46204</x:v>
      </x:c>
      <x:c r="B108" s="31" t="str">
        <x:v>115年7月</x:v>
      </x:c>
      <x:c r="C108" s="31" t="str">
        <x:v>舊制</x:v>
      </x:c>
      <x:c r="D108" s="31" t="str">
        <x:v>國外</x:v>
      </x:c>
      <x:c r="E108" s="31" t="str">
        <x:v>110-1全球基礎建設有價證券型</x:v>
      </x:c>
      <x:c r="F108" s="31" t="str">
        <x:v>CBRE</x:v>
      </x:c>
      <x:c r="G108" s="40" t="n">
        <x:v>60000000</x:v>
      </x:c>
      <x:c r="H108" s="40" t="n">
        <x:v>82391662</x:v>
      </x:c>
      <x:c r="I108" s="40" t="n">
        <x:v>-283260</x:v>
      </x:c>
      <x:c r="J108" s="31" t="str">
        <x:v>持續</x:v>
      </x:c>
      <x:c r="K108" s="31" t="str">
        <x:v>美元</x:v>
      </x:c>
      <x:c r="L108" s="43" t="n">
        <x:v>0.3895</x:v>
      </x:c>
      <x:c r="M108" s="43" t="n">
        <x:v>0.39909999999999995</x:v>
      </x:c>
      <x:c r="N108" s="32" t="str">
        <x:v>勞工退休基金-115年7月.pdf</x:v>
      </x:c>
    </x:row>
    <x:row r="109">
      <x:c r="A109" s="37" t="n">
        <x:v>46204</x:v>
      </x:c>
      <x:c r="B109" s="31" t="str">
        <x:v>115年7月</x:v>
      </x:c>
      <x:c r="C109" s="31" t="str">
        <x:v>舊制</x:v>
      </x:c>
      <x:c r="D109" s="31" t="str">
        <x:v>國外</x:v>
      </x:c>
      <x:c r="E109" s="31" t="str">
        <x:v>110-1全球基礎建設有價證券型</x:v>
      </x:c>
      <x:c r="F109" s="31" t="str">
        <x:v>ClearBridge</x:v>
      </x:c>
      <x:c r="G109" s="40" t="n">
        <x:v>60000000</x:v>
      </x:c>
      <x:c r="H109" s="40" t="n">
        <x:v>90179012</x:v>
      </x:c>
      <x:c r="I109" s="40" t="n">
        <x:v>-171763</x:v>
      </x:c>
      <x:c r="J109" s="31" t="str">
        <x:v>持續</x:v>
      </x:c>
      <x:c r="K109" s="31" t="str">
        <x:v>美元</x:v>
      </x:c>
      <x:c r="L109" s="43" t="n">
        <x:v>0.5423</x:v>
      </x:c>
      <x:c r="M109" s="43" t="n">
        <x:v>0.39909999999999995</x:v>
      </x:c>
      <x:c r="N109" s="32" t="str">
        <x:v>勞工退休基金-115年7月.pdf</x:v>
      </x:c>
    </x:row>
    <x:row r="110">
      <x:c r="A110" s="37" t="n">
        <x:v>46204</x:v>
      </x:c>
      <x:c r="B110" s="31" t="str">
        <x:v>115年7月</x:v>
      </x:c>
      <x:c r="C110" s="31" t="str">
        <x:v>舊制</x:v>
      </x:c>
      <x:c r="D110" s="31" t="str">
        <x:v>國外</x:v>
      </x:c>
      <x:c r="E110" s="31" t="str">
        <x:v>110-1全球基礎建設有價證券型</x:v>
      </x:c>
      <x:c r="F110" s="31" t="str">
        <x:v>Magellan</x:v>
      </x:c>
      <x:c r="G110" s="40" t="n">
        <x:v>60000000</x:v>
      </x:c>
      <x:c r="H110" s="40" t="n">
        <x:v>73920654</x:v>
      </x:c>
      <x:c r="I110" s="40" t="n">
        <x:v>-869016</x:v>
      </x:c>
      <x:c r="J110" s="31" t="str">
        <x:v>持續</x:v>
      </x:c>
      <x:c r="K110" s="31" t="str">
        <x:v>美元</x:v>
      </x:c>
      <x:c r="L110" s="43" t="n">
        <x:v>0.38189999999999996</x:v>
      </x:c>
      <x:c r="M110" s="43" t="n">
        <x:v>0.39909999999999995</x:v>
      </x:c>
      <x:c r="N110" s="32" t="str">
        <x:v>勞工退休基金-115年7月.pdf</x:v>
      </x:c>
    </x:row>
    <x:row r="111">
      <x:c r="A111" s="37" t="n">
        <x:v>46204</x:v>
      </x:c>
      <x:c r="B111" s="31" t="str">
        <x:v>115年7月</x:v>
      </x:c>
      <x:c r="C111" s="31" t="str">
        <x:v>舊制</x:v>
      </x:c>
      <x:c r="D111" s="31" t="str">
        <x:v>國外</x:v>
      </x:c>
      <x:c r="E111" s="31" t="str">
        <x:v>110-1全球基礎建設有價證券型</x:v>
      </x:c>
      <x:c r="F111" s="31" t="str">
        <x:v>RREEF</x:v>
      </x:c>
      <x:c r="G111" s="40" t="n">
        <x:v>60000000</x:v>
      </x:c>
      <x:c r="H111" s="40" t="n">
        <x:v>83221636</x:v>
      </x:c>
      <x:c r="I111" s="40" t="n">
        <x:v>996985</x:v>
      </x:c>
      <x:c r="J111" s="31" t="str">
        <x:v>持續</x:v>
      </x:c>
      <x:c r="K111" s="31" t="str">
        <x:v>美元</x:v>
      </x:c>
      <x:c r="L111" s="43" t="n">
        <x:v>0.40380000000000005</x:v>
      </x:c>
      <x:c r="M111" s="43" t="n">
        <x:v>0.39909999999999995</x:v>
      </x:c>
      <x:c r="N111" s="32" t="str">
        <x:v>勞工退休基金-115年7月.pdf</x:v>
      </x:c>
    </x:row>
    <x:row r="112">
      <x:c r="A112" s="37" t="n">
        <x:v>46204</x:v>
      </x:c>
      <x:c r="B112" s="31" t="str">
        <x:v>115年7月</x:v>
      </x:c>
      <x:c r="C112" s="31" t="str">
        <x:v>勞工保險</x:v>
      </x:c>
      <x:c r="D112" s="31" t="str">
        <x:v>國外</x:v>
      </x:c>
      <x:c r="E112" s="31" t="str">
        <x:v>100年全球主動股票型(續約2)</x:v>
      </x:c>
      <x:c r="F112" s="31" t="str">
        <x:v>MFS</x:v>
      </x:c>
      <x:c r="G112" s="40" t="n">
        <x:v>946084601</x:v>
      </x:c>
      <x:c r="H112" s="40" t="n">
        <x:v>1255172172</x:v>
      </x:c>
      <x:c r="I112" s="40" t="n">
        <x:v>86029794</x:v>
      </x:c>
      <x:c r="J112" s="31" t="str">
        <x:v>持續</x:v>
      </x:c>
      <x:c r="K112" s="31" t="str">
        <x:v>美元</x:v>
      </x:c>
      <x:c r="L112" s="43" t="n">
        <x:v>0.2121</x:v>
      </x:c>
      <x:c r="M112" s="43" t="n">
        <x:v>0.6374</x:v>
      </x:c>
      <x:c r="N112" s="32" t="str">
        <x:v>勞工保險基金-115年7月.pdf</x:v>
      </x:c>
    </x:row>
    <x:row r="113">
      <x:c r="A113" s="37" t="n">
        <x:v>46204</x:v>
      </x:c>
      <x:c r="B113" s="31" t="str">
        <x:v>115年7月</x:v>
      </x:c>
      <x:c r="C113" s="31" t="str">
        <x:v>勞工保險</x:v>
      </x:c>
      <x:c r="D113" s="31" t="str">
        <x:v>國外</x:v>
      </x:c>
      <x:c r="E113" s="31" t="str">
        <x:v>101年全球新興市場主動債券型(續約2)</x:v>
      </x:c>
      <x:c r="F113" s="31" t="str">
        <x:v>富蘭克林坦伯頓</x:v>
      </x:c>
      <x:c r="G113" s="40" t="n">
        <x:v>274323144</x:v>
      </x:c>
      <x:c r="H113" s="40" t="n">
        <x:v>374599171</x:v>
      </x:c>
      <x:c r="I113" s="40" t="n">
        <x:v>-1221560</x:v>
      </x:c>
      <x:c r="J113" s="31" t="str">
        <x:v>持續</x:v>
      </x:c>
      <x:c r="K113" s="31" t="str">
        <x:v>美元</x:v>
      </x:c>
      <x:c r="L113" s="43" t="n">
        <x:v>0.3655</x:v>
      </x:c>
      <x:c r="M113" s="43" t="n">
        <x:v>0.36829999999999996</x:v>
      </x:c>
      <x:c r="N113" s="32" t="str">
        <x:v>勞工保險基金-115年7月.pdf</x:v>
      </x:c>
    </x:row>
    <x:row r="114">
      <x:c r="A114" s="37" t="n">
        <x:v>46204</x:v>
      </x:c>
      <x:c r="B114" s="31" t="str">
        <x:v>115年7月</x:v>
      </x:c>
      <x:c r="C114" s="31" t="str">
        <x:v>勞工保險</x:v>
      </x:c>
      <x:c r="D114" s="31" t="str">
        <x:v>國外</x:v>
      </x:c>
      <x:c r="E114" s="31" t="str">
        <x:v>104年全球主動債券型(續約3)</x:v>
      </x:c>
      <x:c r="F114" s="31" t="str">
        <x:v>威靈頓</x:v>
      </x:c>
      <x:c r="G114" s="40" t="n">
        <x:v>314964360</x:v>
      </x:c>
      <x:c r="H114" s="40" t="n">
        <x:v>337505230</x:v>
      </x:c>
      <x:c r="I114" s="40" t="n">
        <x:v>-2653247</x:v>
      </x:c>
      <x:c r="J114" s="31" t="str">
        <x:v>持續</x:v>
      </x:c>
      <x:c r="K114" s="31" t="str">
        <x:v>美元</x:v>
      </x:c>
      <x:c r="L114" s="43" t="n">
        <x:v>0.0716</x:v>
      </x:c>
      <x:c r="M114" s="43" t="n">
        <x:v>0.0633</x:v>
      </x:c>
      <x:c r="N114" s="32" t="str">
        <x:v>勞工保險基金-115年7月.pdf</x:v>
      </x:c>
    </x:row>
    <x:row r="115">
      <x:c r="A115" s="37" t="n">
        <x:v>46204</x:v>
      </x:c>
      <x:c r="B115" s="31" t="str">
        <x:v>115年7月</x:v>
      </x:c>
      <x:c r="C115" s="31" t="str">
        <x:v>勞工保險</x:v>
      </x:c>
      <x:c r="D115" s="31" t="str">
        <x:v>國外</x:v>
      </x:c>
      <x:c r="E115" s="31" t="str">
        <x:v>104年全球主動債券型(續約3)</x:v>
      </x:c>
      <x:c r="F115" s="31" t="str">
        <x:v>PIMCO</x:v>
      </x:c>
      <x:c r="G115" s="40" t="n">
        <x:v>1151650255</x:v>
      </x:c>
      <x:c r="H115" s="40" t="n">
        <x:v>1214682638</x:v>
      </x:c>
      <x:c r="I115" s="40" t="n">
        <x:v>-11725692</x:v>
      </x:c>
      <x:c r="J115" s="31" t="str">
        <x:v>持續</x:v>
      </x:c>
      <x:c r="K115" s="31" t="str">
        <x:v>美元</x:v>
      </x:c>
      <x:c r="L115" s="43" t="n">
        <x:v>0.0672</x:v>
      </x:c>
      <x:c r="M115" s="43" t="n">
        <x:v>0.0633</x:v>
      </x:c>
      <x:c r="N115" s="32" t="str">
        <x:v>勞工保險基金-115年7月.pdf</x:v>
      </x:c>
    </x:row>
    <x:row r="116">
      <x:c r="A116" s="37" t="n">
        <x:v>46204</x:v>
      </x:c>
      <x:c r="B116" s="31" t="str">
        <x:v>115年7月</x:v>
      </x:c>
      <x:c r="C116" s="31" t="str">
        <x:v>勞工保險</x:v>
      </x:c>
      <x:c r="D116" s="31" t="str">
        <x:v>國外</x:v>
      </x:c>
      <x:c r="E116" s="31" t="str">
        <x:v>104-1全球高品質被動股票型(續約2)</x:v>
      </x:c>
      <x:c r="F116" s="31" t="str">
        <x:v>北美信託</x:v>
      </x:c>
      <x:c r="G116" s="40" t="n">
        <x:v>823846300</x:v>
      </x:c>
      <x:c r="H116" s="40" t="n">
        <x:v>997557132</x:v>
      </x:c>
      <x:c r="I116" s="40" t="n">
        <x:v>-18297135</x:v>
      </x:c>
      <x:c r="J116" s="31" t="str">
        <x:v>持續</x:v>
      </x:c>
      <x:c r="K116" s="31" t="str">
        <x:v>美元</x:v>
      </x:c>
      <x:c r="L116" s="43" t="n">
        <x:v>0.2119</x:v>
      </x:c>
      <x:c r="M116" s="43" t="n">
        <x:v>0.21989999999999998</x:v>
      </x:c>
      <x:c r="N116" s="32" t="str">
        <x:v>勞工保險基金-115年7月.pdf</x:v>
      </x:c>
    </x:row>
    <x:row r="117">
      <x:c r="A117" s="37" t="n">
        <x:v>46204</x:v>
      </x:c>
      <x:c r="B117" s="31" t="str">
        <x:v>115年7月</x:v>
      </x:c>
      <x:c r="C117" s="31" t="str">
        <x:v>勞工保險</x:v>
      </x:c>
      <x:c r="D117" s="31" t="str">
        <x:v>國外</x:v>
      </x:c>
      <x:c r="E117" s="31" t="str">
        <x:v>104-1全球高品質被動股票型(續約2)</x:v>
      </x:c>
      <x:c r="F117" s="31" t="str">
        <x:v>L&amp;G</x:v>
      </x:c>
      <x:c r="G117" s="40" t="n">
        <x:v>820369757</x:v>
      </x:c>
      <x:c r="H117" s="40" t="n">
        <x:v>988168804</x:v>
      </x:c>
      <x:c r="I117" s="40" t="n">
        <x:v>-15019704</x:v>
      </x:c>
      <x:c r="J117" s="31" t="str">
        <x:v>持續</x:v>
      </x:c>
      <x:c r="K117" s="31" t="str">
        <x:v>美元</x:v>
      </x:c>
      <x:c r="L117" s="43" t="n">
        <x:v>0.2057</x:v>
      </x:c>
      <x:c r="M117" s="43" t="n">
        <x:v>0.21989999999999998</x:v>
      </x:c>
      <x:c r="N117" s="32" t="str">
        <x:v>勞工保險基金-115年7月.pdf</x:v>
      </x:c>
    </x:row>
    <x:row r="118">
      <x:c r="A118" s="37" t="n">
        <x:v>46204</x:v>
      </x:c>
      <x:c r="B118" s="31" t="str">
        <x:v>115年7月</x:v>
      </x:c>
      <x:c r="C118" s="31" t="str">
        <x:v>勞工保險</x:v>
      </x:c>
      <x:c r="D118" s="31" t="str">
        <x:v>國外</x:v>
      </x:c>
      <x:c r="E118" s="31" t="str">
        <x:v>104-1全球高品質被動股票型(續約2)</x:v>
      </x:c>
      <x:c r="F118" s="31" t="str">
        <x:v>Geode</x:v>
      </x:c>
      <x:c r="G118" s="40" t="n">
        <x:v>822731626</x:v>
      </x:c>
      <x:c r="H118" s="40" t="n">
        <x:v>993985391</x:v>
      </x:c>
      <x:c r="I118" s="40" t="n">
        <x:v>-17743111</x:v>
      </x:c>
      <x:c r="J118" s="31" t="str">
        <x:v>持續</x:v>
      </x:c>
      <x:c r="K118" s="31" t="str">
        <x:v>美元</x:v>
      </x:c>
      <x:c r="L118" s="43" t="n">
        <x:v>0.20929999999999999</x:v>
      </x:c>
      <x:c r="M118" s="43" t="n">
        <x:v>0.21989999999999998</x:v>
      </x:c>
      <x:c r="N118" s="32" t="str">
        <x:v>勞工保險基金-115年7月.pdf</x:v>
      </x:c>
    </x:row>
    <x:row r="119">
      <x:c r="A119" s="37" t="n">
        <x:v>46204</x:v>
      </x:c>
      <x:c r="B119" s="31" t="str">
        <x:v>115年7月</x:v>
      </x:c>
      <x:c r="C119" s="31" t="str">
        <x:v>勞工保險</x:v>
      </x:c>
      <x:c r="D119" s="31" t="str">
        <x:v>國外</x:v>
      </x:c>
      <x:c r="E119" s="31" t="str">
        <x:v>104-2全球基礎建設有價證券型(續約2)</x:v>
      </x:c>
      <x:c r="F119" s="31" t="str">
        <x:v>Nomura</x:v>
      </x:c>
      <x:c r="G119" s="40" t="n">
        <x:v>425389351</x:v>
      </x:c>
      <x:c r="H119" s="40" t="n">
        <x:v>475239009</x:v>
      </x:c>
      <x:c r="I119" s="40" t="n">
        <x:v>9432028</x:v>
      </x:c>
      <x:c r="J119" s="31" t="str">
        <x:v>持續</x:v>
      </x:c>
      <x:c r="K119" s="31" t="str">
        <x:v>美元</x:v>
      </x:c>
      <x:c r="L119" s="43" t="n">
        <x:v>0.11720000000000001</x:v>
      </x:c>
      <x:c r="M119" s="43" t="n">
        <x:v>0.1247</x:v>
      </x:c>
      <x:c r="N119" s="32" t="str">
        <x:v>勞工保險基金-115年7月.pdf</x:v>
      </x:c>
    </x:row>
    <x:row r="120">
      <x:c r="A120" s="37" t="n">
        <x:v>46204</x:v>
      </x:c>
      <x:c r="B120" s="31" t="str">
        <x:v>115年7月</x:v>
      </x:c>
      <x:c r="C120" s="31" t="str">
        <x:v>勞工保險</x:v>
      </x:c>
      <x:c r="D120" s="31" t="str">
        <x:v>國外</x:v>
      </x:c>
      <x:c r="E120" s="31" t="str">
        <x:v>104-2全球基礎建設有價證券型(續約2)</x:v>
      </x:c>
      <x:c r="F120" s="31" t="str">
        <x:v>Magellan</x:v>
      </x:c>
      <x:c r="G120" s="40" t="n">
        <x:v>508571279</x:v>
      </x:c>
      <x:c r="H120" s="40" t="n">
        <x:v>578473784</x:v>
      </x:c>
      <x:c r="I120" s="40" t="n">
        <x:v>1973545</x:v>
      </x:c>
      <x:c r="J120" s="31" t="str">
        <x:v>持續</x:v>
      </x:c>
      <x:c r="K120" s="31" t="str">
        <x:v>美元</x:v>
      </x:c>
      <x:c r="L120" s="43" t="n">
        <x:v>0.1374</x:v>
      </x:c>
      <x:c r="M120" s="43" t="n">
        <x:v>0.1247</x:v>
      </x:c>
      <x:c r="N120" s="32" t="str">
        <x:v>勞工保險基金-115年7月.pdf</x:v>
      </x:c>
    </x:row>
    <x:row r="121">
      <x:c r="A121" s="37" t="n">
        <x:v>46204</x:v>
      </x:c>
      <x:c r="B121" s="31" t="str">
        <x:v>115年7月</x:v>
      </x:c>
      <x:c r="C121" s="31" t="str">
        <x:v>勞工保險</x:v>
      </x:c>
      <x:c r="D121" s="31" t="str">
        <x:v>國外</x:v>
      </x:c>
      <x:c r="E121" s="31" t="str">
        <x:v>104-2全球基礎建設有價證券型(續約2)</x:v>
      </x:c>
      <x:c r="F121" s="31" t="str">
        <x:v>RREEF</x:v>
      </x:c>
      <x:c r="G121" s="40" t="n">
        <x:v>464478952</x:v>
      </x:c>
      <x:c r="H121" s="40" t="n">
        <x:v>511250642</x:v>
      </x:c>
      <x:c r="I121" s="40" t="n">
        <x:v>-186646</x:v>
      </x:c>
      <x:c r="J121" s="31" t="str">
        <x:v>持續</x:v>
      </x:c>
      <x:c r="K121" s="31" t="str">
        <x:v>美元</x:v>
      </x:c>
      <x:c r="L121" s="43" t="n">
        <x:v>0.1007</x:v>
      </x:c>
      <x:c r="M121" s="43" t="n">
        <x:v>0.1247</x:v>
      </x:c>
      <x:c r="N121" s="32" t="str">
        <x:v>勞工保險基金-115年7月.pdf</x:v>
      </x:c>
    </x:row>
    <x:row r="122">
      <x:c r="A122" s="37" t="n">
        <x:v>46204</x:v>
      </x:c>
      <x:c r="B122" s="31" t="str">
        <x:v>115年7月</x:v>
      </x:c>
      <x:c r="C122" s="31" t="str">
        <x:v>勞工保險</x:v>
      </x:c>
      <x:c r="D122" s="31" t="str">
        <x:v>國外</x:v>
      </x:c>
      <x:c r="E122" s="31" t="str">
        <x:v>104-2全球不動產有價證券型(續約2)</x:v>
      </x:c>
      <x:c r="F122" s="31" t="str">
        <x:v>CBRE</x:v>
      </x:c>
      <x:c r="G122" s="40" t="n">
        <x:v>627191291</x:v>
      </x:c>
      <x:c r="H122" s="40" t="n">
        <x:v>714504487</x:v>
      </x:c>
      <x:c r="I122" s="40" t="n">
        <x:v>18107712</x:v>
      </x:c>
      <x:c r="J122" s="31" t="str">
        <x:v>持續</x:v>
      </x:c>
      <x:c r="K122" s="31" t="str">
        <x:v>美元</x:v>
      </x:c>
      <x:c r="L122" s="43" t="n">
        <x:v>0.1392</x:v>
      </x:c>
      <x:c r="M122" s="43" t="n">
        <x:v>0.1307</x:v>
      </x:c>
      <x:c r="N122" s="32" t="str">
        <x:v>勞工保險基金-115年7月.pdf</x:v>
      </x:c>
    </x:row>
    <x:row r="123">
      <x:c r="A123" s="37" t="n">
        <x:v>46204</x:v>
      </x:c>
      <x:c r="B123" s="31" t="str">
        <x:v>115年7月</x:v>
      </x:c>
      <x:c r="C123" s="31" t="str">
        <x:v>勞工保險</x:v>
      </x:c>
      <x:c r="D123" s="31" t="str">
        <x:v>國外</x:v>
      </x:c>
      <x:c r="E123" s="31" t="str">
        <x:v>104-2全球不動產有價證券型(續約2)</x:v>
      </x:c>
      <x:c r="F123" s="31" t="str">
        <x:v>信安</x:v>
      </x:c>
      <x:c r="G123" s="40" t="n">
        <x:v>425091462</x:v>
      </x:c>
      <x:c r="H123" s="40" t="n">
        <x:v>478192278</x:v>
      </x:c>
      <x:c r="I123" s="40" t="n">
        <x:v>10642444</x:v>
      </x:c>
      <x:c r="J123" s="31" t="str">
        <x:v>持續</x:v>
      </x:c>
      <x:c r="K123" s="31" t="str">
        <x:v>美元</x:v>
      </x:c>
      <x:c r="L123" s="43" t="n">
        <x:v>0.1249</x:v>
      </x:c>
      <x:c r="M123" s="43" t="n">
        <x:v>0.1307</x:v>
      </x:c>
      <x:c r="N123" s="32" t="str">
        <x:v>勞工保險基金-115年7月.pdf</x:v>
      </x:c>
    </x:row>
    <x:row r="124">
      <x:c r="A124" s="37" t="n">
        <x:v>46204</x:v>
      </x:c>
      <x:c r="B124" s="31" t="str">
        <x:v>115年7月</x:v>
      </x:c>
      <x:c r="C124" s="31" t="str">
        <x:v>勞工保險</x:v>
      </x:c>
      <x:c r="D124" s="31" t="str">
        <x:v>國外</x:v>
      </x:c>
      <x:c r="E124" s="31" t="str">
        <x:v>105-1全球多元資產型(續約2)</x:v>
      </x:c>
      <x:c r="F124" s="31" t="str">
        <x:v>JPMorgan（國外）</x:v>
      </x:c>
      <x:c r="G124" s="40" t="n">
        <x:v>428950000</x:v>
      </x:c>
      <x:c r="H124" s="40" t="n">
        <x:v>431428553</x:v>
      </x:c>
      <x:c r="I124" s="40" t="n">
        <x:v>431428553</x:v>
      </x:c>
      <x:c r="J124" s="31" t="str">
        <x:v>新增</x:v>
      </x:c>
      <x:c r="K124" s="31" t="str">
        <x:v>美元</x:v>
      </x:c>
      <x:c r="L124" s="43" t="n">
        <x:v>0.0058</x:v>
      </x:c>
      <x:c r="M124" s="43"/>
      <x:c r="N124" s="32" t="str">
        <x:v>勞工保險基金-115年7月.pdf</x:v>
      </x:c>
    </x:row>
    <x:row r="125">
      <x:c r="A125" s="37" t="n">
        <x:v>46204</x:v>
      </x:c>
      <x:c r="B125" s="31" t="str">
        <x:v>115年7月</x:v>
      </x:c>
      <x:c r="C125" s="31" t="str">
        <x:v>勞工保險</x:v>
      </x:c>
      <x:c r="D125" s="31" t="str">
        <x:v>國外</x:v>
      </x:c>
      <x:c r="E125" s="31" t="str">
        <x:v>105-1全球多元資產型(續約2)</x:v>
      </x:c>
      <x:c r="F125" s="31" t="str">
        <x:v>DWS</x:v>
      </x:c>
      <x:c r="G125" s="40" t="n">
        <x:v>462463907</x:v>
      </x:c>
      <x:c r="H125" s="40" t="n">
        <x:v>466146222</x:v>
      </x:c>
      <x:c r="I125" s="40" t="n">
        <x:v>466146222</x:v>
      </x:c>
      <x:c r="J125" s="31" t="str">
        <x:v>新增</x:v>
      </x:c>
      <x:c r="K125" s="31" t="str">
        <x:v>美元</x:v>
      </x:c>
      <x:c r="L125" s="43" t="n">
        <x:v>0.008</x:v>
      </x:c>
      <x:c r="M125" s="43"/>
      <x:c r="N125" s="32" t="str">
        <x:v>勞工保險基金-115年7月.pdf</x:v>
      </x:c>
    </x:row>
    <x:row r="126">
      <x:c r="A126" s="37" t="n">
        <x:v>46204</x:v>
      </x:c>
      <x:c r="B126" s="31" t="str">
        <x:v>115年7月</x:v>
      </x:c>
      <x:c r="C126" s="31" t="str">
        <x:v>勞工保險</x:v>
      </x:c>
      <x:c r="D126" s="31" t="str">
        <x:v>國外</x:v>
      </x:c>
      <x:c r="E126" s="31" t="str">
        <x:v>105-1亞太混合指數增值股票型(續約)</x:v>
      </x:c>
      <x:c r="F126" s="31" t="str">
        <x:v>貝萊德</x:v>
      </x:c>
      <x:c r="G126" s="40" t="n">
        <x:v>151969815</x:v>
      </x:c>
      <x:c r="H126" s="40" t="n">
        <x:v>266710574</x:v>
      </x:c>
      <x:c r="I126" s="40" t="n">
        <x:v>-10002997</x:v>
      </x:c>
      <x:c r="J126" s="31" t="str">
        <x:v>持續</x:v>
      </x:c>
      <x:c r="K126" s="31" t="str">
        <x:v>美元</x:v>
      </x:c>
      <x:c r="L126" s="43" t="n">
        <x:v>0.755</x:v>
      </x:c>
      <x:c r="M126" s="43" t="n">
        <x:v>0.6866</x:v>
      </x:c>
      <x:c r="N126" s="32" t="str">
        <x:v>勞工保險基金-115年7月.pdf</x:v>
      </x:c>
    </x:row>
    <x:row r="127">
      <x:c r="A127" s="37" t="n">
        <x:v>46204</x:v>
      </x:c>
      <x:c r="B127" s="31" t="str">
        <x:v>115年7月</x:v>
      </x:c>
      <x:c r="C127" s="31" t="str">
        <x:v>勞工保險</x:v>
      </x:c>
      <x:c r="D127" s="31" t="str">
        <x:v>國外</x:v>
      </x:c>
      <x:c r="E127" s="31" t="str">
        <x:v>106-1絕對報酬債券型(續約)</x:v>
      </x:c>
      <x:c r="F127" s="31" t="str">
        <x:v>American Century</x:v>
      </x:c>
      <x:c r="G127" s="40" t="n">
        <x:v>105992843</x:v>
      </x:c>
      <x:c r="H127" s="40" t="n">
        <x:v>129828838</x:v>
      </x:c>
      <x:c r="I127" s="40" t="n">
        <x:v>127284</x:v>
      </x:c>
      <x:c r="J127" s="31" t="str">
        <x:v>持續</x:v>
      </x:c>
      <x:c r="K127" s="31" t="str">
        <x:v>美元</x:v>
      </x:c>
      <x:c r="L127" s="43" t="n">
        <x:v>0.2249</x:v>
      </x:c>
      <x:c r="M127" s="43"/>
      <x:c r="N127" s="32" t="str">
        <x:v>勞工保險基金-115年7月.pdf</x:v>
      </x:c>
    </x:row>
    <x:row r="128">
      <x:c r="A128" s="37" t="n">
        <x:v>46204</x:v>
      </x:c>
      <x:c r="B128" s="31" t="str">
        <x:v>115年7月</x:v>
      </x:c>
      <x:c r="C128" s="31" t="str">
        <x:v>勞工保險</x:v>
      </x:c>
      <x:c r="D128" s="31" t="str">
        <x:v>國外</x:v>
      </x:c>
      <x:c r="E128" s="31" t="str">
        <x:v>106-1絕對報酬債券型(續約)</x:v>
      </x:c>
      <x:c r="F128" s="31" t="str">
        <x:v>富達</x:v>
      </x:c>
      <x:c r="G128" s="40" t="n">
        <x:v>258094745</x:v>
      </x:c>
      <x:c r="H128" s="40" t="n">
        <x:v>333870078</x:v>
      </x:c>
      <x:c r="I128" s="40" t="n">
        <x:v>649752</x:v>
      </x:c>
      <x:c r="J128" s="31" t="str">
        <x:v>持續</x:v>
      </x:c>
      <x:c r="K128" s="31" t="str">
        <x:v>美元</x:v>
      </x:c>
      <x:c r="L128" s="43" t="n">
        <x:v>0.2776</x:v>
      </x:c>
      <x:c r="M128" s="43"/>
      <x:c r="N128" s="32" t="str">
        <x:v>勞工保險基金-115年7月.pdf</x:v>
      </x:c>
    </x:row>
    <x:row r="129">
      <x:c r="A129" s="37" t="n">
        <x:v>46204</x:v>
      </x:c>
      <x:c r="B129" s="31" t="str">
        <x:v>115年7月</x:v>
      </x:c>
      <x:c r="C129" s="31" t="str">
        <x:v>勞工保險</x:v>
      </x:c>
      <x:c r="D129" s="31" t="str">
        <x:v>國外</x:v>
      </x:c>
      <x:c r="E129" s="31" t="str">
        <x:v>106-1絕對報酬債券型(續約)</x:v>
      </x:c>
      <x:c r="F129" s="31" t="str">
        <x:v>TCW</x:v>
      </x:c>
      <x:c r="G129" s="40" t="n">
        <x:v>299312934</x:v>
      </x:c>
      <x:c r="H129" s="40" t="n">
        <x:v>373139760</x:v>
      </x:c>
      <x:c r="I129" s="40" t="n">
        <x:v>61623</x:v>
      </x:c>
      <x:c r="J129" s="31" t="str">
        <x:v>持續</x:v>
      </x:c>
      <x:c r="K129" s="31" t="str">
        <x:v>美元</x:v>
      </x:c>
      <x:c r="L129" s="43" t="n">
        <x:v>0.24670000000000003</x:v>
      </x:c>
      <x:c r="M129" s="43"/>
      <x:c r="N129" s="32" t="str">
        <x:v>勞工保險基金-115年7月.pdf</x:v>
      </x:c>
    </x:row>
    <x:row r="130">
      <x:c r="A130" s="37" t="n">
        <x:v>46204</x:v>
      </x:c>
      <x:c r="B130" s="31" t="str">
        <x:v>115年7月</x:v>
      </x:c>
      <x:c r="C130" s="31" t="str">
        <x:v>國民年金</x:v>
      </x:c>
      <x:c r="D130" s="31" t="str">
        <x:v>國外</x:v>
      </x:c>
      <x:c r="E130" s="31" t="str">
        <x:v>104-1全球高品質被動股票型(續約2)</x:v>
      </x:c>
      <x:c r="F130" s="31" t="str">
        <x:v>北美信託</x:v>
      </x:c>
      <x:c r="G130" s="40" t="n">
        <x:v>510820499</x:v>
      </x:c>
      <x:c r="H130" s="40" t="n">
        <x:v>619202327</x:v>
      </x:c>
      <x:c r="I130" s="40" t="n">
        <x:v>-11343656</x:v>
      </x:c>
      <x:c r="J130" s="31" t="str">
        <x:v>持續</x:v>
      </x:c>
      <x:c r="K130" s="31" t="str">
        <x:v>美元</x:v>
      </x:c>
      <x:c r="L130" s="43" t="n">
        <x:v>0.2122</x:v>
      </x:c>
      <x:c r="M130" s="43" t="n">
        <x:v>0.21989999999999998</x:v>
      </x:c>
      <x:c r="N130" s="32" t="str">
        <x:v>國民年金保險基金-115年7月.pdf</x:v>
      </x:c>
    </x:row>
    <x:row r="131">
      <x:c r="A131" s="37" t="n">
        <x:v>46204</x:v>
      </x:c>
      <x:c r="B131" s="31" t="str">
        <x:v>115年7月</x:v>
      </x:c>
      <x:c r="C131" s="31" t="str">
        <x:v>國民年金</x:v>
      </x:c>
      <x:c r="D131" s="31" t="str">
        <x:v>國外</x:v>
      </x:c>
      <x:c r="E131" s="31" t="str">
        <x:v>104-1全球高品質被動股票型(續約2)</x:v>
      </x:c>
      <x:c r="F131" s="31" t="str">
        <x:v>L&amp;G</x:v>
      </x:c>
      <x:c r="G131" s="40" t="n">
        <x:v>508402028</x:v>
      </x:c>
      <x:c r="H131" s="40" t="n">
        <x:v>612836264</x:v>
      </x:c>
      <x:c r="I131" s="40" t="n">
        <x:v>-9349078</x:v>
      </x:c>
      <x:c r="J131" s="31" t="str">
        <x:v>持續</x:v>
      </x:c>
      <x:c r="K131" s="31" t="str">
        <x:v>美元</x:v>
      </x:c>
      <x:c r="L131" s="43" t="n">
        <x:v>0.2054</x:v>
      </x:c>
      <x:c r="M131" s="43" t="n">
        <x:v>0.21989999999999998</x:v>
      </x:c>
      <x:c r="N131" s="32" t="str">
        <x:v>國民年金保險基金-115年7月.pdf</x:v>
      </x:c>
    </x:row>
    <x:row r="132">
      <x:c r="A132" s="37" t="n">
        <x:v>46204</x:v>
      </x:c>
      <x:c r="B132" s="31" t="str">
        <x:v>115年7月</x:v>
      </x:c>
      <x:c r="C132" s="31" t="str">
        <x:v>國民年金</x:v>
      </x:c>
      <x:c r="D132" s="31" t="str">
        <x:v>國外</x:v>
      </x:c>
      <x:c r="E132" s="31" t="str">
        <x:v>104-2全球不動產有價證券型(續約2)</x:v>
      </x:c>
      <x:c r="F132" s="31" t="str">
        <x:v>CBRE</x:v>
      </x:c>
      <x:c r="G132" s="40" t="n">
        <x:v>378735074</x:v>
      </x:c>
      <x:c r="H132" s="40" t="n">
        <x:v>430909955</x:v>
      </x:c>
      <x:c r="I132" s="40" t="n">
        <x:v>10920693</x:v>
      </x:c>
      <x:c r="J132" s="31" t="str">
        <x:v>持續</x:v>
      </x:c>
      <x:c r="K132" s="31" t="str">
        <x:v>美元</x:v>
      </x:c>
      <x:c r="L132" s="43" t="n">
        <x:v>0.1391</x:v>
      </x:c>
      <x:c r="M132" s="43" t="n">
        <x:v>0.1307</x:v>
      </x:c>
      <x:c r="N132" s="32" t="str">
        <x:v>國民年金保險基金-115年7月.pdf</x:v>
      </x:c>
    </x:row>
    <x:row r="133">
      <x:c r="A133" s="37" t="n">
        <x:v>46204</x:v>
      </x:c>
      <x:c r="B133" s="31" t="str">
        <x:v>115年7月</x:v>
      </x:c>
      <x:c r="C133" s="31" t="str">
        <x:v>國民年金</x:v>
      </x:c>
      <x:c r="D133" s="31" t="str">
        <x:v>國外</x:v>
      </x:c>
      <x:c r="E133" s="31" t="str">
        <x:v>104-2全球不動產有價證券型(續約2)</x:v>
      </x:c>
      <x:c r="F133" s="31" t="str">
        <x:v>盧米斯</x:v>
      </x:c>
      <x:c r="G133" s="40" t="n">
        <x:v>339081835</x:v>
      </x:c>
      <x:c r="H133" s="40" t="n">
        <x:v>334549088</x:v>
      </x:c>
      <x:c r="I133" s="40" t="n">
        <x:v>334549088</x:v>
      </x:c>
      <x:c r="J133" s="31" t="str">
        <x:v>新增</x:v>
      </x:c>
      <x:c r="K133" s="31" t="str">
        <x:v>美元</x:v>
      </x:c>
      <x:c r="L133" s="43" t="n">
        <x:v>-0.0134</x:v>
      </x:c>
      <x:c r="M133" s="43" t="n">
        <x:v>-0.0173</x:v>
      </x:c>
      <x:c r="N133" s="32" t="str">
        <x:v>國民年金保險基金-115年7月.pdf</x:v>
      </x:c>
    </x:row>
    <x:row r="134">
      <x:c r="A134" s="37" t="n">
        <x:v>46204</x:v>
      </x:c>
      <x:c r="B134" s="31" t="str">
        <x:v>115年7月</x:v>
      </x:c>
      <x:c r="C134" s="31" t="str">
        <x:v>國民年金</x:v>
      </x:c>
      <x:c r="D134" s="31" t="str">
        <x:v>國外</x:v>
      </x:c>
      <x:c r="E134" s="31" t="str">
        <x:v>105-1亞太混合指數增值股票型(續約)</x:v>
      </x:c>
      <x:c r="F134" s="31" t="str">
        <x:v>貝萊德</x:v>
      </x:c>
      <x:c r="G134" s="40" t="n">
        <x:v>151227051</x:v>
      </x:c>
      <x:c r="H134" s="40" t="n">
        <x:v>265114862</x:v>
      </x:c>
      <x:c r="I134" s="40" t="n">
        <x:v>-9882162</x:v>
      </x:c>
      <x:c r="J134" s="31" t="str">
        <x:v>持續</x:v>
      </x:c>
      <x:c r="K134" s="31" t="str">
        <x:v>美元</x:v>
      </x:c>
      <x:c r="L134" s="43" t="n">
        <x:v>0.7531</x:v>
      </x:c>
      <x:c r="M134" s="43" t="n">
        <x:v>0.6866</x:v>
      </x:c>
      <x:c r="N134" s="32" t="str">
        <x:v>國民年金保險基金-115年7月.pdf</x:v>
      </x:c>
    </x:row>
    <x:row r="135">
      <x:c r="A135" s="37" t="n">
        <x:v>46204</x:v>
      </x:c>
      <x:c r="B135" s="31" t="str">
        <x:v>115年7月</x:v>
      </x:c>
      <x:c r="C135" s="31" t="str">
        <x:v>國民年金</x:v>
      </x:c>
      <x:c r="D135" s="31" t="str">
        <x:v>國外</x:v>
      </x:c>
      <x:c r="E135" s="31" t="str">
        <x:v>106-1全球ESG混合指數被動股票型(續約)</x:v>
      </x:c>
      <x:c r="F135" s="31" t="str">
        <x:v>貝萊德</x:v>
      </x:c>
      <x:c r="G135" s="40" t="n">
        <x:v>159277445</x:v>
      </x:c>
      <x:c r="H135" s="40" t="n">
        <x:v>304979599</x:v>
      </x:c>
      <x:c r="I135" s="40" t="n">
        <x:v>-1188805</x:v>
      </x:c>
      <x:c r="J135" s="31" t="str">
        <x:v>持續</x:v>
      </x:c>
      <x:c r="K135" s="31" t="str">
        <x:v>美元</x:v>
      </x:c>
      <x:c r="L135" s="43" t="n">
        <x:v>0.9148000000000001</x:v>
      </x:c>
      <x:c r="M135" s="43" t="n">
        <x:v>0.914</x:v>
      </x:c>
      <x:c r="N135" s="32" t="str">
        <x:v>國民年金保險基金-115年7月.pdf</x:v>
      </x:c>
    </x:row>
    <x:row r="136">
      <x:c r="A136" s="37" t="n">
        <x:v>46204</x:v>
      </x:c>
      <x:c r="B136" s="31" t="str">
        <x:v>115年7月</x:v>
      </x:c>
      <x:c r="C136" s="31" t="str">
        <x:v>國民年金</x:v>
      </x:c>
      <x:c r="D136" s="31" t="str">
        <x:v>國外</x:v>
      </x:c>
      <x:c r="E136" s="31" t="str">
        <x:v>106-1全球ESG混合指數被動股票型(續約)</x:v>
      </x:c>
      <x:c r="F136" s="31" t="str">
        <x:v>DWS</x:v>
      </x:c>
      <x:c r="G136" s="40" t="n">
        <x:v>159101214</x:v>
      </x:c>
      <x:c r="H136" s="40" t="n">
        <x:v>311496128</x:v>
      </x:c>
      <x:c r="I136" s="40" t="n">
        <x:v>-330845</x:v>
      </x:c>
      <x:c r="J136" s="31" t="str">
        <x:v>持續</x:v>
      </x:c>
      <x:c r="K136" s="31" t="str">
        <x:v>美元</x:v>
      </x:c>
      <x:c r="L136" s="43" t="n">
        <x:v>0.9578</x:v>
      </x:c>
      <x:c r="M136" s="43" t="n">
        <x:v>0.914</x:v>
      </x:c>
      <x:c r="N136" s="32" t="str">
        <x:v>國民年金保險基金-115年7月.pdf</x:v>
      </x:c>
    </x:row>
    <x:row r="137">
      <x:c r="A137" s="37" t="n">
        <x:v>46204</x:v>
      </x:c>
      <x:c r="B137" s="31" t="str">
        <x:v>115年7月</x:v>
      </x:c>
      <x:c r="C137" s="31" t="str">
        <x:v>國民年金</x:v>
      </x:c>
      <x:c r="D137" s="31" t="str">
        <x:v>國外</x:v>
      </x:c>
      <x:c r="E137" s="31" t="str">
        <x:v>106-1全球ESG混合指數被動股票型(續約)</x:v>
      </x:c>
      <x:c r="F137" s="31" t="str">
        <x:v>道富</x:v>
      </x:c>
      <x:c r="G137" s="40" t="n">
        <x:v>159382615</x:v>
      </x:c>
      <x:c r="H137" s="40" t="n">
        <x:v>311580226</x:v>
      </x:c>
      <x:c r="I137" s="40" t="n">
        <x:v>-493569</x:v>
      </x:c>
      <x:c r="J137" s="31" t="str">
        <x:v>持續</x:v>
      </x:c>
      <x:c r="K137" s="31" t="str">
        <x:v>美元</x:v>
      </x:c>
      <x:c r="L137" s="43" t="n">
        <x:v>0.9549</x:v>
      </x:c>
      <x:c r="M137" s="43" t="n">
        <x:v>0.914</x:v>
      </x:c>
      <x:c r="N137" s="32" t="str">
        <x:v>國民年金保險基金-115年7月.pdf</x:v>
      </x:c>
    </x:row>
    <x:row r="138">
      <x:c r="A138" s="37" t="n">
        <x:v>46204</x:v>
      </x:c>
      <x:c r="B138" s="31" t="str">
        <x:v>115年7月</x:v>
      </x:c>
      <x:c r="C138" s="31" t="str">
        <x:v>國民年金</x:v>
      </x:c>
      <x:c r="D138" s="31" t="str">
        <x:v>國外</x:v>
      </x:c>
      <x:c r="E138" s="31" t="str">
        <x:v>106-1全球ESG混合指數被動股票型(續約)</x:v>
      </x:c>
      <x:c r="F138" s="31" t="str">
        <x:v>北美信託</x:v>
      </x:c>
      <x:c r="G138" s="40" t="n">
        <x:v>159708987</x:v>
      </x:c>
      <x:c r="H138" s="40" t="n">
        <x:v>309819784</x:v>
      </x:c>
      <x:c r="I138" s="40" t="n">
        <x:v>-813461</x:v>
      </x:c>
      <x:c r="J138" s="31" t="str">
        <x:v>持續</x:v>
      </x:c>
      <x:c r="K138" s="31" t="str">
        <x:v>美元</x:v>
      </x:c>
      <x:c r="L138" s="43" t="n">
        <x:v>0.9399</x:v>
      </x:c>
      <x:c r="M138" s="43" t="n">
        <x:v>0.914</x:v>
      </x:c>
      <x:c r="N138" s="32" t="str">
        <x:v>國民年金保險基金-115年7月.pdf</x:v>
      </x:c>
    </x:row>
    <x:row r="139">
      <x:c r="A139" s="37" t="n">
        <x:v>46204</x:v>
      </x:c>
      <x:c r="B139" s="31" t="str">
        <x:v>115年7月</x:v>
      </x:c>
      <x:c r="C139" s="31" t="str">
        <x:v>國民年金</x:v>
      </x:c>
      <x:c r="D139" s="31" t="str">
        <x:v>國外</x:v>
      </x:c>
      <x:c r="E139" s="31" t="str">
        <x:v>106-1絕對報酬債券型(續約)</x:v>
      </x:c>
      <x:c r="F139" s="31" t="str">
        <x:v>American Century</x:v>
      </x:c>
      <x:c r="G139" s="40" t="n">
        <x:v>106848757</x:v>
      </x:c>
      <x:c r="H139" s="40" t="n">
        <x:v>130862848</x:v>
      </x:c>
      <x:c r="I139" s="40" t="n">
        <x:v>124527</x:v>
      </x:c>
      <x:c r="J139" s="31" t="str">
        <x:v>持續</x:v>
      </x:c>
      <x:c r="K139" s="31" t="str">
        <x:v>美元</x:v>
      </x:c>
      <x:c r="L139" s="43" t="n">
        <x:v>0.22469999999999998</x:v>
      </x:c>
      <x:c r="M139" s="43"/>
      <x:c r="N139" s="32" t="str">
        <x:v>國民年金保險基金-115年7月.pdf</x:v>
      </x:c>
    </x:row>
    <x:row r="140">
      <x:c r="A140" s="37" t="n">
        <x:v>46204</x:v>
      </x:c>
      <x:c r="B140" s="31" t="str">
        <x:v>115年7月</x:v>
      </x:c>
      <x:c r="C140" s="31" t="str">
        <x:v>國民年金</x:v>
      </x:c>
      <x:c r="D140" s="31" t="str">
        <x:v>國外</x:v>
      </x:c>
      <x:c r="E140" s="31" t="str">
        <x:v>106-1絕對報酬債券型(續約)</x:v>
      </x:c>
      <x:c r="F140" s="31" t="str">
        <x:v>富達</x:v>
      </x:c>
      <x:c r="G140" s="40" t="n">
        <x:v>134102607</x:v>
      </x:c>
      <x:c r="H140" s="40" t="n">
        <x:v>174702263</x:v>
      </x:c>
      <x:c r="I140" s="40" t="n">
        <x:v>342198</x:v>
      </x:c>
      <x:c r="J140" s="31" t="str">
        <x:v>持續</x:v>
      </x:c>
      <x:c r="K140" s="31" t="str">
        <x:v>美元</x:v>
      </x:c>
      <x:c r="L140" s="43" t="n">
        <x:v>0.2867</x:v>
      </x:c>
      <x:c r="M140" s="43"/>
      <x:c r="N140" s="32" t="str">
        <x:v>國民年金保險基金-115年7月.pdf</x:v>
      </x:c>
    </x:row>
    <x:row r="141">
      <x:c r="A141" s="37" t="n">
        <x:v>46204</x:v>
      </x:c>
      <x:c r="B141" s="31" t="str">
        <x:v>115年7月</x:v>
      </x:c>
      <x:c r="C141" s="31" t="str">
        <x:v>國民年金</x:v>
      </x:c>
      <x:c r="D141" s="31" t="str">
        <x:v>國外</x:v>
      </x:c>
      <x:c r="E141" s="31" t="str">
        <x:v>106-1絕對報酬債券型(續約)</x:v>
      </x:c>
      <x:c r="F141" s="31" t="str">
        <x:v>TCW</x:v>
      </x:c>
      <x:c r="G141" s="40" t="n">
        <x:v>257027478</x:v>
      </x:c>
      <x:c r="H141" s="40" t="n">
        <x:v>319545179</x:v>
      </x:c>
      <x:c r="I141" s="40" t="n">
        <x:v>142366</x:v>
      </x:c>
      <x:c r="J141" s="31" t="str">
        <x:v>持續</x:v>
      </x:c>
      <x:c r="K141" s="31" t="str">
        <x:v>美元</x:v>
      </x:c>
      <x:c r="L141" s="43" t="n">
        <x:v>0.2432</x:v>
      </x:c>
      <x:c r="M141" s="43"/>
      <x:c r="N141" s="32" t="str">
        <x:v>國民年金保險基金-115年7月.pdf</x:v>
      </x:c>
    </x:row>
    <x:row r="142">
      <x:c r="A142" s="37" t="n">
        <x:v>46204</x:v>
      </x:c>
      <x:c r="B142" s="31" t="str">
        <x:v>115年7月</x:v>
      </x:c>
      <x:c r="C142" s="31" t="str">
        <x:v>國民年金</x:v>
      </x:c>
      <x:c r="D142" s="31" t="str">
        <x:v>國外</x:v>
      </x:c>
      <x:c r="E142" s="31" t="str">
        <x:v>107-1絕對報酬股票型(續約)</x:v>
      </x:c>
      <x:c r="F142" s="31" t="str">
        <x:v>景順</x:v>
      </x:c>
      <x:c r="G142" s="40" t="n">
        <x:v>160873068</x:v>
      </x:c>
      <x:c r="H142" s="40" t="n">
        <x:v>257650149</x:v>
      </x:c>
      <x:c r="I142" s="40" t="n">
        <x:v>4148152</x:v>
      </x:c>
      <x:c r="J142" s="31" t="str">
        <x:v>持續</x:v>
      </x:c>
      <x:c r="K142" s="31" t="str">
        <x:v>美元</x:v>
      </x:c>
      <x:c r="L142" s="43" t="n">
        <x:v>0.6015999999999999</x:v>
      </x:c>
      <x:c r="M142" s="43"/>
      <x:c r="N142" s="32" t="str">
        <x:v>國民年金保險基金-115年7月.pdf</x:v>
      </x:c>
    </x:row>
    <x:row r="143">
      <x:c r="A143" s="37" t="n">
        <x:v>46204</x:v>
      </x:c>
      <x:c r="B143" s="31" t="str">
        <x:v>115年7月</x:v>
      </x:c>
      <x:c r="C143" s="31" t="str">
        <x:v>國民年金</x:v>
      </x:c>
      <x:c r="D143" s="31" t="str">
        <x:v>國外</x:v>
      </x:c>
      <x:c r="E143" s="31" t="str">
        <x:v>107-1絕對報酬股票型(續約)</x:v>
      </x:c>
      <x:c r="F143" s="31" t="str">
        <x:v>威靈頓</x:v>
      </x:c>
      <x:c r="G143" s="40" t="n">
        <x:v>163472383</x:v>
      </x:c>
      <x:c r="H143" s="40" t="n">
        <x:v>221410107</x:v>
      </x:c>
      <x:c r="I143" s="40" t="n">
        <x:v>1745193</x:v>
      </x:c>
      <x:c r="J143" s="31" t="str">
        <x:v>持續</x:v>
      </x:c>
      <x:c r="K143" s="31" t="str">
        <x:v>美元</x:v>
      </x:c>
      <x:c r="L143" s="43" t="n">
        <x:v>0.3544</x:v>
      </x:c>
      <x:c r="M143" s="43"/>
      <x:c r="N143" s="32" t="str">
        <x:v>國民年金保險基金-115年7月.pdf</x:v>
      </x:c>
    </x:row>
    <x:row r="144">
      <x:c r="A144" s="37" t="n">
        <x:v>46204</x:v>
      </x:c>
      <x:c r="B144" s="31" t="str">
        <x:v>115年7月</x:v>
      </x:c>
      <x:c r="C144" s="31" t="str">
        <x:v>國民年金</x:v>
      </x:c>
      <x:c r="D144" s="31" t="str">
        <x:v>國外</x:v>
      </x:c>
      <x:c r="E144" s="31" t="str">
        <x:v>107-1絕對報酬股票型(續約)</x:v>
      </x:c>
      <x:c r="F144" s="31" t="str">
        <x:v>CPR</x:v>
      </x:c>
      <x:c r="G144" s="40" t="n">
        <x:v>161120051</x:v>
      </x:c>
      <x:c r="H144" s="40" t="n">
        <x:v>234838962</x:v>
      </x:c>
      <x:c r="I144" s="40" t="n">
        <x:v>1796960</x:v>
      </x:c>
      <x:c r="J144" s="31" t="str">
        <x:v>持續</x:v>
      </x:c>
      <x:c r="K144" s="31" t="str">
        <x:v>美元</x:v>
      </x:c>
      <x:c r="L144" s="43" t="n">
        <x:v>0.4575</x:v>
      </x:c>
      <x:c r="M144" s="43"/>
      <x:c r="N144" s="32" t="str">
        <x:v>國民年金保險基金-115年7月.pdf</x:v>
      </x:c>
    </x:row>
    <x:row r="145">
      <x:c r="A145" s="37" t="n">
        <x:v>46204</x:v>
      </x:c>
      <x:c r="B145" s="31" t="str">
        <x:v>115年7月</x:v>
      </x:c>
      <x:c r="C145" s="31" t="str">
        <x:v>國民年金</x:v>
      </x:c>
      <x:c r="D145" s="31" t="str">
        <x:v>國外</x:v>
      </x:c>
      <x:c r="E145" s="31" t="str">
        <x:v>107-1絕對報酬股票型(續約)</x:v>
      </x:c>
      <x:c r="F145" s="31" t="str">
        <x:v>道富</x:v>
      </x:c>
      <x:c r="G145" s="40" t="n">
        <x:v>149737366</x:v>
      </x:c>
      <x:c r="H145" s="40" t="n">
        <x:v>220527203</x:v>
      </x:c>
      <x:c r="I145" s="40" t="n">
        <x:v>10349727</x:v>
      </x:c>
      <x:c r="J145" s="31" t="str">
        <x:v>持續</x:v>
      </x:c>
      <x:c r="K145" s="31" t="str">
        <x:v>美元</x:v>
      </x:c>
      <x:c r="L145" s="43" t="n">
        <x:v>0.4728</x:v>
      </x:c>
      <x:c r="M145" s="43"/>
      <x:c r="N145" s="32" t="str">
        <x:v>國民年金保險基金-115年7月.pdf</x:v>
      </x:c>
    </x:row>
    <x:row r="146">
      <x:c r="A146" s="37" t="n">
        <x:v>46204</x:v>
      </x:c>
      <x:c r="B146" s="31" t="str">
        <x:v>115年7月</x:v>
      </x:c>
      <x:c r="C146" s="31" t="str">
        <x:v>國民年金</x:v>
      </x:c>
      <x:c r="D146" s="31" t="str">
        <x:v>國外</x:v>
      </x:c>
      <x:c r="E146" s="31" t="str">
        <x:v>109-1全球美元公司增值債券型(續約)</x:v>
      </x:c>
      <x:c r="F146" s="31" t="str">
        <x:v>Insight</x:v>
      </x:c>
      <x:c r="G146" s="40" t="n">
        <x:v>170770415</x:v>
      </x:c>
      <x:c r="H146" s="40" t="n">
        <x:v>169160821</x:v>
      </x:c>
      <x:c r="I146" s="40" t="n">
        <x:v>-2713085</x:v>
      </x:c>
      <x:c r="J146" s="31" t="str">
        <x:v>持續</x:v>
      </x:c>
      <x:c r="K146" s="31" t="str">
        <x:v>美元</x:v>
      </x:c>
      <x:c r="L146" s="43" t="n">
        <x:v>-0.009399999999999999</x:v>
      </x:c>
      <x:c r="M146" s="43" t="n">
        <x:v>-0.0070999999999999995</x:v>
      </x:c>
      <x:c r="N146" s="32" t="str">
        <x:v>國民年金保險基金-115年7月.pdf</x:v>
      </x:c>
    </x:row>
    <x:row r="147">
      <x:c r="A147" s="37" t="n">
        <x:v>46204</x:v>
      </x:c>
      <x:c r="B147" s="31" t="str">
        <x:v>115年7月</x:v>
      </x:c>
      <x:c r="C147" s="31" t="str">
        <x:v>國民年金</x:v>
      </x:c>
      <x:c r="D147" s="31" t="str">
        <x:v>國外</x:v>
      </x:c>
      <x:c r="E147" s="31" t="str">
        <x:v>109-1全球美元公司增值債券型(續約)</x:v>
      </x:c>
      <x:c r="F147" s="31" t="str">
        <x:v>JPMorgan（國外）</x:v>
      </x:c>
      <x:c r="G147" s="40" t="n">
        <x:v>92866928</x:v>
      </x:c>
      <x:c r="H147" s="40" t="n">
        <x:v>92150680</x:v>
      </x:c>
      <x:c r="I147" s="40" t="n">
        <x:v>-1474945</x:v>
      </x:c>
      <x:c r="J147" s="31" t="str">
        <x:v>持續</x:v>
      </x:c>
      <x:c r="K147" s="31" t="str">
        <x:v>美元</x:v>
      </x:c>
      <x:c r="L147" s="43" t="n">
        <x:v>-0.0077</x:v>
      </x:c>
      <x:c r="M147" s="43" t="n">
        <x:v>-0.0070999999999999995</x:v>
      </x:c>
      <x:c r="N147" s="32" t="str">
        <x:v>國民年金保險基金-115年7月.pdf</x:v>
      </x:c>
    </x:row>
    <x:row r="148">
      <x:c r="A148" s="37" t="n">
        <x:v>46204</x:v>
      </x:c>
      <x:c r="B148" s="31" t="str">
        <x:v>115年7月</x:v>
      </x:c>
      <x:c r="C148" s="31" t="str">
        <x:v>國民年金</x:v>
      </x:c>
      <x:c r="D148" s="31" t="str">
        <x:v>國外</x:v>
      </x:c>
      <x:c r="E148" s="31" t="str">
        <x:v>109-1全球美元公司增值債券型(續約)</x:v>
      </x:c>
      <x:c r="F148" s="31" t="str">
        <x:v>PIMCO</x:v>
      </x:c>
      <x:c r="G148" s="40" t="n">
        <x:v>116515080</x:v>
      </x:c>
      <x:c r="H148" s="40" t="n">
        <x:v>115478381</x:v>
      </x:c>
      <x:c r="I148" s="40" t="n">
        <x:v>-1835166</x:v>
      </x:c>
      <x:c r="J148" s="31" t="str">
        <x:v>持續</x:v>
      </x:c>
      <x:c r="K148" s="31" t="str">
        <x:v>美元</x:v>
      </x:c>
      <x:c r="L148" s="43" t="n">
        <x:v>-0.0089</x:v>
      </x:c>
      <x:c r="M148" s="43" t="n">
        <x:v>-0.0070999999999999995</x:v>
      </x:c>
      <x:c r="N148" s="32" t="str">
        <x:v>國民年金保險基金-115年7月.pdf</x:v>
      </x:c>
    </x:row>
    <x:row r="149">
      <x:c r="A149" s="37" t="n">
        <x:v>46204</x:v>
      </x:c>
      <x:c r="B149" s="31" t="str">
        <x:v>115年7月</x:v>
      </x:c>
      <x:c r="C149" s="31" t="str">
        <x:v>國民年金</x:v>
      </x:c>
      <x:c r="D149" s="31" t="str">
        <x:v>國外</x:v>
      </x:c>
      <x:c r="E149" s="31" t="str">
        <x:v>110-1全球多元資產型</x:v>
      </x:c>
      <x:c r="F149" s="31" t="str">
        <x:v>富達</x:v>
      </x:c>
      <x:c r="G149" s="40" t="n">
        <x:v>60000000</x:v>
      </x:c>
      <x:c r="H149" s="40" t="n">
        <x:v>76839686</x:v>
      </x:c>
      <x:c r="I149" s="40" t="n">
        <x:v>-2121898</x:v>
      </x:c>
      <x:c r="J149" s="31" t="str">
        <x:v>持續</x:v>
      </x:c>
      <x:c r="K149" s="31" t="str">
        <x:v>美元</x:v>
      </x:c>
      <x:c r="L149" s="43" t="n">
        <x:v>0.2807</x:v>
      </x:c>
      <x:c r="M149" s="43"/>
      <x:c r="N149" s="32" t="str">
        <x:v>國民年金保險基金-115年7月.pdf</x:v>
      </x:c>
    </x:row>
    <x:row r="150">
      <x:c r="A150" s="37" t="n">
        <x:v>46204</x:v>
      </x:c>
      <x:c r="B150" s="31" t="str">
        <x:v>115年7月</x:v>
      </x:c>
      <x:c r="C150" s="31" t="str">
        <x:v>國民年金</x:v>
      </x:c>
      <x:c r="D150" s="31" t="str">
        <x:v>國外</x:v>
      </x:c>
      <x:c r="E150" s="31" t="str">
        <x:v>110-1全球多元資產型</x:v>
      </x:c>
      <x:c r="F150" s="31" t="str">
        <x:v>JPMorgan（國外）</x:v>
      </x:c>
      <x:c r="G150" s="40" t="n">
        <x:v>60000000</x:v>
      </x:c>
      <x:c r="H150" s="40" t="n">
        <x:v>72935938</x:v>
      </x:c>
      <x:c r="I150" s="40" t="n">
        <x:v>-73692729</x:v>
      </x:c>
      <x:c r="J150" s="31" t="str">
        <x:v>持續</x:v>
      </x:c>
      <x:c r="K150" s="31" t="str">
        <x:v>美元</x:v>
      </x:c>
      <x:c r="L150" s="43" t="n">
        <x:v>0.21559999999999999</x:v>
      </x:c>
      <x:c r="M150" s="43"/>
      <x:c r="N150" s="32" t="str">
        <x:v>國民年金保險基金-115年7月.pdf</x:v>
      </x:c>
    </x:row>
    <x:row r="151">
      <x:c r="A151" s="37" t="n">
        <x:v>46204</x:v>
      </x:c>
      <x:c r="B151" s="31" t="str">
        <x:v>115年7月</x:v>
      </x:c>
      <x:c r="C151" s="31" t="str">
        <x:v>國民年金</x:v>
      </x:c>
      <x:c r="D151" s="31" t="str">
        <x:v>國外</x:v>
      </x:c>
      <x:c r="E151" s="31" t="str">
        <x:v>110-1全球多元資產型</x:v>
      </x:c>
      <x:c r="F151" s="31" t="str">
        <x:v>JPMorgan（國外）</x:v>
      </x:c>
      <x:c r="G151" s="40" t="n">
        <x:v>120000000</x:v>
      </x:c>
      <x:c r="H151" s="40" t="n">
        <x:v>146792233</x:v>
      </x:c>
      <x:c r="I151" s="40" t="n">
        <x:v>163566</x:v>
      </x:c>
      <x:c r="J151" s="31" t="str">
        <x:v>持續</x:v>
      </x:c>
      <x:c r="K151" s="31" t="str">
        <x:v>美元</x:v>
      </x:c>
      <x:c r="L151" s="43" t="n">
        <x:v>0.22719999999999999</x:v>
      </x:c>
      <x:c r="M151" s="43"/>
      <x:c r="N151" s="32" t="str">
        <x:v>國民年金保險基金-115年7月.pdf</x:v>
      </x:c>
    </x:row>
    <x:row r="152">
      <x:c r="A152" s="37" t="n">
        <x:v>46204</x:v>
      </x:c>
      <x:c r="B152" s="31" t="str">
        <x:v>115年7月</x:v>
      </x:c>
      <x:c r="C152" s="31" t="str">
        <x:v>國民年金</x:v>
      </x:c>
      <x:c r="D152" s="31" t="str">
        <x:v>國外</x:v>
      </x:c>
      <x:c r="E152" s="31" t="str">
        <x:v>110-1全球多元資產型</x:v>
      </x:c>
      <x:c r="F152" s="31" t="str">
        <x:v>Schroders</x:v>
      </x:c>
      <x:c r="G152" s="40" t="n">
        <x:v>100000000</x:v>
      </x:c>
      <x:c r="H152" s="40" t="n">
        <x:v>133483168</x:v>
      </x:c>
      <x:c r="I152" s="40" t="n">
        <x:v>-25400</x:v>
      </x:c>
      <x:c r="J152" s="31" t="str">
        <x:v>持續</x:v>
      </x:c>
      <x:c r="K152" s="31" t="str">
        <x:v>美元</x:v>
      </x:c>
      <x:c r="L152" s="43" t="n">
        <x:v>0.3414</x:v>
      </x:c>
      <x:c r="M152" s="43"/>
      <x:c r="N152" s="32" t="str">
        <x:v>國民年金保險基金-115年7月.pdf</x:v>
      </x:c>
    </x:row>
    <x:row r="153">
      <x:c r="A153" s="37" t="n">
        <x:v>46204</x:v>
      </x:c>
      <x:c r="B153" s="31" t="str">
        <x:v>115年7月</x:v>
      </x:c>
      <x:c r="C153" s="31" t="str">
        <x:v>國民年金</x:v>
      </x:c>
      <x:c r="D153" s="31" t="str">
        <x:v>國外</x:v>
      </x:c>
      <x:c r="E153" s="31" t="str">
        <x:v>110-1全球多元資產型</x:v>
      </x:c>
      <x:c r="F153" s="31" t="str">
        <x:v>T. Rowe Price</x:v>
      </x:c>
      <x:c r="G153" s="40" t="n">
        <x:v>60000000</x:v>
      </x:c>
      <x:c r="H153" s="40" t="n">
        <x:v>75654265</x:v>
      </x:c>
      <x:c r="I153" s="40" t="n">
        <x:v>-485923</x:v>
      </x:c>
      <x:c r="J153" s="31" t="str">
        <x:v>持續</x:v>
      </x:c>
      <x:c r="K153" s="31" t="str">
        <x:v>美元</x:v>
      </x:c>
      <x:c r="L153" s="43" t="n">
        <x:v>0.2609</x:v>
      </x:c>
      <x:c r="M153" s="43"/>
      <x:c r="N153" s="32" t="str">
        <x:v>國民年金保險基金-115年7月.pdf</x:v>
      </x:c>
    </x:row>
    <x:row r="154">
      <x:c r="A154" s="37" t="n">
        <x:v>46204</x:v>
      </x:c>
      <x:c r="B154" s="31" t="str">
        <x:v>115年7月</x:v>
      </x:c>
      <x:c r="C154" s="31" t="str">
        <x:v>國民年金</x:v>
      </x:c>
      <x:c r="D154" s="31" t="str">
        <x:v>國外</x:v>
      </x:c>
      <x:c r="E154" s="31" t="str">
        <x:v>111-1全球氣候變遷股票型</x:v>
      </x:c>
      <x:c r="F154" s="31" t="str">
        <x:v>滙豐</x:v>
      </x:c>
      <x:c r="G154" s="40" t="n">
        <x:v>60000000</x:v>
      </x:c>
      <x:c r="H154" s="40" t="n">
        <x:v>89122293</x:v>
      </x:c>
      <x:c r="I154" s="40" t="n">
        <x:v>-1236575</x:v>
      </x:c>
      <x:c r="J154" s="31" t="str">
        <x:v>持續</x:v>
      </x:c>
      <x:c r="K154" s="31" t="str">
        <x:v>美元</x:v>
      </x:c>
      <x:c r="L154" s="43" t="n">
        <x:v>0.8256</x:v>
      </x:c>
      <x:c r="M154" s="43" t="n">
        <x:v>0.7315</x:v>
      </x:c>
      <x:c r="N154" s="32" t="str">
        <x:v>國民年金保險基金-115年7月.pdf</x:v>
      </x:c>
    </x:row>
    <x:row r="155">
      <x:c r="A155" s="37" t="n">
        <x:v>46204</x:v>
      </x:c>
      <x:c r="B155" s="31" t="str">
        <x:v>115年7月</x:v>
      </x:c>
      <x:c r="C155" s="31" t="str">
        <x:v>國民年金</x:v>
      </x:c>
      <x:c r="D155" s="31" t="str">
        <x:v>國外</x:v>
      </x:c>
      <x:c r="E155" s="31" t="str">
        <x:v>111-1全球氣候變遷股票型</x:v>
      </x:c>
      <x:c r="F155" s="31" t="str">
        <x:v>L&amp;G</x:v>
      </x:c>
      <x:c r="G155" s="40" t="n">
        <x:v>60000000</x:v>
      </x:c>
      <x:c r="H155" s="40" t="n">
        <x:v>85570319</x:v>
      </x:c>
      <x:c r="I155" s="40" t="n">
        <x:v>-950764</x:v>
      </x:c>
      <x:c r="J155" s="31" t="str">
        <x:v>持續</x:v>
      </x:c>
      <x:c r="K155" s="31" t="str">
        <x:v>美元</x:v>
      </x:c>
      <x:c r="L155" s="43" t="n">
        <x:v>0.7273999999999999</x:v>
      </x:c>
      <x:c r="M155" s="43" t="n">
        <x:v>0.7315</x:v>
      </x:c>
      <x:c r="N155" s="32" t="str">
        <x:v>國民年金保險基金-115年7月.pdf</x:v>
      </x:c>
    </x:row>
    <x:row r="156">
      <x:c r="A156" s="37" t="n">
        <x:v>46204</x:v>
      </x:c>
      <x:c r="B156" s="31" t="str">
        <x:v>115年7月</x:v>
      </x:c>
      <x:c r="C156" s="31" t="str">
        <x:v>國民年金</x:v>
      </x:c>
      <x:c r="D156" s="31" t="str">
        <x:v>國外</x:v>
      </x:c>
      <x:c r="E156" s="31" t="str">
        <x:v>111-1全球氣候變遷股票型</x:v>
      </x:c>
      <x:c r="F156" s="31" t="str">
        <x:v>摩根士丹利</x:v>
      </x:c>
      <x:c r="G156" s="40" t="n">
        <x:v>60000000</x:v>
      </x:c>
      <x:c r="H156" s="40" t="n">
        <x:v>87308547</x:v>
      </x:c>
      <x:c r="I156" s="40" t="n">
        <x:v>-471520</x:v>
      </x:c>
      <x:c r="J156" s="31" t="str">
        <x:v>持續</x:v>
      </x:c>
      <x:c r="K156" s="31" t="str">
        <x:v>美元</x:v>
      </x:c>
      <x:c r="L156" s="43" t="n">
        <x:v>0.7509999999999999</x:v>
      </x:c>
      <x:c r="M156" s="43" t="n">
        <x:v>0.7315</x:v>
      </x:c>
      <x:c r="N156" s="32" t="str">
        <x:v>國民年金保險基金-115年7月.pdf</x:v>
      </x:c>
    </x:row>
    <x:row r="157">
      <x:c r="A157" s="37" t="n">
        <x:v>46204</x:v>
      </x:c>
      <x:c r="B157" s="31" t="str">
        <x:v>115年7月</x:v>
      </x:c>
      <x:c r="C157" s="31" t="str">
        <x:v>國民年金</x:v>
      </x:c>
      <x:c r="D157" s="31" t="str">
        <x:v>國外</x:v>
      </x:c>
      <x:c r="E157" s="31" t="str">
        <x:v>111-1全球氣候變遷股票型</x:v>
      </x:c>
      <x:c r="F157" s="31" t="str">
        <x:v>Schroders</x:v>
      </x:c>
      <x:c r="G157" s="40" t="n">
        <x:v>60000000</x:v>
      </x:c>
      <x:c r="H157" s="40" t="n">
        <x:v>84636837</x:v>
      </x:c>
      <x:c r="I157" s="40" t="n">
        <x:v>241555</x:v>
      </x:c>
      <x:c r="J157" s="31" t="str">
        <x:v>持續</x:v>
      </x:c>
      <x:c r="K157" s="31" t="str">
        <x:v>美元</x:v>
      </x:c>
      <x:c r="L157" s="43" t="n">
        <x:v>0.7115</x:v>
      </x:c>
      <x:c r="M157" s="43" t="n">
        <x:v>0.7315</x:v>
      </x:c>
      <x:c r="N157" s="32" t="str">
        <x:v>國民年金保險基金-115年7月.pdf</x:v>
      </x:c>
    </x:row>
    <x:row r="158">
      <x:c r="A158" s="37" t="n">
        <x:v>46204</x:v>
      </x:c>
      <x:c r="B158" s="31" t="str">
        <x:v>115年7月</x:v>
      </x:c>
      <x:c r="C158" s="31" t="str">
        <x:v>國民年金</x:v>
      </x:c>
      <x:c r="D158" s="31" t="str">
        <x:v>國外</x:v>
      </x:c>
      <x:c r="E158" s="31" t="str">
        <x:v>111-1全球氣候變遷股票型</x:v>
      </x:c>
      <x:c r="F158" s="31" t="str">
        <x:v>威靈頓</x:v>
      </x:c>
      <x:c r="G158" s="40" t="n">
        <x:v>60000000</x:v>
      </x:c>
      <x:c r="H158" s="40" t="n">
        <x:v>88954199</x:v>
      </x:c>
      <x:c r="I158" s="40" t="n">
        <x:v>-817882</x:v>
      </x:c>
      <x:c r="J158" s="31" t="str">
        <x:v>持續</x:v>
      </x:c>
      <x:c r="K158" s="31" t="str">
        <x:v>美元</x:v>
      </x:c>
      <x:c r="L158" s="43" t="n">
        <x:v>0.8206</x:v>
      </x:c>
      <x:c r="M158" s="43" t="n">
        <x:v>0.7315</x:v>
      </x:c>
      <x:c r="N158" s="32" t="str">
        <x:v>國民年金保險基金-115年7月.pdf</x:v>
      </x:c>
    </x:row>
    <x:row r="159">
      <x:c r="A159" s="37" t="n">
        <x:v>46204</x:v>
      </x:c>
      <x:c r="B159" s="31" t="str">
        <x:v>115年7月</x:v>
      </x:c>
      <x:c r="C159" s="31" t="str">
        <x:v>國民年金</x:v>
      </x:c>
      <x:c r="D159" s="31" t="str">
        <x:v>國外</x:v>
      </x:c>
      <x:c r="E159" s="31" t="str">
        <x:v>112-1全球被動股票型</x:v>
      </x:c>
      <x:c r="F159" s="31" t="str">
        <x:v>Amundi</x:v>
      </x:c>
      <x:c r="G159" s="40" t="n">
        <x:v>100000000</x:v>
      </x:c>
      <x:c r="H159" s="40" t="n">
        <x:v>134048105</x:v>
      </x:c>
      <x:c r="I159" s="40" t="n">
        <x:v>-178481</x:v>
      </x:c>
      <x:c r="J159" s="31" t="str">
        <x:v>持續</x:v>
      </x:c>
      <x:c r="K159" s="31" t="str">
        <x:v>美元</x:v>
      </x:c>
      <x:c r="L159" s="43" t="n">
        <x:v>0.39659999999999995</x:v>
      </x:c>
      <x:c r="M159" s="43" t="n">
        <x:v>0.4351</x:v>
      </x:c>
      <x:c r="N159" s="32" t="str">
        <x:v>國民年金保險基金-115年7月.pdf</x:v>
      </x:c>
    </x:row>
    <x:row r="160">
      <x:c r="A160" s="37" t="n">
        <x:v>46204</x:v>
      </x:c>
      <x:c r="B160" s="31" t="str">
        <x:v>115年7月</x:v>
      </x:c>
      <x:c r="C160" s="31" t="str">
        <x:v>國民年金</x:v>
      </x:c>
      <x:c r="D160" s="31" t="str">
        <x:v>國外</x:v>
      </x:c>
      <x:c r="E160" s="31" t="str">
        <x:v>112-1全球被動股票型</x:v>
      </x:c>
      <x:c r="F160" s="31" t="str">
        <x:v>L&amp;G</x:v>
      </x:c>
      <x:c r="G160" s="40" t="n">
        <x:v>100000000</x:v>
      </x:c>
      <x:c r="H160" s="40" t="n">
        <x:v>136597280</x:v>
      </x:c>
      <x:c r="I160" s="40" t="n">
        <x:v>54421</x:v>
      </x:c>
      <x:c r="J160" s="31" t="str">
        <x:v>持續</x:v>
      </x:c>
      <x:c r="K160" s="31" t="str">
        <x:v>美元</x:v>
      </x:c>
      <x:c r="L160" s="43" t="n">
        <x:v>0.4346</x:v>
      </x:c>
      <x:c r="M160" s="43" t="n">
        <x:v>0.4351</x:v>
      </x:c>
      <x:c r="N160" s="32" t="str">
        <x:v>國民年金保險基金-115年7月.pdf</x:v>
      </x:c>
    </x:row>
    <x:row r="161">
      <x:c r="A161" s="37" t="n">
        <x:v>46204</x:v>
      </x:c>
      <x:c r="B161" s="31" t="str">
        <x:v>115年7月</x:v>
      </x:c>
      <x:c r="C161" s="31" t="str">
        <x:v>國民年金</x:v>
      </x:c>
      <x:c r="D161" s="31" t="str">
        <x:v>國外</x:v>
      </x:c>
      <x:c r="E161" s="31" t="str">
        <x:v>112-1全球被動股票型</x:v>
      </x:c>
      <x:c r="F161" s="31" t="str">
        <x:v>道富</x:v>
      </x:c>
      <x:c r="G161" s="40" t="n">
        <x:v>100000000</x:v>
      </x:c>
      <x:c r="H161" s="40" t="n">
        <x:v>137179366</x:v>
      </x:c>
      <x:c r="I161" s="40" t="n">
        <x:v>333074</x:v>
      </x:c>
      <x:c r="J161" s="31" t="str">
        <x:v>持續</x:v>
      </x:c>
      <x:c r="K161" s="31" t="str">
        <x:v>美元</x:v>
      </x:c>
      <x:c r="L161" s="43" t="n">
        <x:v>0.44329999999999997</x:v>
      </x:c>
      <x:c r="M161" s="43" t="n">
        <x:v>0.4351</x:v>
      </x:c>
      <x:c r="N161" s="32" t="str">
        <x:v>國民年金保險基金-115年7月.pdf</x:v>
      </x:c>
    </x:row>
    <x:row r="162">
      <x:c r="A162" s="37" t="n">
        <x:v>46204</x:v>
      </x:c>
      <x:c r="B162" s="31" t="str">
        <x:v>115年7月</x:v>
      </x:c>
      <x:c r="C162" s="31" t="str">
        <x:v>國民年金</x:v>
      </x:c>
      <x:c r="D162" s="31" t="str">
        <x:v>國外</x:v>
      </x:c>
      <x:c r="E162" s="31" t="str">
        <x:v>112-1全球被動股票型</x:v>
      </x:c>
      <x:c r="F162" s="31" t="str">
        <x:v>北美信託</x:v>
      </x:c>
      <x:c r="G162" s="40" t="n">
        <x:v>100000000</x:v>
      </x:c>
      <x:c r="H162" s="40" t="n">
        <x:v>136973911</x:v>
      </x:c>
      <x:c r="I162" s="40" t="n">
        <x:v>235488</x:v>
      </x:c>
      <x:c r="J162" s="31" t="str">
        <x:v>持續</x:v>
      </x:c>
      <x:c r="K162" s="31" t="str">
        <x:v>美元</x:v>
      </x:c>
      <x:c r="L162" s="43" t="n">
        <x:v>0.4372</x:v>
      </x:c>
      <x:c r="M162" s="43" t="n">
        <x:v>0.4351</x:v>
      </x:c>
      <x:c r="N162" s="32" t="str">
        <x:v>國民年金保險基金-115年7月.pdf</x:v>
      </x:c>
    </x:row>
    <x:row r="163">
      <x:c r="A163" s="37" t="n">
        <x:v>46204</x:v>
      </x:c>
      <x:c r="B163" s="31" t="str">
        <x:v>115年7月</x:v>
      </x:c>
      <x:c r="C163" s="31" t="str">
        <x:v>新制</x:v>
      </x:c>
      <x:c r="D163" s="31" t="str">
        <x:v>國外</x:v>
      </x:c>
      <x:c r="E163" s="31" t="str">
        <x:v>100-1全球基本面指數被動股票型（續約2）</x:v>
      </x:c>
      <x:c r="F163" s="31" t="str">
        <x:v>道富</x:v>
      </x:c>
      <x:c r="G163" s="40" t="n">
        <x:v>0</x:v>
      </x:c>
      <x:c r="H163" s="40" t="n">
        <x:v>0</x:v>
      </x:c>
      <x:c r="I163" s="40" t="n">
        <x:v>-1683240295</x:v>
      </x:c>
      <x:c r="J163" s="31" t="str">
        <x:v>解約</x:v>
      </x:c>
      <x:c r="K163" s="31" t="str">
        <x:v>美元</x:v>
      </x:c>
      <x:c r="L163" s="43"/>
      <x:c r="M163" s="43"/>
      <x:c r="N163" s="32" t="str"/>
    </x:row>
    <x:row r="164">
      <x:c r="A164" s="37" t="n">
        <x:v>46204</x:v>
      </x:c>
      <x:c r="B164" s="31" t="str">
        <x:v>115年7月</x:v>
      </x:c>
      <x:c r="C164" s="31" t="str">
        <x:v>新制</x:v>
      </x:c>
      <x:c r="D164" s="31" t="str">
        <x:v>國外</x:v>
      </x:c>
      <x:c r="E164" s="31" t="str">
        <x:v>100-1全球基本面指數被動股票型（續約2）</x:v>
      </x:c>
      <x:c r="F164" s="31" t="str">
        <x:v>貝萊德</x:v>
      </x:c>
      <x:c r="G164" s="40" t="n">
        <x:v>0</x:v>
      </x:c>
      <x:c r="H164" s="40" t="n">
        <x:v>0</x:v>
      </x:c>
      <x:c r="I164" s="40" t="n">
        <x:v>-1687228552</x:v>
      </x:c>
      <x:c r="J164" s="31" t="str">
        <x:v>解約</x:v>
      </x:c>
      <x:c r="K164" s="31" t="str">
        <x:v>美元</x:v>
      </x:c>
      <x:c r="L164" s="43"/>
      <x:c r="M164" s="43"/>
      <x:c r="N164" s="32" t="str"/>
    </x:row>
    <x:row r="165">
      <x:c r="A165" s="37" t="n">
        <x:v>46204</x:v>
      </x:c>
      <x:c r="B165" s="31" t="str">
        <x:v>115年7月</x:v>
      </x:c>
      <x:c r="C165" s="31" t="str">
        <x:v>新制</x:v>
      </x:c>
      <x:c r="D165" s="31" t="str">
        <x:v>國外</x:v>
      </x:c>
      <x:c r="E165" s="31" t="str">
        <x:v>104-1全球高品質被動股票型（續約2）</x:v>
      </x:c>
      <x:c r="F165" s="31" t="str">
        <x:v>LGIM</x:v>
      </x:c>
      <x:c r="G165" s="40" t="n">
        <x:v>0</x:v>
      </x:c>
      <x:c r="H165" s="40" t="n">
        <x:v>0</x:v>
      </x:c>
      <x:c r="I165" s="40" t="n">
        <x:v>-3924793719</x:v>
      </x:c>
      <x:c r="J165" s="31" t="str">
        <x:v>解約</x:v>
      </x:c>
      <x:c r="K165" s="31" t="str">
        <x:v>美元</x:v>
      </x:c>
      <x:c r="L165" s="43"/>
      <x:c r="M165" s="43"/>
      <x:c r="N165" s="32" t="str"/>
    </x:row>
    <x:row r="166">
      <x:c r="A166" s="37" t="n">
        <x:v>46204</x:v>
      </x:c>
      <x:c r="B166" s="31" t="str">
        <x:v>115年7月</x:v>
      </x:c>
      <x:c r="C166" s="31" t="str">
        <x:v>新制</x:v>
      </x:c>
      <x:c r="D166" s="31" t="str">
        <x:v>國外</x:v>
      </x:c>
      <x:c r="E166" s="31" t="str">
        <x:v>104-2全球基礎建設有價證券型（續約）</x:v>
      </x:c>
      <x:c r="F166" s="31" t="str">
        <x:v>Magellan</x:v>
      </x:c>
      <x:c r="G166" s="40" t="n">
        <x:v>0</x:v>
      </x:c>
      <x:c r="H166" s="40" t="n">
        <x:v>0</x:v>
      </x:c>
      <x:c r="I166" s="40" t="n">
        <x:v>-1314198402</x:v>
      </x:c>
      <x:c r="J166" s="31" t="str">
        <x:v>解約</x:v>
      </x:c>
      <x:c r="K166" s="31" t="str">
        <x:v>美元</x:v>
      </x:c>
      <x:c r="L166" s="43"/>
      <x:c r="M166" s="43"/>
      <x:c r="N166" s="32" t="str"/>
    </x:row>
    <x:row r="167">
      <x:c r="A167" s="37" t="n">
        <x:v>46204</x:v>
      </x:c>
      <x:c r="B167" s="31" t="str">
        <x:v>115年7月</x:v>
      </x:c>
      <x:c r="C167" s="31" t="str">
        <x:v>新制</x:v>
      </x:c>
      <x:c r="D167" s="31" t="str">
        <x:v>國外</x:v>
      </x:c>
      <x:c r="E167" s="31" t="str">
        <x:v>104-2全球基礎建設有價證券型（續約）</x:v>
      </x:c>
      <x:c r="F167" s="31" t="str">
        <x:v>RREEF</x:v>
      </x:c>
      <x:c r="G167" s="40" t="n">
        <x:v>0</x:v>
      </x:c>
      <x:c r="H167" s="40" t="n">
        <x:v>0</x:v>
      </x:c>
      <x:c r="I167" s="40" t="n">
        <x:v>-1837050463</x:v>
      </x:c>
      <x:c r="J167" s="31" t="str">
        <x:v>解約</x:v>
      </x:c>
      <x:c r="K167" s="31" t="str">
        <x:v>美元</x:v>
      </x:c>
      <x:c r="L167" s="43"/>
      <x:c r="M167" s="43"/>
      <x:c r="N167" s="32" t="str"/>
    </x:row>
    <x:row r="168">
      <x:c r="A168" s="37" t="n">
        <x:v>46204</x:v>
      </x:c>
      <x:c r="B168" s="31" t="str">
        <x:v>115年7月</x:v>
      </x:c>
      <x:c r="C168" s="31" t="str">
        <x:v>新制</x:v>
      </x:c>
      <x:c r="D168" s="31" t="str">
        <x:v>國外</x:v>
      </x:c>
      <x:c r="E168" s="31" t="str">
        <x:v>105-1全球多元資產型(續約)</x:v>
      </x:c>
      <x:c r="F168" s="31" t="str">
        <x:v>Allianz</x:v>
      </x:c>
      <x:c r="G168" s="40" t="n">
        <x:v>0</x:v>
      </x:c>
      <x:c r="H168" s="40" t="n">
        <x:v>0</x:v>
      </x:c>
      <x:c r="I168" s="40" t="n">
        <x:v>-1216881012</x:v>
      </x:c>
      <x:c r="J168" s="31" t="str">
        <x:v>解約</x:v>
      </x:c>
      <x:c r="K168" s="31" t="str">
        <x:v>美元</x:v>
      </x:c>
      <x:c r="L168" s="43"/>
      <x:c r="M168" s="43"/>
      <x:c r="N168" s="32" t="str"/>
    </x:row>
    <x:row r="169">
      <x:c r="A169" s="37" t="n">
        <x:v>46204</x:v>
      </x:c>
      <x:c r="B169" s="31" t="str">
        <x:v>115年7月</x:v>
      </x:c>
      <x:c r="C169" s="31" t="str">
        <x:v>新制</x:v>
      </x:c>
      <x:c r="D169" s="31" t="str">
        <x:v>國外</x:v>
      </x:c>
      <x:c r="E169" s="31" t="str">
        <x:v>105-1全球多元資產型(續約)</x:v>
      </x:c>
      <x:c r="F169" s="31" t="str">
        <x:v>JPMorgan（國外）</x:v>
      </x:c>
      <x:c r="G169" s="40" t="n">
        <x:v>0</x:v>
      </x:c>
      <x:c r="H169" s="40" t="n">
        <x:v>0</x:v>
      </x:c>
      <x:c r="I169" s="40" t="n">
        <x:v>-2051054273</x:v>
      </x:c>
      <x:c r="J169" s="31" t="str">
        <x:v>解約</x:v>
      </x:c>
      <x:c r="K169" s="31" t="str">
        <x:v>美元</x:v>
      </x:c>
      <x:c r="L169" s="43"/>
      <x:c r="M169" s="43"/>
      <x:c r="N169" s="32" t="str"/>
    </x:row>
    <x:row r="170">
      <x:c r="A170" s="37" t="n">
        <x:v>46204</x:v>
      </x:c>
      <x:c r="B170" s="31" t="str">
        <x:v>115年7月</x:v>
      </x:c>
      <x:c r="C170" s="31" t="str">
        <x:v>新制</x:v>
      </x:c>
      <x:c r="D170" s="31" t="str">
        <x:v>國外</x:v>
      </x:c>
      <x:c r="E170" s="31" t="str">
        <x:v>105-1全球多元資產型(續約)</x:v>
      </x:c>
      <x:c r="F170" s="31" t="str">
        <x:v>DWS</x:v>
      </x:c>
      <x:c r="G170" s="40" t="n">
        <x:v>0</x:v>
      </x:c>
      <x:c r="H170" s="40" t="n">
        <x:v>0</x:v>
      </x:c>
      <x:c r="I170" s="40" t="n">
        <x:v>-1508632702</x:v>
      </x:c>
      <x:c r="J170" s="31" t="str">
        <x:v>解約</x:v>
      </x:c>
      <x:c r="K170" s="31" t="str">
        <x:v>美元</x:v>
      </x:c>
      <x:c r="L170" s="43"/>
      <x:c r="M170" s="43"/>
      <x:c r="N170" s="32" t="str"/>
    </x:row>
    <x:row r="171">
      <x:c r="A171" s="37" t="n">
        <x:v>46204</x:v>
      </x:c>
      <x:c r="B171" s="31" t="str">
        <x:v>115年7月</x:v>
      </x:c>
      <x:c r="C171" s="31" t="str">
        <x:v>新制</x:v>
      </x:c>
      <x:c r="D171" s="31" t="str">
        <x:v>國外</x:v>
      </x:c>
      <x:c r="E171" s="31" t="str">
        <x:v>105-1全球多元資產型(續約)</x:v>
      </x:c>
      <x:c r="F171" s="31" t="str">
        <x:v>柏瑞</x:v>
      </x:c>
      <x:c r="G171" s="40" t="n">
        <x:v>0</x:v>
      </x:c>
      <x:c r="H171" s="40" t="n">
        <x:v>0</x:v>
      </x:c>
      <x:c r="I171" s="40" t="n">
        <x:v>-422609458</x:v>
      </x:c>
      <x:c r="J171" s="31" t="str">
        <x:v>解約</x:v>
      </x:c>
      <x:c r="K171" s="31" t="str">
        <x:v>美元</x:v>
      </x:c>
      <x:c r="L171" s="43"/>
      <x:c r="M171" s="43"/>
      <x:c r="N171" s="32" t="str"/>
    </x:row>
    <x:row r="172">
      <x:c r="A172" s="37" t="n">
        <x:v>46204</x:v>
      </x:c>
      <x:c r="B172" s="31" t="str">
        <x:v>115年7月</x:v>
      </x:c>
      <x:c r="C172" s="31" t="str">
        <x:v>新制</x:v>
      </x:c>
      <x:c r="D172" s="31" t="str">
        <x:v>國外</x:v>
      </x:c>
      <x:c r="E172" s="31" t="str">
        <x:v>112-1全球被動股票型</x:v>
      </x:c>
      <x:c r="F172" s="31" t="str">
        <x:v>LGIM</x:v>
      </x:c>
      <x:c r="G172" s="40" t="n">
        <x:v>0</x:v>
      </x:c>
      <x:c r="H172" s="40" t="n">
        <x:v>0</x:v>
      </x:c>
      <x:c r="I172" s="40" t="n">
        <x:v>-543970609</x:v>
      </x:c>
      <x:c r="J172" s="31" t="str">
        <x:v>解約</x:v>
      </x:c>
      <x:c r="K172" s="31" t="str">
        <x:v>美元</x:v>
      </x:c>
      <x:c r="L172" s="43"/>
      <x:c r="M172" s="43"/>
      <x:c r="N172" s="32" t="str"/>
    </x:row>
    <x:row r="173">
      <x:c r="A173" s="37" t="n">
        <x:v>46204</x:v>
      </x:c>
      <x:c r="B173" s="31" t="str">
        <x:v>115年7月</x:v>
      </x:c>
      <x:c r="C173" s="31" t="str">
        <x:v>舊制</x:v>
      </x:c>
      <x:c r="D173" s="31" t="str">
        <x:v>國外</x:v>
      </x:c>
      <x:c r="E173" s="31" t="str">
        <x:v>100-1全球基本面指數被動股票型(續約2)</x:v>
      </x:c>
      <x:c r="F173" s="31" t="str">
        <x:v>貝萊德</x:v>
      </x:c>
      <x:c r="G173" s="40" t="n">
        <x:v>0</x:v>
      </x:c>
      <x:c r="H173" s="40" t="n">
        <x:v>0</x:v>
      </x:c>
      <x:c r="I173" s="40" t="n">
        <x:v>-303753501</x:v>
      </x:c>
      <x:c r="J173" s="31" t="str">
        <x:v>解約</x:v>
      </x:c>
      <x:c r="K173" s="31" t="str">
        <x:v>美元</x:v>
      </x:c>
      <x:c r="L173" s="43"/>
      <x:c r="M173" s="43"/>
      <x:c r="N173" s="32" t="str"/>
    </x:row>
    <x:row r="174">
      <x:c r="A174" s="37" t="n">
        <x:v>46204</x:v>
      </x:c>
      <x:c r="B174" s="31" t="str">
        <x:v>115年7月</x:v>
      </x:c>
      <x:c r="C174" s="31" t="str">
        <x:v>舊制</x:v>
      </x:c>
      <x:c r="D174" s="31" t="str">
        <x:v>國外</x:v>
      </x:c>
      <x:c r="E174" s="31" t="str">
        <x:v>100-1全球基本面指數被動股票型(續約2)</x:v>
      </x:c>
      <x:c r="F174" s="31" t="str">
        <x:v>道富</x:v>
      </x:c>
      <x:c r="G174" s="40" t="n">
        <x:v>0</x:v>
      </x:c>
      <x:c r="H174" s="40" t="n">
        <x:v>0</x:v>
      </x:c>
      <x:c r="I174" s="40" t="n">
        <x:v>-456179013</x:v>
      </x:c>
      <x:c r="J174" s="31" t="str">
        <x:v>解約</x:v>
      </x:c>
      <x:c r="K174" s="31" t="str">
        <x:v>美元</x:v>
      </x:c>
      <x:c r="L174" s="43"/>
      <x:c r="M174" s="43"/>
      <x:c r="N174" s="32" t="str"/>
    </x:row>
    <x:row r="175">
      <x:c r="A175" s="37" t="n">
        <x:v>46204</x:v>
      </x:c>
      <x:c r="B175" s="31" t="str">
        <x:v>115年7月</x:v>
      </x:c>
      <x:c r="C175" s="31" t="str">
        <x:v>舊制</x:v>
      </x:c>
      <x:c r="D175" s="31" t="str">
        <x:v>國外</x:v>
      </x:c>
      <x:c r="E175" s="31" t="str">
        <x:v>100-1全球基本面指數被動股票型(續約2)</x:v>
      </x:c>
      <x:c r="F175" s="31" t="str">
        <x:v>UBS</x:v>
      </x:c>
      <x:c r="G175" s="40" t="n">
        <x:v>0</x:v>
      </x:c>
      <x:c r="H175" s="40" t="n">
        <x:v>0</x:v>
      </x:c>
      <x:c r="I175" s="40" t="n">
        <x:v>-361201485</x:v>
      </x:c>
      <x:c r="J175" s="31" t="str">
        <x:v>解約</x:v>
      </x:c>
      <x:c r="K175" s="31" t="str">
        <x:v>美元</x:v>
      </x:c>
      <x:c r="L175" s="43"/>
      <x:c r="M175" s="43"/>
      <x:c r="N175" s="32" t="str"/>
    </x:row>
    <x:row r="176">
      <x:c r="A176" s="37" t="n">
        <x:v>46204</x:v>
      </x:c>
      <x:c r="B176" s="31" t="str">
        <x:v>115年7月</x:v>
      </x:c>
      <x:c r="C176" s="31" t="str">
        <x:v>舊制</x:v>
      </x:c>
      <x:c r="D176" s="31" t="str">
        <x:v>國外</x:v>
      </x:c>
      <x:c r="E176" s="31" t="str">
        <x:v>100-1全球基本面指數被動股票型(續約2)</x:v>
      </x:c>
      <x:c r="F176" s="31" t="str">
        <x:v>Nomura</x:v>
      </x:c>
      <x:c r="G176" s="40" t="n">
        <x:v>0</x:v>
      </x:c>
      <x:c r="H176" s="40" t="n">
        <x:v>0</x:v>
      </x:c>
      <x:c r="I176" s="40" t="n">
        <x:v>-405779245</x:v>
      </x:c>
      <x:c r="J176" s="31" t="str">
        <x:v>解約</x:v>
      </x:c>
      <x:c r="K176" s="31" t="str">
        <x:v>美元</x:v>
      </x:c>
      <x:c r="L176" s="43"/>
      <x:c r="M176" s="43"/>
      <x:c r="N176" s="32" t="str"/>
    </x:row>
    <x:row r="177">
      <x:c r="A177" s="37" t="n">
        <x:v>46204</x:v>
      </x:c>
      <x:c r="B177" s="31" t="str">
        <x:v>115年7月</x:v>
      </x:c>
      <x:c r="C177" s="31" t="str">
        <x:v>舊制</x:v>
      </x:c>
      <x:c r="D177" s="31" t="str">
        <x:v>國外</x:v>
      </x:c>
      <x:c r="E177" s="31" t="str">
        <x:v>105-1全球多元資產型(續約)</x:v>
      </x:c>
      <x:c r="F177" s="31" t="str">
        <x:v>Allianz</x:v>
      </x:c>
      <x:c r="G177" s="40" t="n">
        <x:v>0</x:v>
      </x:c>
      <x:c r="H177" s="40" t="n">
        <x:v>0</x:v>
      </x:c>
      <x:c r="I177" s="40" t="n">
        <x:v>-282822171</x:v>
      </x:c>
      <x:c r="J177" s="31" t="str">
        <x:v>解約</x:v>
      </x:c>
      <x:c r="K177" s="31" t="str">
        <x:v>美元</x:v>
      </x:c>
      <x:c r="L177" s="43"/>
      <x:c r="M177" s="43"/>
      <x:c r="N177" s="32" t="str"/>
    </x:row>
    <x:row r="178">
      <x:c r="A178" s="37" t="n">
        <x:v>46204</x:v>
      </x:c>
      <x:c r="B178" s="31" t="str">
        <x:v>115年7月</x:v>
      </x:c>
      <x:c r="C178" s="31" t="str">
        <x:v>舊制</x:v>
      </x:c>
      <x:c r="D178" s="31" t="str">
        <x:v>國外</x:v>
      </x:c>
      <x:c r="E178" s="31" t="str">
        <x:v>105-1全球多元資產型(續約)</x:v>
      </x:c>
      <x:c r="F178" s="31" t="str">
        <x:v>JPMorgan（國外）</x:v>
      </x:c>
      <x:c r="G178" s="40" t="n">
        <x:v>0</x:v>
      </x:c>
      <x:c r="H178" s="40" t="n">
        <x:v>0</x:v>
      </x:c>
      <x:c r="I178" s="40" t="n">
        <x:v>-746373228</x:v>
      </x:c>
      <x:c r="J178" s="31" t="str">
        <x:v>解約</x:v>
      </x:c>
      <x:c r="K178" s="31" t="str">
        <x:v>美元</x:v>
      </x:c>
      <x:c r="L178" s="43"/>
      <x:c r="M178" s="43"/>
      <x:c r="N178" s="32" t="str"/>
    </x:row>
    <x:row r="179">
      <x:c r="A179" s="37" t="n">
        <x:v>46204</x:v>
      </x:c>
      <x:c r="B179" s="31" t="str">
        <x:v>115年7月</x:v>
      </x:c>
      <x:c r="C179" s="31" t="str">
        <x:v>舊制</x:v>
      </x:c>
      <x:c r="D179" s="31" t="str">
        <x:v>國外</x:v>
      </x:c>
      <x:c r="E179" s="31" t="str">
        <x:v>105-1全球多元資產型(續約)</x:v>
      </x:c>
      <x:c r="F179" s="31" t="str">
        <x:v>DWS</x:v>
      </x:c>
      <x:c r="G179" s="40" t="n">
        <x:v>0</x:v>
      </x:c>
      <x:c r="H179" s="40" t="n">
        <x:v>0</x:v>
      </x:c>
      <x:c r="I179" s="40" t="n">
        <x:v>-442398214</x:v>
      </x:c>
      <x:c r="J179" s="31" t="str">
        <x:v>解約</x:v>
      </x:c>
      <x:c r="K179" s="31" t="str">
        <x:v>美元</x:v>
      </x:c>
      <x:c r="L179" s="43"/>
      <x:c r="M179" s="43"/>
      <x:c r="N179" s="32" t="str"/>
    </x:row>
    <x:row r="180">
      <x:c r="A180" s="37" t="n">
        <x:v>46204</x:v>
      </x:c>
      <x:c r="B180" s="31" t="str">
        <x:v>115年7月</x:v>
      </x:c>
      <x:c r="C180" s="31" t="str">
        <x:v>舊制</x:v>
      </x:c>
      <x:c r="D180" s="31" t="str">
        <x:v>國外</x:v>
      </x:c>
      <x:c r="E180" s="31" t="str">
        <x:v>105-1全球多元資產型(續約)</x:v>
      </x:c>
      <x:c r="F180" s="31" t="str">
        <x:v>柏瑞</x:v>
      </x:c>
      <x:c r="G180" s="40" t="n">
        <x:v>0</x:v>
      </x:c>
      <x:c r="H180" s="40" t="n">
        <x:v>0</x:v>
      </x:c>
      <x:c r="I180" s="40" t="n">
        <x:v>-216266708</x:v>
      </x:c>
      <x:c r="J180" s="31" t="str">
        <x:v>解約</x:v>
      </x:c>
      <x:c r="K180" s="31" t="str">
        <x:v>美元</x:v>
      </x:c>
      <x:c r="L180" s="43"/>
      <x:c r="M180" s="43"/>
      <x:c r="N180" s="32" t="str"/>
    </x:row>
    <x:row r="181">
      <x:c r="A181" s="37" t="n">
        <x:v>46204</x:v>
      </x:c>
      <x:c r="B181" s="31" t="str">
        <x:v>115年7月</x:v>
      </x:c>
      <x:c r="C181" s="31" t="str">
        <x:v>勞工保險</x:v>
      </x:c>
      <x:c r="D181" s="31" t="str">
        <x:v>國外</x:v>
      </x:c>
      <x:c r="E181" s="31" t="str">
        <x:v>109年第二次委託經營(相對報酬)</x:v>
      </x:c>
      <x:c r="F181" s="31" t="str">
        <x:v>Allianz</x:v>
      </x:c>
      <x:c r="G181" s="40" t="n">
        <x:v>0</x:v>
      </x:c>
      <x:c r="H181" s="40" t="n">
        <x:v>0</x:v>
      </x:c>
      <x:c r="I181" s="40" t="n">
        <x:v>-1353674960</x:v>
      </x:c>
      <x:c r="J181" s="31" t="str">
        <x:v>解約</x:v>
      </x:c>
      <x:c r="K181" s="31" t="str">
        <x:v>新臺幣元</x:v>
      </x:c>
      <x:c r="L181" s="43"/>
      <x:c r="M181" s="43"/>
      <x:c r="N181" s="32" t="str"/>
    </x:row>
    <x:row r="182">
      <x:c r="A182" s="37" t="n">
        <x:v>46204</x:v>
      </x:c>
      <x:c r="B182" s="31" t="str">
        <x:v>115年7月</x:v>
      </x:c>
      <x:c r="C182" s="31" t="str">
        <x:v>勞工保險</x:v>
      </x:c>
      <x:c r="D182" s="31" t="str">
        <x:v>國外</x:v>
      </x:c>
      <x:c r="E182" s="31" t="str">
        <x:v>109年第二次委託經營(相對報酬)</x:v>
      </x:c>
      <x:c r="F182" s="31" t="str">
        <x:v>玉山</x:v>
      </x:c>
      <x:c r="G182" s="40" t="n">
        <x:v>0</x:v>
      </x:c>
      <x:c r="H182" s="40" t="n">
        <x:v>0</x:v>
      </x:c>
      <x:c r="I182" s="40" t="n">
        <x:v>-1334664633</x:v>
      </x:c>
      <x:c r="J182" s="31" t="str">
        <x:v>解約</x:v>
      </x:c>
      <x:c r="K182" s="31" t="str">
        <x:v>新臺幣元</x:v>
      </x:c>
      <x:c r="L182" s="43"/>
      <x:c r="M182" s="43"/>
      <x:c r="N182" s="32" t="str"/>
    </x:row>
    <x:row r="183">
      <x:c r="A183" s="37" t="n">
        <x:v>46204</x:v>
      </x:c>
      <x:c r="B183" s="31" t="str">
        <x:v>115年7月</x:v>
      </x:c>
      <x:c r="C183" s="31" t="str">
        <x:v>勞工保險</x:v>
      </x:c>
      <x:c r="D183" s="31" t="str">
        <x:v>國外</x:v>
      </x:c>
      <x:c r="E183" s="31" t="str">
        <x:v>109年第二次委託經營(相對報酬)</x:v>
      </x:c>
      <x:c r="F183" s="31" t="str">
        <x:v>Nomura</x:v>
      </x:c>
      <x:c r="G183" s="40" t="n">
        <x:v>0</x:v>
      </x:c>
      <x:c r="H183" s="40" t="n">
        <x:v>0</x:v>
      </x:c>
      <x:c r="I183" s="40" t="n">
        <x:v>-1357369868</x:v>
      </x:c>
      <x:c r="J183" s="31" t="str">
        <x:v>解約</x:v>
      </x:c>
      <x:c r="K183" s="31" t="str">
        <x:v>新臺幣元</x:v>
      </x:c>
      <x:c r="L183" s="43"/>
      <x:c r="M183" s="43"/>
      <x:c r="N183" s="32" t="str"/>
    </x:row>
    <x:row r="184">
      <x:c r="A184" s="37" t="n">
        <x:v>46204</x:v>
      </x:c>
      <x:c r="B184" s="31" t="str">
        <x:v>115年7月</x:v>
      </x:c>
      <x:c r="C184" s="31" t="str">
        <x:v>勞工保險</x:v>
      </x:c>
      <x:c r="D184" s="31" t="str">
        <x:v>國外</x:v>
      </x:c>
      <x:c r="E184" s="31" t="str">
        <x:v>109年第二次委託經營(相對報酬)</x:v>
      </x:c>
      <x:c r="F184" s="31" t="str">
        <x:v>國泰</x:v>
      </x:c>
      <x:c r="G184" s="40" t="n">
        <x:v>0</x:v>
      </x:c>
      <x:c r="H184" s="40" t="n">
        <x:v>0</x:v>
      </x:c>
      <x:c r="I184" s="40" t="n">
        <x:v>-1391420851</x:v>
      </x:c>
      <x:c r="J184" s="31" t="str">
        <x:v>解約</x:v>
      </x:c>
      <x:c r="K184" s="31" t="str">
        <x:v>新臺幣元</x:v>
      </x:c>
      <x:c r="L184" s="43"/>
      <x:c r="M184" s="43"/>
      <x:c r="N184" s="32" t="str"/>
    </x:row>
    <x:row r="185">
      <x:c r="A185" s="37" t="n">
        <x:v>46204</x:v>
      </x:c>
      <x:c r="B185" s="31" t="str">
        <x:v>115年7月</x:v>
      </x:c>
      <x:c r="C185" s="31" t="str">
        <x:v>勞工保險</x:v>
      </x:c>
      <x:c r="D185" s="31" t="str">
        <x:v>國外</x:v>
      </x:c>
      <x:c r="E185" s="31" t="str">
        <x:v>105-1全球多元資產型(續約)</x:v>
      </x:c>
      <x:c r="F185" s="31" t="str">
        <x:v>JPMorgan（國外）</x:v>
      </x:c>
      <x:c r="G185" s="40" t="n">
        <x:v>0</x:v>
      </x:c>
      <x:c r="H185" s="40" t="n">
        <x:v>0</x:v>
      </x:c>
      <x:c r="I185" s="40" t="n">
        <x:v>-534717371</x:v>
      </x:c>
      <x:c r="J185" s="31" t="str">
        <x:v>解約</x:v>
      </x:c>
      <x:c r="K185" s="31" t="str">
        <x:v>美元</x:v>
      </x:c>
      <x:c r="L185" s="43"/>
      <x:c r="M185" s="43"/>
      <x:c r="N185" s="32" t="str"/>
    </x:row>
    <x:row r="186">
      <x:c r="A186" s="37" t="n">
        <x:v>46204</x:v>
      </x:c>
      <x:c r="B186" s="31" t="str">
        <x:v>115年7月</x:v>
      </x:c>
      <x:c r="C186" s="31" t="str">
        <x:v>勞工保險</x:v>
      </x:c>
      <x:c r="D186" s="31" t="str">
        <x:v>國外</x:v>
      </x:c>
      <x:c r="E186" s="31" t="str">
        <x:v>105-1全球多元資產型(續約)</x:v>
      </x:c>
      <x:c r="F186" s="31" t="str">
        <x:v>DWS</x:v>
      </x:c>
      <x:c r="G186" s="40" t="n">
        <x:v>0</x:v>
      </x:c>
      <x:c r="H186" s="40" t="n">
        <x:v>0</x:v>
      </x:c>
      <x:c r="I186" s="40" t="n">
        <x:v>-461631869</x:v>
      </x:c>
      <x:c r="J186" s="31" t="str">
        <x:v>解約</x:v>
      </x:c>
      <x:c r="K186" s="31" t="str">
        <x:v>美元</x:v>
      </x:c>
      <x:c r="L186" s="43"/>
      <x:c r="M186" s="43"/>
      <x:c r="N186" s="32" t="str"/>
    </x:row>
    <x:row r="187">
      <x:c r="A187" s="37" t="n">
        <x:v>46204</x:v>
      </x:c>
      <x:c r="B187" s="31" t="str">
        <x:v>115年7月</x:v>
      </x:c>
      <x:c r="C187" s="31" t="str">
        <x:v>國民年金</x:v>
      </x:c>
      <x:c r="D187" s="31" t="str">
        <x:v>國外</x:v>
      </x:c>
      <x:c r="E187" s="31" t="str">
        <x:v>104-1全球主權信用增值債券型(續約2)</x:v>
      </x:c>
      <x:c r="F187" s="31" t="str">
        <x:v>盧米斯</x:v>
      </x:c>
      <x:c r="G187" s="40" t="n">
        <x:v>0</x:v>
      </x:c>
      <x:c r="H187" s="40" t="n">
        <x:v>0</x:v>
      </x:c>
      <x:c r="I187" s="40" t="n">
        <x:v>-333967279</x:v>
      </x:c>
      <x:c r="J187" s="31" t="str">
        <x:v>解約</x:v>
      </x:c>
      <x:c r="K187" s="31" t="str">
        <x:v>美元</x:v>
      </x:c>
      <x:c r="L187" s="43"/>
      <x:c r="M187" s="43"/>
      <x:c r="N187" s="32" t="str"/>
    </x:row>
    <x:row r="188">
      <x:c r="A188" s="38" t="n">
        <x:v>46204</x:v>
      </x:c>
      <x:c r="B188" s="34" t="str">
        <x:v>115年7月</x:v>
      </x:c>
      <x:c r="C188" s="34" t="str">
        <x:v>國民年金</x:v>
      </x:c>
      <x:c r="D188" s="34" t="str">
        <x:v>國外</x:v>
      </x:c>
      <x:c r="E188" s="34" t="str">
        <x:v>110-1全球多元資產型</x:v>
      </x:c>
      <x:c r="F188" s="34" t="str">
        <x:v>Ninety One</x:v>
      </x:c>
      <x:c r="G188" s="41" t="n">
        <x:v>0</x:v>
      </x:c>
      <x:c r="H188" s="41" t="n">
        <x:v>0</x:v>
      </x:c>
      <x:c r="I188" s="41" t="n">
        <x:v>-73420942</x:v>
      </x:c>
      <x:c r="J188" s="34" t="str">
        <x:v>解約</x:v>
      </x:c>
      <x:c r="K188" s="34" t="str">
        <x:v>美元</x:v>
      </x:c>
      <x:c r="L188" s="44"/>
      <x:c r="M188" s="44"/>
      <x:c r="N188" s="35" t="str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0e00cd02cab488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7.33000183105469" hidden="0" customWidth="1"/>
    <x:col min="2" max="2" width="7.329999923706055" hidden="0" customWidth="1"/>
    <x:col min="3" max="3" width="7" hidden="0" customWidth="1"/>
    <x:col min="4" max="4" width="6" hidden="0" customWidth="1"/>
    <x:col min="5" max="5" width="42" hidden="0" customWidth="1"/>
    <x:col min="6" max="6" width="12.779999732971191" hidden="0" customWidth="1"/>
    <x:col min="7" max="7" width="12.779999732971191" hidden="0" customWidth="1"/>
    <x:col min="8" max="8" width="18" hidden="0" customWidth="1"/>
    <x:col min="9" max="9" width="22.219999313354492" hidden="0" customWidth="1"/>
    <x:col min="10" max="10" width="7" hidden="0" customWidth="1"/>
    <x:col min="11" max="11" width="28" hidden="0" customWidth="1"/>
  </x:cols>
  <x:sheetData>
    <x:row r="1" ht="30" customHeight="1">
      <x:c r="A1" s="4" t="str">
        <x:v>委外批次彙總｜歷年批次、策略、金額與委任至今績效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5" t="str">
        <x:v>日期</x:v>
      </x:c>
      <x:c r="B3" s="16" t="str">
        <x:v>期間</x:v>
      </x:c>
      <x:c r="C3" s="16" t="str">
        <x:v>基金</x:v>
      </x:c>
      <x:c r="D3" s="16" t="str">
        <x:v>區域</x:v>
      </x:c>
      <x:c r="E3" s="16" t="str">
        <x:v>批次／策略類型</x:v>
      </x:c>
      <x:c r="F3" s="16" t="str">
        <x:v>委託金額</x:v>
      </x:c>
      <x:c r="G3" s="16" t="str">
        <x:v>目前淨資產</x:v>
      </x:c>
      <x:c r="H3" s="16" t="str">
        <x:v>委任至今投資報酬率*</x:v>
      </x:c>
      <x:c r="I3" s="16" t="str">
        <x:v>委任至今目標／指標報酬率</x:v>
      </x:c>
      <x:c r="J3" s="16" t="str">
        <x:v>單位</x:v>
      </x:c>
      <x:c r="K3" s="17" t="str">
        <x:v>來源</x:v>
      </x:c>
    </x:row>
    <x:row r="4">
      <x:c r="A4" s="36" t="n">
        <x:v>46204</x:v>
      </x:c>
      <x:c r="B4" s="28" t="str">
        <x:v>115年7月</x:v>
      </x:c>
      <x:c r="C4" s="28" t="str">
        <x:v>新制</x:v>
      </x:c>
      <x:c r="D4" s="28" t="str">
        <x:v>國內</x:v>
      </x:c>
      <x:c r="E4" s="28" t="str">
        <x:v>96年第一次委託經營(續約6)</x:v>
      </x:c>
      <x:c r="F4" s="39" t="n">
        <x:f>SUMIFS('國內委外明細'!$G$4:$G$116,'國內委外明細'!$A$4:$A$116,A4,'國內委外明細'!$C$4:$C$116,C4,'國內委外明細'!$E$4:$E$116,E4)</x:f>
        <x:v>53037175831</x:v>
      </x:c>
      <x:c r="G4" s="39" t="n">
        <x:f>SUMIFS('國內委外明細'!$H$4:$H$116,'國內委外明細'!$A$4:$A$116,A4,'國內委外明細'!$C$4:$C$116,C4,'國內委外明細'!$E$4:$E$116,E4)</x:f>
        <x:v>103171495458</x:v>
      </x:c>
      <x:c r="H4" s="42" t="n">
        <x:f>IFERROR(G4/F4-1,0)</x:f>
        <x:v>0.9452675192727118</x:v>
      </x:c>
      <x:c r="I4" s="42" t="n">
        <x:f>IFERROR(SUMIFS('國內委外明細'!$J$4:$J$116,'國內委外明細'!$A$4:$A$116,A4,'國內委外明細'!$C$4:$C$116,C4,'國內委外明細'!$E$4:$E$116,E4)/COUNTIFS('國內委外明細'!$A$4:$A$116,A4,'國內委外明細'!$C$4:$C$116,C4,'國內委外明細'!$E$4:$E$116,E4,'國內委外明細'!$J$4:$J$116,"&lt;&gt;"),0)</x:f>
        <x:v>0</x:v>
      </x:c>
      <x:c r="J4" s="28" t="str">
        <x:v>新臺幣元</x:v>
      </x:c>
      <x:c r="K4" s="29" t="str">
        <x:v>勞工退休基金-115年7月.pdf</x:v>
      </x:c>
    </x:row>
    <x:row r="5">
      <x:c r="A5" s="37" t="n">
        <x:v>46204</x:v>
      </x:c>
      <x:c r="B5" s="31" t="str">
        <x:v>115年7月</x:v>
      </x:c>
      <x:c r="C5" s="31" t="str">
        <x:v>新制</x:v>
      </x:c>
      <x:c r="D5" s="31" t="str">
        <x:v>國內</x:v>
      </x:c>
      <x:c r="E5" s="31" t="str">
        <x:v>97年第一次委託經營(續約5)</x:v>
      </x:c>
      <x:c r="F5" s="40" t="n">
        <x:f>SUMIFS('國內委外明細'!$G$4:$G$116,'國內委外明細'!$A$4:$A$116,A5,'國內委外明細'!$C$4:$C$116,C5,'國內委外明細'!$E$4:$E$116,E5)</x:f>
        <x:v>6829066771</x:v>
      </x:c>
      <x:c r="G5" s="40" t="n">
        <x:f>SUMIFS('國內委外明細'!$H$4:$H$116,'國內委外明細'!$A$4:$A$116,A5,'國內委外明細'!$C$4:$C$116,C5,'國內委外明細'!$E$4:$E$116,E5)</x:f>
        <x:v>23175252518</x:v>
      </x:c>
      <x:c r="H5" s="43" t="n">
        <x:f>IFERROR(G5/F5-1,0)</x:f>
        <x:v>2.39361925943014</x:v>
      </x:c>
      <x:c r="I5" s="43" t="n">
        <x:f>IFERROR(SUMIFS('國內委外明細'!$J$4:$J$116,'國內委外明細'!$A$4:$A$116,A5,'國內委外明細'!$C$4:$C$116,C5,'國內委外明細'!$E$4:$E$116,E5)/COUNTIFS('國內委外明細'!$A$4:$A$116,A5,'國內委外明細'!$C$4:$C$116,C5,'國內委外明細'!$E$4:$E$116,E5,'國內委外明細'!$J$4:$J$116,"&lt;&gt;"),0)</x:f>
        <x:v>0</x:v>
      </x:c>
      <x:c r="J5" s="31" t="str">
        <x:v>新臺幣元</x:v>
      </x:c>
      <x:c r="K5" s="32" t="str">
        <x:v>勞工退休基金-115年7月.pdf</x:v>
      </x:c>
    </x:row>
    <x:row r="6">
      <x:c r="A6" s="37" t="n">
        <x:v>46204</x:v>
      </x:c>
      <x:c r="B6" s="31" t="str">
        <x:v>115年7月</x:v>
      </x:c>
      <x:c r="C6" s="31" t="str">
        <x:v>新制</x:v>
      </x:c>
      <x:c r="D6" s="31" t="str">
        <x:v>國內</x:v>
      </x:c>
      <x:c r="E6" s="31" t="str">
        <x:v>98年第一次委託經營(續約5)</x:v>
      </x:c>
      <x:c r="F6" s="40" t="n">
        <x:f>SUMIFS('國內委外明細'!$G$4:$G$116,'國內委外明細'!$A$4:$A$116,A6,'國內委外明細'!$C$4:$C$116,C6,'國內委外明細'!$E$4:$E$116,E6)</x:f>
        <x:v>32885766711</x:v>
      </x:c>
      <x:c r="G6" s="40" t="n">
        <x:f>SUMIFS('國內委外明細'!$H$4:$H$116,'國內委外明細'!$A$4:$A$116,A6,'國內委外明細'!$C$4:$C$116,C6,'國內委外明細'!$E$4:$E$116,E6)</x:f>
        <x:v>70889865371</x:v>
      </x:c>
      <x:c r="H6" s="43" t="n">
        <x:f>IFERROR(G6/F6-1,0)</x:f>
        <x:v>1.1556397329574186</x:v>
      </x:c>
      <x:c r="I6" s="43" t="n">
        <x:f>IFERROR(SUMIFS('國內委外明細'!$J$4:$J$116,'國內委外明細'!$A$4:$A$116,A6,'國內委外明細'!$C$4:$C$116,C6,'國內委外明細'!$E$4:$E$116,E6)/COUNTIFS('國內委外明細'!$A$4:$A$116,A6,'國內委外明細'!$C$4:$C$116,C6,'國內委外明細'!$E$4:$E$116,E6,'國內委外明細'!$J$4:$J$116,"&lt;&gt;"),0)</x:f>
        <x:v>0</x:v>
      </x:c>
      <x:c r="J6" s="31" t="str">
        <x:v>新臺幣元</x:v>
      </x:c>
      <x:c r="K6" s="32" t="str">
        <x:v>勞工退休基金-115年7月.pdf</x:v>
      </x:c>
    </x:row>
    <x:row r="7">
      <x:c r="A7" s="37" t="n">
        <x:v>46204</x:v>
      </x:c>
      <x:c r="B7" s="31" t="str">
        <x:v>115年7月</x:v>
      </x:c>
      <x:c r="C7" s="31" t="str">
        <x:v>新制</x:v>
      </x:c>
      <x:c r="D7" s="31" t="str">
        <x:v>國內</x:v>
      </x:c>
      <x:c r="E7" s="31" t="str">
        <x:v>99年第二次委託經營(續約3)</x:v>
      </x:c>
      <x:c r="F7" s="40" t="n">
        <x:f>SUMIFS('國內委外明細'!$G$4:$G$116,'國內委外明細'!$A$4:$A$116,A7,'國內委外明細'!$C$4:$C$116,C7,'國內委外明細'!$E$4:$E$116,E7)</x:f>
        <x:v>10445113310</x:v>
      </x:c>
      <x:c r="G7" s="40" t="n">
        <x:f>SUMIFS('國內委外明細'!$H$4:$H$116,'國內委外明細'!$A$4:$A$116,A7,'國內委外明細'!$C$4:$C$116,C7,'國內委外明細'!$E$4:$E$116,E7)</x:f>
        <x:v>26081939969</x:v>
      </x:c>
      <x:c r="H7" s="43" t="n">
        <x:f>IFERROR(G7/F7-1,0)</x:f>
        <x:v>1.4970471066148732</x:v>
      </x:c>
      <x:c r="I7" s="43" t="n">
        <x:f>IFERROR(SUMIFS('國內委外明細'!$J$4:$J$116,'國內委外明細'!$A$4:$A$116,A7,'國內委外明細'!$C$4:$C$116,C7,'國內委外明細'!$E$4:$E$116,E7)/COUNTIFS('國內委外明細'!$A$4:$A$116,A7,'國內委外明細'!$C$4:$C$116,C7,'國內委外明細'!$E$4:$E$116,E7,'國內委外明細'!$J$4:$J$116,"&lt;&gt;"),0)</x:f>
        <x:v>0</x:v>
      </x:c>
      <x:c r="J7" s="31" t="str">
        <x:v>新臺幣元</x:v>
      </x:c>
      <x:c r="K7" s="32" t="str">
        <x:v>勞工退休基金-115年7月.pdf</x:v>
      </x:c>
    </x:row>
    <x:row r="8">
      <x:c r="A8" s="37" t="n">
        <x:v>46204</x:v>
      </x:c>
      <x:c r="B8" s="31" t="str">
        <x:v>115年7月</x:v>
      </x:c>
      <x:c r="C8" s="31" t="str">
        <x:v>新制</x:v>
      </x:c>
      <x:c r="D8" s="31" t="str">
        <x:v>國內</x:v>
      </x:c>
      <x:c r="E8" s="31" t="str">
        <x:v>100年第一次委託經營(續約3)(相對報酬)</x:v>
      </x:c>
      <x:c r="F8" s="40" t="n">
        <x:f>SUMIFS('國內委外明細'!$G$4:$G$116,'國內委外明細'!$A$4:$A$116,A8,'國內委外明細'!$C$4:$C$116,C8,'國內委外明細'!$E$4:$E$116,E8)</x:f>
        <x:v>29101525086</x:v>
      </x:c>
      <x:c r="G8" s="40" t="n">
        <x:f>SUMIFS('國內委外明細'!$H$4:$H$116,'國內委外明細'!$A$4:$A$116,A8,'國內委外明細'!$C$4:$C$116,C8,'國內委外明細'!$E$4:$E$116,E8)</x:f>
        <x:v>79596508766</x:v>
      </x:c>
      <x:c r="H8" s="43" t="n">
        <x:f>IFERROR(G8/F8-1,0)</x:f>
        <x:v>1.7351318712946715</x:v>
      </x:c>
      <x:c r="I8" s="43" t="n">
        <x:f>IFERROR(SUMIFS('國內委外明細'!$J$4:$J$116,'國內委外明細'!$A$4:$A$116,A8,'國內委外明細'!$C$4:$C$116,C8,'國內委外明細'!$E$4:$E$116,E8)/COUNTIFS('國內委外明細'!$A$4:$A$116,A8,'國內委外明細'!$C$4:$C$116,C8,'國內委外明細'!$E$4:$E$116,E8,'國內委外明細'!$J$4:$J$116,"&lt;&gt;"),0)</x:f>
        <x:v>0</x:v>
      </x:c>
      <x:c r="J8" s="31" t="str">
        <x:v>新臺幣元</x:v>
      </x:c>
      <x:c r="K8" s="32" t="str">
        <x:v>勞工退休基金-115年7月.pdf</x:v>
      </x:c>
    </x:row>
    <x:row r="9">
      <x:c r="A9" s="37" t="n">
        <x:v>46204</x:v>
      </x:c>
      <x:c r="B9" s="31" t="str">
        <x:v>115年7月</x:v>
      </x:c>
      <x:c r="C9" s="31" t="str">
        <x:v>新制</x:v>
      </x:c>
      <x:c r="D9" s="31" t="str">
        <x:v>國內</x:v>
      </x:c>
      <x:c r="E9" s="31" t="str">
        <x:v>101年第二次委託經營(續約3)</x:v>
      </x:c>
      <x:c r="F9" s="40" t="n">
        <x:f>SUMIFS('國內委外明細'!$G$4:$G$116,'國內委外明細'!$A$4:$A$116,A9,'國內委外明細'!$C$4:$C$116,C9,'國內委外明細'!$E$4:$E$116,E9)</x:f>
        <x:v>36111506461</x:v>
      </x:c>
      <x:c r="G9" s="40" t="n">
        <x:f>SUMIFS('國內委外明細'!$H$4:$H$116,'國內委外明細'!$A$4:$A$116,A9,'國內委外明細'!$C$4:$C$116,C9,'國內委外明細'!$E$4:$E$116,E9)</x:f>
        <x:v>79382079707</x:v>
      </x:c>
      <x:c r="H9" s="43" t="n">
        <x:f>IFERROR(G9/F9-1,0)</x:f>
        <x:v>1.1982489097410465</x:v>
      </x:c>
      <x:c r="I9" s="43" t="n">
        <x:f>IFERROR(SUMIFS('國內委外明細'!$J$4:$J$116,'國內委外明細'!$A$4:$A$116,A9,'國內委外明細'!$C$4:$C$116,C9,'國內委外明細'!$E$4:$E$116,E9)/COUNTIFS('國內委外明細'!$A$4:$A$116,A9,'國內委外明細'!$C$4:$C$116,C9,'國內委外明細'!$E$4:$E$116,E9,'國內委外明細'!$J$4:$J$116,"&lt;&gt;"),0)</x:f>
        <x:v>0</x:v>
      </x:c>
      <x:c r="J9" s="31" t="str">
        <x:v>新臺幣元</x:v>
      </x:c>
      <x:c r="K9" s="32" t="str">
        <x:v>勞工退休基金-115年7月.pdf</x:v>
      </x:c>
    </x:row>
    <x:row r="10">
      <x:c r="A10" s="37" t="n">
        <x:v>46204</x:v>
      </x:c>
      <x:c r="B10" s="31" t="str">
        <x:v>115年7月</x:v>
      </x:c>
      <x:c r="C10" s="31" t="str">
        <x:v>新制</x:v>
      </x:c>
      <x:c r="D10" s="31" t="str">
        <x:v>國內</x:v>
      </x:c>
      <x:c r="E10" s="31" t="str">
        <x:v>102年第二次委託經營(續約3)(相對報酬)</x:v>
      </x:c>
      <x:c r="F10" s="40" t="n">
        <x:f>SUMIFS('國內委外明細'!$G$4:$G$116,'國內委外明細'!$A$4:$A$116,A10,'國內委外明細'!$C$4:$C$116,C10,'國內委外明細'!$E$4:$E$116,E10)</x:f>
        <x:v>76571095398</x:v>
      </x:c>
      <x:c r="G10" s="40" t="n">
        <x:f>SUMIFS('國內委外明細'!$H$4:$H$116,'國內委外明細'!$A$4:$A$116,A10,'國內委外明細'!$C$4:$C$116,C10,'國內委外明細'!$E$4:$E$116,E10)</x:f>
        <x:v>112233837655</x:v>
      </x:c>
      <x:c r="H10" s="43" t="n">
        <x:f>IFERROR(G10/F10-1,0)</x:f>
        <x:v>0.4657467948137972</x:v>
      </x:c>
      <x:c r="I10" s="43" t="n">
        <x:f>IFERROR(SUMIFS('國內委外明細'!$J$4:$J$116,'國內委外明細'!$A$4:$A$116,A10,'國內委外明細'!$C$4:$C$116,C10,'國內委外明細'!$E$4:$E$116,E10)/COUNTIFS('國內委外明細'!$A$4:$A$116,A10,'國內委外明細'!$C$4:$C$116,C10,'國內委外明細'!$E$4:$E$116,E10,'國內委外明細'!$J$4:$J$116,"&lt;&gt;"),0)</x:f>
        <x:v>0</x:v>
      </x:c>
      <x:c r="J10" s="31" t="str">
        <x:v>新臺幣元</x:v>
      </x:c>
      <x:c r="K10" s="32" t="str">
        <x:v>勞工退休基金-115年7月.pdf</x:v>
      </x:c>
    </x:row>
    <x:row r="11">
      <x:c r="A11" s="37" t="n">
        <x:v>46204</x:v>
      </x:c>
      <x:c r="B11" s="31" t="str">
        <x:v>115年7月</x:v>
      </x:c>
      <x:c r="C11" s="31" t="str">
        <x:v>新制</x:v>
      </x:c>
      <x:c r="D11" s="31" t="str">
        <x:v>國內</x:v>
      </x:c>
      <x:c r="E11" s="31" t="str">
        <x:v>103年第一次委託經營(續約2)</x:v>
      </x:c>
      <x:c r="F11" s="40" t="n">
        <x:f>SUMIFS('國內委外明細'!$G$4:$G$116,'國內委外明細'!$A$4:$A$116,A11,'國內委外明細'!$C$4:$C$116,C11,'國內委外明細'!$E$4:$E$116,E11)</x:f>
        <x:v>15841461125</x:v>
      </x:c>
      <x:c r="G11" s="40" t="n">
        <x:f>SUMIFS('國內委外明細'!$H$4:$H$116,'國內委外明細'!$A$4:$A$116,A11,'國內委外明細'!$C$4:$C$116,C11,'國內委外明細'!$E$4:$E$116,E11)</x:f>
        <x:v>41322318010</x:v>
      </x:c>
      <x:c r="H11" s="43" t="n">
        <x:f>IFERROR(G11/F11-1,0)</x:f>
        <x:v>1.6084915831903732</x:v>
      </x:c>
      <x:c r="I11" s="43" t="n">
        <x:f>IFERROR(SUMIFS('國內委外明細'!$J$4:$J$116,'國內委外明細'!$A$4:$A$116,A11,'國內委外明細'!$C$4:$C$116,C11,'國內委外明細'!$E$4:$E$116,E11)/COUNTIFS('國內委外明細'!$A$4:$A$116,A11,'國內委外明細'!$C$4:$C$116,C11,'國內委外明細'!$E$4:$E$116,E11,'國內委外明細'!$J$4:$J$116,"&lt;&gt;"),0)</x:f>
        <x:v>0</x:v>
      </x:c>
      <x:c r="J11" s="31" t="str">
        <x:v>新臺幣元</x:v>
      </x:c>
      <x:c r="K11" s="32" t="str">
        <x:v>勞工退休基金-115年7月.pdf</x:v>
      </x:c>
    </x:row>
    <x:row r="12">
      <x:c r="A12" s="37" t="n">
        <x:v>46204</x:v>
      </x:c>
      <x:c r="B12" s="31" t="str">
        <x:v>115年7月</x:v>
      </x:c>
      <x:c r="C12" s="31" t="str">
        <x:v>新制</x:v>
      </x:c>
      <x:c r="D12" s="31" t="str">
        <x:v>國內</x:v>
      </x:c>
      <x:c r="E12" s="31" t="str">
        <x:v>103年第二次委託經營(續約2)(相對報酬)</x:v>
      </x:c>
      <x:c r="F12" s="40" t="n">
        <x:f>SUMIFS('國內委外明細'!$G$4:$G$116,'國內委外明細'!$A$4:$A$116,A12,'國內委外明細'!$C$4:$C$116,C12,'國內委外明細'!$E$4:$E$116,E12)</x:f>
        <x:v>104334684805</x:v>
      </x:c>
      <x:c r="G12" s="40" t="n">
        <x:f>SUMIFS('國內委外明細'!$H$4:$H$116,'國內委外明細'!$A$4:$A$116,A12,'國內委外明細'!$C$4:$C$116,C12,'國內委外明細'!$E$4:$E$116,E12)</x:f>
        <x:v>177419555368</x:v>
      </x:c>
      <x:c r="H12" s="43" t="n">
        <x:f>IFERROR(G12/F12-1,0)</x:f>
        <x:v>0.7004848933946994</x:v>
      </x:c>
      <x:c r="I12" s="43" t="n">
        <x:f>IFERROR(SUMIFS('國內委外明細'!$J$4:$J$116,'國內委外明細'!$A$4:$A$116,A12,'國內委外明細'!$C$4:$C$116,C12,'國內委外明細'!$E$4:$E$116,E12)/COUNTIFS('國內委外明細'!$A$4:$A$116,A12,'國內委外明細'!$C$4:$C$116,C12,'國內委外明細'!$E$4:$E$116,E12,'國內委外明細'!$J$4:$J$116,"&lt;&gt;"),0)</x:f>
        <x:v>0</x:v>
      </x:c>
      <x:c r="J12" s="31" t="str">
        <x:v>新臺幣元</x:v>
      </x:c>
      <x:c r="K12" s="32" t="str">
        <x:v>勞工退休基金-115年7月.pdf</x:v>
      </x:c>
    </x:row>
    <x:row r="13">
      <x:c r="A13" s="37" t="n">
        <x:v>46204</x:v>
      </x:c>
      <x:c r="B13" s="31" t="str">
        <x:v>115年7月</x:v>
      </x:c>
      <x:c r="C13" s="31" t="str">
        <x:v>新制</x:v>
      </x:c>
      <x:c r="D13" s="31" t="str">
        <x:v>國內</x:v>
      </x:c>
      <x:c r="E13" s="31" t="str">
        <x:v>104年第一次委託經營(續約2)</x:v>
      </x:c>
      <x:c r="F13" s="40" t="n">
        <x:f>SUMIFS('國內委外明細'!$G$4:$G$116,'國內委外明細'!$A$4:$A$116,A13,'國內委外明細'!$C$4:$C$116,C13,'國內委外明細'!$E$4:$E$116,E13)</x:f>
        <x:v>8400360408</x:v>
      </x:c>
      <x:c r="G13" s="40" t="n">
        <x:f>SUMIFS('國內委外明細'!$H$4:$H$116,'國內委外明細'!$A$4:$A$116,A13,'國內委外明細'!$C$4:$C$116,C13,'國內委外明細'!$E$4:$E$116,E13)</x:f>
        <x:v>20855965375</x:v>
      </x:c>
      <x:c r="H13" s="43" t="n">
        <x:f>IFERROR(G13/F13-1,0)</x:f>
        <x:v>1.482746496821497</x:v>
      </x:c>
      <x:c r="I13" s="43" t="n">
        <x:f>IFERROR(SUMIFS('國內委外明細'!$J$4:$J$116,'國內委外明細'!$A$4:$A$116,A13,'國內委外明細'!$C$4:$C$116,C13,'國內委外明細'!$E$4:$E$116,E13)/COUNTIFS('國內委外明細'!$A$4:$A$116,A13,'國內委外明細'!$C$4:$C$116,C13,'國內委外明細'!$E$4:$E$116,E13,'國內委外明細'!$J$4:$J$116,"&lt;&gt;"),0)</x:f>
        <x:v>0</x:v>
      </x:c>
      <x:c r="J13" s="31" t="str">
        <x:v>新臺幣元</x:v>
      </x:c>
      <x:c r="K13" s="32" t="str">
        <x:v>勞工退休基金-115年7月.pdf</x:v>
      </x:c>
    </x:row>
    <x:row r="14">
      <x:c r="A14" s="37" t="n">
        <x:v>46204</x:v>
      </x:c>
      <x:c r="B14" s="31" t="str">
        <x:v>115年7月</x:v>
      </x:c>
      <x:c r="C14" s="31" t="str">
        <x:v>新制</x:v>
      </x:c>
      <x:c r="D14" s="31" t="str">
        <x:v>國內</x:v>
      </x:c>
      <x:c r="E14" s="31" t="str">
        <x:v>106年第一次委託經營（續約）</x:v>
      </x:c>
      <x:c r="F14" s="40" t="n">
        <x:f>SUMIFS('國內委外明細'!$G$4:$G$116,'國內委外明細'!$A$4:$A$116,A14,'國內委外明細'!$C$4:$C$116,C14,'國內委外明細'!$E$4:$E$116,E14)</x:f>
        <x:v>33586323826</x:v>
      </x:c>
      <x:c r="G14" s="40" t="n">
        <x:f>SUMIFS('國內委外明細'!$H$4:$H$116,'國內委外明細'!$A$4:$A$116,A14,'國內委外明細'!$C$4:$C$116,C14,'國內委外明細'!$E$4:$E$116,E14)</x:f>
        <x:v>87930443646</x:v>
      </x:c>
      <x:c r="H14" s="43" t="n">
        <x:f>IFERROR(G14/F14-1,0)</x:f>
        <x:v>1.6180431089016918</x:v>
      </x:c>
      <x:c r="I14" s="43" t="n">
        <x:f>IFERROR(SUMIFS('國內委外明細'!$J$4:$J$116,'國內委外明細'!$A$4:$A$116,A14,'國內委外明細'!$C$4:$C$116,C14,'國內委外明細'!$E$4:$E$116,E14)/COUNTIFS('國內委外明細'!$A$4:$A$116,A14,'國內委外明細'!$C$4:$C$116,C14,'國內委外明細'!$E$4:$E$116,E14,'國內委外明細'!$J$4:$J$116,"&lt;&gt;"),0)</x:f>
        <x:v>0</x:v>
      </x:c>
      <x:c r="J14" s="31" t="str">
        <x:v>新臺幣元</x:v>
      </x:c>
      <x:c r="K14" s="32" t="str">
        <x:v>勞工退休基金-115年7月.pdf</x:v>
      </x:c>
    </x:row>
    <x:row r="15">
      <x:c r="A15" s="37" t="n">
        <x:v>46204</x:v>
      </x:c>
      <x:c r="B15" s="31" t="str">
        <x:v>115年7月</x:v>
      </x:c>
      <x:c r="C15" s="31" t="str">
        <x:v>新制</x:v>
      </x:c>
      <x:c r="D15" s="31" t="str">
        <x:v>國內</x:v>
      </x:c>
      <x:c r="E15" s="31" t="str">
        <x:v>107年第一次委託經營(續約)(相對報酬)</x:v>
      </x:c>
      <x:c r="F15" s="40" t="n">
        <x:f>SUMIFS('國內委外明細'!$G$4:$G$116,'國內委外明細'!$A$4:$A$116,A15,'國內委外明細'!$C$4:$C$116,C15,'國內委外明細'!$E$4:$E$116,E15)</x:f>
        <x:v>65190086308</x:v>
      </x:c>
      <x:c r="G15" s="40" t="n">
        <x:f>SUMIFS('國內委外明細'!$H$4:$H$116,'國內委外明細'!$A$4:$A$116,A15,'國內委外明細'!$C$4:$C$116,C15,'國內委外明細'!$E$4:$E$116,E15)</x:f>
        <x:v>206276972170</x:v>
      </x:c>
      <x:c r="H15" s="43" t="n">
        <x:f>IFERROR(G15/F15-1,0)</x:f>
        <x:v>2.1642383658676962</x:v>
      </x:c>
      <x:c r="I15" s="43" t="n">
        <x:f>IFERROR(SUMIFS('國內委外明細'!$J$4:$J$116,'國內委外明細'!$A$4:$A$116,A15,'國內委外明細'!$C$4:$C$116,C15,'國內委外明細'!$E$4:$E$116,E15)/COUNTIFS('國內委外明細'!$A$4:$A$116,A15,'國內委外明細'!$C$4:$C$116,C15,'國內委外明細'!$E$4:$E$116,E15,'國內委外明細'!$J$4:$J$116,"&lt;&gt;"),0)</x:f>
        <x:v>0</x:v>
      </x:c>
      <x:c r="J15" s="31" t="str">
        <x:v>新臺幣元</x:v>
      </x:c>
      <x:c r="K15" s="32" t="str">
        <x:v>勞工退休基金-115年7月.pdf</x:v>
      </x:c>
    </x:row>
    <x:row r="16">
      <x:c r="A16" s="37" t="n">
        <x:v>46204</x:v>
      </x:c>
      <x:c r="B16" s="31" t="str">
        <x:v>115年7月</x:v>
      </x:c>
      <x:c r="C16" s="31" t="str">
        <x:v>新制</x:v>
      </x:c>
      <x:c r="D16" s="31" t="str">
        <x:v>國內</x:v>
      </x:c>
      <x:c r="E16" s="31" t="str">
        <x:v>107年第二次委託經營（續約）</x:v>
      </x:c>
      <x:c r="F16" s="40" t="n">
        <x:f>SUMIFS('國內委外明細'!$G$4:$G$116,'國內委外明細'!$A$4:$A$116,A16,'國內委外明細'!$C$4:$C$116,C16,'國內委外明細'!$E$4:$E$116,E16)</x:f>
        <x:v>88436800197</x:v>
      </x:c>
      <x:c r="G16" s="40" t="n">
        <x:f>SUMIFS('國內委外明細'!$H$4:$H$116,'國內委外明細'!$A$4:$A$116,A16,'國內委外明細'!$C$4:$C$116,C16,'國內委外明細'!$E$4:$E$116,E16)</x:f>
        <x:v>209044914162</x:v>
      </x:c>
      <x:c r="H16" s="43" t="n">
        <x:f>IFERROR(G16/F16-1,0)</x:f>
        <x:v>1.3637774512005842</x:v>
      </x:c>
      <x:c r="I16" s="43" t="n">
        <x:f>IFERROR(SUMIFS('國內委外明細'!$J$4:$J$116,'國內委外明細'!$A$4:$A$116,A16,'國內委外明細'!$C$4:$C$116,C16,'國內委外明細'!$E$4:$E$116,E16)/COUNTIFS('國內委外明細'!$A$4:$A$116,A16,'國內委外明細'!$C$4:$C$116,C16,'國內委外明細'!$E$4:$E$116,E16,'國內委外明細'!$J$4:$J$116,"&lt;&gt;"),0)</x:f>
        <x:v>0</x:v>
      </x:c>
      <x:c r="J16" s="31" t="str">
        <x:v>新臺幣元</x:v>
      </x:c>
      <x:c r="K16" s="32" t="str">
        <x:v>勞工退休基金-115年7月.pdf</x:v>
      </x:c>
    </x:row>
    <x:row r="17">
      <x:c r="A17" s="37" t="n">
        <x:v>46204</x:v>
      </x:c>
      <x:c r="B17" s="31" t="str">
        <x:v>115年7月</x:v>
      </x:c>
      <x:c r="C17" s="31" t="str">
        <x:v>新制</x:v>
      </x:c>
      <x:c r="D17" s="31" t="str">
        <x:v>國內</x:v>
      </x:c>
      <x:c r="E17" s="31" t="str">
        <x:v>109年第一次委託經營（續約）</x:v>
      </x:c>
      <x:c r="F17" s="40" t="n">
        <x:f>SUMIFS('國內委外明細'!$G$4:$G$116,'國內委外明細'!$A$4:$A$116,A17,'國內委外明細'!$C$4:$C$116,C17,'國內委外明細'!$E$4:$E$116,E17)</x:f>
        <x:v>119530956409</x:v>
      </x:c>
      <x:c r="G17" s="40" t="n">
        <x:f>SUMIFS('國內委外明細'!$H$4:$H$116,'國內委外明細'!$A$4:$A$116,A17,'國內委外明細'!$C$4:$C$116,C17,'國內委外明細'!$E$4:$E$116,E17)</x:f>
        <x:v>107079222546</x:v>
      </x:c>
      <x:c r="H17" s="43" t="n">
        <x:f>IFERROR(G17/F17-1,0)</x:f>
        <x:v>-0.10417162413052072</x:v>
      </x:c>
      <x:c r="I17" s="43" t="n">
        <x:f>IFERROR(SUMIFS('國內委外明細'!$J$4:$J$116,'國內委外明細'!$A$4:$A$116,A17,'國內委外明細'!$C$4:$C$116,C17,'國內委外明細'!$E$4:$E$116,E17)/COUNTIFS('國內委外明細'!$A$4:$A$116,A17,'國內委外明細'!$C$4:$C$116,C17,'國內委外明細'!$E$4:$E$116,E17,'國內委外明細'!$J$4:$J$116,"&lt;&gt;"),0)</x:f>
        <x:v>0</x:v>
      </x:c>
      <x:c r="J17" s="31" t="str">
        <x:v>新臺幣元</x:v>
      </x:c>
      <x:c r="K17" s="32" t="str">
        <x:v>勞工退休基金-115年7月.pdf</x:v>
      </x:c>
    </x:row>
    <x:row r="18">
      <x:c r="A18" s="37" t="n">
        <x:v>46204</x:v>
      </x:c>
      <x:c r="B18" s="31" t="str">
        <x:v>115年7月</x:v>
      </x:c>
      <x:c r="C18" s="31" t="str">
        <x:v>新制</x:v>
      </x:c>
      <x:c r="D18" s="31" t="str">
        <x:v>國內</x:v>
      </x:c>
      <x:c r="E18" s="31" t="str">
        <x:v>109年第二次委託經營(相對報酬)</x:v>
      </x:c>
      <x:c r="F18" s="40" t="n">
        <x:f>SUMIFS('國內委外明細'!$G$4:$G$116,'國內委外明細'!$A$4:$A$116,A18,'國內委外明細'!$C$4:$C$116,C18,'國內委外明細'!$E$4:$E$116,E18)</x:f>
        <x:v>15000000000</x:v>
      </x:c>
      <x:c r="G18" s="40" t="n">
        <x:f>SUMIFS('國內委外明細'!$H$4:$H$116,'國內委外明細'!$A$4:$A$116,A18,'國內委外明細'!$C$4:$C$116,C18,'國內委外明細'!$E$4:$E$116,E18)</x:f>
        <x:v>35466347353</x:v>
      </x:c>
      <x:c r="H18" s="43" t="n">
        <x:f>IFERROR(G18/F18-1,0)</x:f>
        <x:v>1.3644231568666667</x:v>
      </x:c>
      <x:c r="I18" s="43" t="n">
        <x:f>IFERROR(SUMIFS('國內委外明細'!$J$4:$J$116,'國內委外明細'!$A$4:$A$116,A18,'國內委外明細'!$C$4:$C$116,C18,'國內委外明細'!$E$4:$E$116,E18)/COUNTIFS('國內委外明細'!$A$4:$A$116,A18,'國內委外明細'!$C$4:$C$116,C18,'國內委外明細'!$E$4:$E$116,E18,'國內委外明細'!$J$4:$J$116,"&lt;&gt;"),0)</x:f>
        <x:v>0</x:v>
      </x:c>
      <x:c r="J18" s="31" t="str">
        <x:v>新臺幣元</x:v>
      </x:c>
      <x:c r="K18" s="32" t="str">
        <x:v>勞工退休基金-115年7月.pdf</x:v>
      </x:c>
    </x:row>
    <x:row r="19">
      <x:c r="A19" s="37" t="n">
        <x:v>46204</x:v>
      </x:c>
      <x:c r="B19" s="31" t="str">
        <x:v>115年7月</x:v>
      </x:c>
      <x:c r="C19" s="31" t="str">
        <x:v>新制</x:v>
      </x:c>
      <x:c r="D19" s="31" t="str">
        <x:v>國內</x:v>
      </x:c>
      <x:c r="E19" s="31" t="str">
        <x:v>110年第一次委託經營</x:v>
      </x:c>
      <x:c r="F19" s="40" t="n">
        <x:f>SUMIFS('國內委外明細'!$G$4:$G$116,'國內委外明細'!$A$4:$A$116,A19,'國內委外明細'!$C$4:$C$116,C19,'國內委外明細'!$E$4:$E$116,E19)</x:f>
        <x:v>48000000000</x:v>
      </x:c>
      <x:c r="G19" s="40" t="n">
        <x:f>SUMIFS('國內委外明細'!$H$4:$H$116,'國內委外明細'!$A$4:$A$116,A19,'國內委外明細'!$C$4:$C$116,C19,'國內委外明細'!$E$4:$E$116,E19)</x:f>
        <x:v>121068103377</x:v>
      </x:c>
      <x:c r="H19" s="43" t="n">
        <x:f>IFERROR(G19/F19-1,0)</x:f>
        <x:v>1.5222521536875</x:v>
      </x:c>
      <x:c r="I19" s="43" t="n">
        <x:f>IFERROR(SUMIFS('國內委外明細'!$J$4:$J$116,'國內委外明細'!$A$4:$A$116,A19,'國內委外明細'!$C$4:$C$116,C19,'國內委外明細'!$E$4:$E$116,E19)/COUNTIFS('國內委外明細'!$A$4:$A$116,A19,'國內委外明細'!$C$4:$C$116,C19,'國內委外明細'!$E$4:$E$116,E19,'國內委外明細'!$J$4:$J$116,"&lt;&gt;"),0)</x:f>
        <x:v>0</x:v>
      </x:c>
      <x:c r="J19" s="31" t="str">
        <x:v>新臺幣元</x:v>
      </x:c>
      <x:c r="K19" s="32" t="str">
        <x:v>勞工退休基金-115年7月.pdf</x:v>
      </x:c>
    </x:row>
    <x:row r="20">
      <x:c r="A20" s="37" t="n">
        <x:v>46204</x:v>
      </x:c>
      <x:c r="B20" s="31" t="str">
        <x:v>115年7月</x:v>
      </x:c>
      <x:c r="C20" s="31" t="str">
        <x:v>新制</x:v>
      </x:c>
      <x:c r="D20" s="31" t="str">
        <x:v>國內</x:v>
      </x:c>
      <x:c r="E20" s="31" t="str">
        <x:v>111年第一次委託經營</x:v>
      </x:c>
      <x:c r="F20" s="40" t="n">
        <x:f>SUMIFS('國內委外明細'!$G$4:$G$116,'國內委外明細'!$A$4:$A$116,A20,'國內委外明細'!$C$4:$C$116,C20,'國內委外明細'!$E$4:$E$116,E20)</x:f>
        <x:v>49000000000</x:v>
      </x:c>
      <x:c r="G20" s="40" t="n">
        <x:f>SUMIFS('國內委外明細'!$H$4:$H$116,'國內委外明細'!$A$4:$A$116,A20,'國內委外明細'!$C$4:$C$116,C20,'國內委外明細'!$E$4:$E$116,E20)</x:f>
        <x:v>104747025433</x:v>
      </x:c>
      <x:c r="H20" s="43" t="n">
        <x:f>IFERROR(G20/F20-1,0)</x:f>
        <x:v>1.137694396591837</x:v>
      </x:c>
      <x:c r="I20" s="43" t="n">
        <x:f>IFERROR(SUMIFS('國內委外明細'!$J$4:$J$116,'國內委外明細'!$A$4:$A$116,A20,'國內委外明細'!$C$4:$C$116,C20,'國內委外明細'!$E$4:$E$116,E20)/COUNTIFS('國內委外明細'!$A$4:$A$116,A20,'國內委外明細'!$C$4:$C$116,C20,'國內委外明細'!$E$4:$E$116,E20,'國內委外明細'!$J$4:$J$116,"&lt;&gt;"),0)</x:f>
        <x:v>0</x:v>
      </x:c>
      <x:c r="J20" s="31" t="str">
        <x:v>新臺幣元</x:v>
      </x:c>
      <x:c r="K20" s="32" t="str">
        <x:v>勞工退休基金-115年7月.pdf</x:v>
      </x:c>
    </x:row>
    <x:row r="21">
      <x:c r="A21" s="37" t="n">
        <x:v>46204</x:v>
      </x:c>
      <x:c r="B21" s="31" t="str">
        <x:v>115年7月</x:v>
      </x:c>
      <x:c r="C21" s="31" t="str">
        <x:v>新制</x:v>
      </x:c>
      <x:c r="D21" s="31" t="str">
        <x:v>國內</x:v>
      </x:c>
      <x:c r="E21" s="31" t="str">
        <x:v>112年第一次委託經營(相對報酬)</x:v>
      </x:c>
      <x:c r="F21" s="40" t="n">
        <x:f>SUMIFS('國內委外明細'!$G$4:$G$116,'國內委外明細'!$A$4:$A$116,A21,'國內委外明細'!$C$4:$C$116,C21,'國內委外明細'!$E$4:$E$116,E21)</x:f>
        <x:v>54000000000</x:v>
      </x:c>
      <x:c r="G21" s="40" t="n">
        <x:f>SUMIFS('國內委外明細'!$H$4:$H$116,'國內委外明細'!$A$4:$A$116,A21,'國內委外明細'!$C$4:$C$116,C21,'國內委外明細'!$E$4:$E$116,E21)</x:f>
        <x:v>77860989283</x:v>
      </x:c>
      <x:c r="H21" s="43" t="n">
        <x:f>IFERROR(G21/F21-1,0)</x:f>
        <x:v>0.4418701719074074</x:v>
      </x:c>
      <x:c r="I21" s="43" t="n">
        <x:f>IFERROR(SUMIFS('國內委外明細'!$J$4:$J$116,'國內委外明細'!$A$4:$A$116,A21,'國內委外明細'!$C$4:$C$116,C21,'國內委外明細'!$E$4:$E$116,E21)/COUNTIFS('國內委外明細'!$A$4:$A$116,A21,'國內委外明細'!$C$4:$C$116,C21,'國內委外明細'!$E$4:$E$116,E21,'國內委外明細'!$J$4:$J$116,"&lt;&gt;"),0)</x:f>
        <x:v>0</x:v>
      </x:c>
      <x:c r="J21" s="31" t="str">
        <x:v>新臺幣元</x:v>
      </x:c>
      <x:c r="K21" s="32" t="str">
        <x:v>勞工退休基金-115年7月.pdf</x:v>
      </x:c>
    </x:row>
    <x:row r="22">
      <x:c r="A22" s="37" t="n">
        <x:v>46204</x:v>
      </x:c>
      <x:c r="B22" s="31" t="str">
        <x:v>115年7月</x:v>
      </x:c>
      <x:c r="C22" s="31" t="str">
        <x:v>新制</x:v>
      </x:c>
      <x:c r="D22" s="31" t="str">
        <x:v>國內</x:v>
      </x:c>
      <x:c r="E22" s="31" t="str">
        <x:v>113年第一次委託經營</x:v>
      </x:c>
      <x:c r="F22" s="40" t="n">
        <x:f>SUMIFS('國內委外明細'!$G$4:$G$116,'國內委外明細'!$A$4:$A$116,A22,'國內委外明細'!$C$4:$C$116,C22,'國內委外明細'!$E$4:$E$116,E22)</x:f>
        <x:v>45000000000</x:v>
      </x:c>
      <x:c r="G22" s="40" t="n">
        <x:f>SUMIFS('國內委外明細'!$H$4:$H$116,'國內委外明細'!$A$4:$A$116,A22,'國內委外明細'!$C$4:$C$116,C22,'國內委外明細'!$E$4:$E$116,E22)</x:f>
        <x:v>64497067140</x:v>
      </x:c>
      <x:c r="H22" s="43" t="n">
        <x:f>IFERROR(G22/F22-1,0)</x:f>
        <x:v>0.4332681586666667</x:v>
      </x:c>
      <x:c r="I22" s="43" t="n">
        <x:f>IFERROR(SUMIFS('國內委外明細'!$J$4:$J$116,'國內委外明細'!$A$4:$A$116,A22,'國內委外明細'!$C$4:$C$116,C22,'國內委外明細'!$E$4:$E$116,E22)/COUNTIFS('國內委外明細'!$A$4:$A$116,A22,'國內委外明細'!$C$4:$C$116,C22,'國內委外明細'!$E$4:$E$116,E22,'國內委外明細'!$J$4:$J$116,"&lt;&gt;"),0)</x:f>
        <x:v>0</x:v>
      </x:c>
      <x:c r="J22" s="31" t="str">
        <x:v>新臺幣元</x:v>
      </x:c>
      <x:c r="K22" s="32" t="str">
        <x:v>勞工退休基金-115年7月.pdf</x:v>
      </x:c>
    </x:row>
    <x:row r="23">
      <x:c r="A23" s="37" t="n">
        <x:v>46204</x:v>
      </x:c>
      <x:c r="B23" s="31" t="str">
        <x:v>115年7月</x:v>
      </x:c>
      <x:c r="C23" s="31" t="str">
        <x:v>新制</x:v>
      </x:c>
      <x:c r="D23" s="31" t="str">
        <x:v>國內</x:v>
      </x:c>
      <x:c r="E23" s="31" t="str">
        <x:v>114年第一次委託經營</x:v>
      </x:c>
      <x:c r="F23" s="40" t="n">
        <x:f>SUMIFS('國內委外明細'!$G$4:$G$116,'國內委外明細'!$A$4:$A$116,A23,'國內委外明細'!$C$4:$C$116,C23,'國內委外明細'!$E$4:$E$116,E23)</x:f>
        <x:v>5000000000</x:v>
      </x:c>
      <x:c r="G23" s="40" t="n">
        <x:f>SUMIFS('國內委外明細'!$H$4:$H$116,'國內委外明細'!$A$4:$A$116,A23,'國內委外明細'!$C$4:$C$116,C23,'國內委外明細'!$E$4:$E$116,E23)</x:f>
        <x:v>4902240425</x:v>
      </x:c>
      <x:c r="H23" s="43" t="n">
        <x:f>IFERROR(G23/F23-1,0)</x:f>
        <x:v>-0.019551914999999975</x:v>
      </x:c>
      <x:c r="I23" s="43" t="n">
        <x:f>IFERROR(SUMIFS('國內委外明細'!$J$4:$J$116,'國內委外明細'!$A$4:$A$116,A23,'國內委外明細'!$C$4:$C$116,C23,'國內委外明細'!$E$4:$E$116,E23)/COUNTIFS('國內委外明細'!$A$4:$A$116,A23,'國內委外明細'!$C$4:$C$116,C23,'國內委外明細'!$E$4:$E$116,E23,'國內委外明細'!$J$4:$J$116,"&lt;&gt;"),0)</x:f>
        <x:v>0</x:v>
      </x:c>
      <x:c r="J23" s="31" t="str">
        <x:v>新臺幣元</x:v>
      </x:c>
      <x:c r="K23" s="32" t="str">
        <x:v>勞工退休基金-115年7月.pdf</x:v>
      </x:c>
    </x:row>
    <x:row r="24">
      <x:c r="A24" s="37" t="n">
        <x:v>46204</x:v>
      </x:c>
      <x:c r="B24" s="31" t="str">
        <x:v>115年7月</x:v>
      </x:c>
      <x:c r="C24" s="31" t="str">
        <x:v>舊制</x:v>
      </x:c>
      <x:c r="D24" s="31" t="str">
        <x:v>國內</x:v>
      </x:c>
      <x:c r="E24" s="31" t="str">
        <x:v>國內98年第二次委託經營(續約5)</x:v>
      </x:c>
      <x:c r="F24" s="40" t="n">
        <x:f>SUMIFS('國內委外明細'!$G$4:$G$116,'國內委外明細'!$A$4:$A$116,A24,'國內委外明細'!$C$4:$C$116,C24,'國內委外明細'!$E$4:$E$116,E24)</x:f>
        <x:v>29096385294</x:v>
      </x:c>
      <x:c r="G24" s="40" t="n">
        <x:f>SUMIFS('國內委外明細'!$H$4:$H$116,'國內委外明細'!$A$4:$A$116,A24,'國內委外明細'!$C$4:$C$116,C24,'國內委外明細'!$E$4:$E$116,E24)</x:f>
        <x:v>59111050605</x:v>
      </x:c>
      <x:c r="H24" s="43" t="n">
        <x:f>IFERROR(G24/F24-1,0)</x:f>
        <x:v>1.0315599346008577</x:v>
      </x:c>
      <x:c r="I24" s="43" t="n">
        <x:f>IFERROR(SUMIFS('國內委外明細'!$J$4:$J$116,'國內委外明細'!$A$4:$A$116,A24,'國內委外明細'!$C$4:$C$116,C24,'國內委外明細'!$E$4:$E$116,E24)/COUNTIFS('國內委外明細'!$A$4:$A$116,A24,'國內委外明細'!$C$4:$C$116,C24,'國內委外明細'!$E$4:$E$116,E24,'國內委外明細'!$J$4:$J$116,"&lt;&gt;"),0)</x:f>
        <x:v>0</x:v>
      </x:c>
      <x:c r="J24" s="31" t="str">
        <x:v>新臺幣元</x:v>
      </x:c>
      <x:c r="K24" s="32" t="str">
        <x:v>勞工退休基金-115年7月.pdf</x:v>
      </x:c>
    </x:row>
    <x:row r="25">
      <x:c r="A25" s="37" t="n">
        <x:v>46204</x:v>
      </x:c>
      <x:c r="B25" s="31" t="str">
        <x:v>115年7月</x:v>
      </x:c>
      <x:c r="C25" s="31" t="str">
        <x:v>舊制</x:v>
      </x:c>
      <x:c r="D25" s="31" t="str">
        <x:v>國內</x:v>
      </x:c>
      <x:c r="E25" s="31" t="str">
        <x:v>國內101年第一次委託經營(相對報酬)(續約3)</x:v>
      </x:c>
      <x:c r="F25" s="40" t="n">
        <x:f>SUMIFS('國內委外明細'!$G$4:$G$116,'國內委外明細'!$A$4:$A$116,A25,'國內委外明細'!$C$4:$C$116,C25,'國內委外明細'!$E$4:$E$116,E25)</x:f>
        <x:v>6530798735</x:v>
      </x:c>
      <x:c r="G25" s="40" t="n">
        <x:f>SUMIFS('國內委外明細'!$H$4:$H$116,'國內委外明細'!$A$4:$A$116,A25,'國內委外明細'!$C$4:$C$116,C25,'國內委外明細'!$E$4:$E$116,E25)</x:f>
        <x:v>13425179562</x:v>
      </x:c>
      <x:c r="H25" s="43" t="n">
        <x:f>IFERROR(G25/F25-1,0)</x:f>
        <x:v>1.0556719180536804</x:v>
      </x:c>
      <x:c r="I25" s="43" t="n">
        <x:f>IFERROR(SUMIFS('國內委外明細'!$J$4:$J$116,'國內委外明細'!$A$4:$A$116,A25,'國內委外明細'!$C$4:$C$116,C25,'國內委外明細'!$E$4:$E$116,E25)/COUNTIFS('國內委外明細'!$A$4:$A$116,A25,'國內委外明細'!$C$4:$C$116,C25,'國內委外明細'!$E$4:$E$116,E25,'國內委外明細'!$J$4:$J$116,"&lt;&gt;"),0)</x:f>
        <x:v>0</x:v>
      </x:c>
      <x:c r="J25" s="31" t="str">
        <x:v>新臺幣元</x:v>
      </x:c>
      <x:c r="K25" s="32" t="str">
        <x:v>勞工退休基金-115年7月.pdf</x:v>
      </x:c>
    </x:row>
    <x:row r="26">
      <x:c r="A26" s="37" t="n">
        <x:v>46204</x:v>
      </x:c>
      <x:c r="B26" s="31" t="str">
        <x:v>115年7月</x:v>
      </x:c>
      <x:c r="C26" s="31" t="str">
        <x:v>舊制</x:v>
      </x:c>
      <x:c r="D26" s="31" t="str">
        <x:v>國內</x:v>
      </x:c>
      <x:c r="E26" s="31" t="str">
        <x:v>國內101年第二次委託經營(續約3)</x:v>
      </x:c>
      <x:c r="F26" s="40" t="n">
        <x:f>SUMIFS('國內委外明細'!$G$4:$G$116,'國內委外明細'!$A$4:$A$116,A26,'國內委外明細'!$C$4:$C$116,C26,'國內委外明細'!$E$4:$E$116,E26)</x:f>
        <x:v>27357530009</x:v>
      </x:c>
      <x:c r="G26" s="40" t="n">
        <x:f>SUMIFS('國內委外明細'!$H$4:$H$116,'國內委外明細'!$A$4:$A$116,A26,'國內委外明細'!$C$4:$C$116,C26,'國內委外明細'!$E$4:$E$116,E26)</x:f>
        <x:v>78465559204</x:v>
      </x:c>
      <x:c r="H26" s="43" t="n">
        <x:f>IFERROR(G26/F26-1,0)</x:f>
        <x:v>1.8681521752214705</x:v>
      </x:c>
      <x:c r="I26" s="43" t="n">
        <x:f>IFERROR(SUMIFS('國內委外明細'!$J$4:$J$116,'國內委外明細'!$A$4:$A$116,A26,'國內委外明細'!$C$4:$C$116,C26,'國內委外明細'!$E$4:$E$116,E26)/COUNTIFS('國內委外明細'!$A$4:$A$116,A26,'國內委外明細'!$C$4:$C$116,C26,'國內委外明細'!$E$4:$E$116,E26,'國內委外明細'!$J$4:$J$116,"&lt;&gt;"),0)</x:f>
        <x:v>0</x:v>
      </x:c>
      <x:c r="J26" s="31" t="str">
        <x:v>新臺幣元</x:v>
      </x:c>
      <x:c r="K26" s="32" t="str">
        <x:v>勞工退休基金-115年7月.pdf</x:v>
      </x:c>
    </x:row>
    <x:row r="27">
      <x:c r="A27" s="37" t="n">
        <x:v>46204</x:v>
      </x:c>
      <x:c r="B27" s="31" t="str">
        <x:v>115年7月</x:v>
      </x:c>
      <x:c r="C27" s="31" t="str">
        <x:v>舊制</x:v>
      </x:c>
      <x:c r="D27" s="31" t="str">
        <x:v>國內</x:v>
      </x:c>
      <x:c r="E27" s="31" t="str">
        <x:v>國內104年第一次委託經營(續約2)</x:v>
      </x:c>
      <x:c r="F27" s="40" t="n">
        <x:f>SUMIFS('國內委外明細'!$G$4:$G$116,'國內委外明細'!$A$4:$A$116,A27,'國內委外明細'!$C$4:$C$116,C27,'國內委外明細'!$E$4:$E$116,E27)</x:f>
        <x:v>7402055797</x:v>
      </x:c>
      <x:c r="G27" s="40" t="n">
        <x:f>SUMIFS('國內委外明細'!$H$4:$H$116,'國內委外明細'!$A$4:$A$116,A27,'國內委外明細'!$C$4:$C$116,C27,'國內委外明細'!$E$4:$E$116,E27)</x:f>
        <x:v>19860210266</x:v>
      </x:c>
      <x:c r="H27" s="43" t="n">
        <x:f>IFERROR(G27/F27-1,0)</x:f>
        <x:v>1.6830668142287175</x:v>
      </x:c>
      <x:c r="I27" s="43" t="n">
        <x:f>IFERROR(SUMIFS('國內委外明細'!$J$4:$J$116,'國內委外明細'!$A$4:$A$116,A27,'國內委外明細'!$C$4:$C$116,C27,'國內委外明細'!$E$4:$E$116,E27)/COUNTIFS('國內委外明細'!$A$4:$A$116,A27,'國內委外明細'!$C$4:$C$116,C27,'國內委外明細'!$E$4:$E$116,E27,'國內委外明細'!$J$4:$J$116,"&lt;&gt;"),0)</x:f>
        <x:v>0</x:v>
      </x:c>
      <x:c r="J27" s="31" t="str">
        <x:v>新臺幣元</x:v>
      </x:c>
      <x:c r="K27" s="32" t="str">
        <x:v>勞工退休基金-115年7月.pdf</x:v>
      </x:c>
    </x:row>
    <x:row r="28">
      <x:c r="A28" s="37" t="n">
        <x:v>46204</x:v>
      </x:c>
      <x:c r="B28" s="31" t="str">
        <x:v>115年7月</x:v>
      </x:c>
      <x:c r="C28" s="31" t="str">
        <x:v>舊制</x:v>
      </x:c>
      <x:c r="D28" s="31" t="str">
        <x:v>國內</x:v>
      </x:c>
      <x:c r="E28" s="31" t="str">
        <x:v>國內106年第一次委託經營(續約)</x:v>
      </x:c>
      <x:c r="F28" s="40" t="n">
        <x:f>SUMIFS('國內委外明細'!$G$4:$G$116,'國內委外明細'!$A$4:$A$116,A28,'國內委外明細'!$C$4:$C$116,C28,'國內委外明細'!$E$4:$E$116,E28)</x:f>
        <x:v>28091526638</x:v>
      </x:c>
      <x:c r="G28" s="40" t="n">
        <x:f>SUMIFS('國內委外明細'!$H$4:$H$116,'國內委外明細'!$A$4:$A$116,A28,'國內委外明細'!$C$4:$C$116,C28,'國內委外明細'!$E$4:$E$116,E28)</x:f>
        <x:v>82795755047</x:v>
      </x:c>
      <x:c r="H28" s="43" t="n">
        <x:f>IFERROR(G28/F28-1,0)</x:f>
        <x:v>1.9473569063704939</x:v>
      </x:c>
      <x:c r="I28" s="43" t="n">
        <x:f>IFERROR(SUMIFS('國內委外明細'!$J$4:$J$116,'國內委外明細'!$A$4:$A$116,A28,'國內委外明細'!$C$4:$C$116,C28,'國內委外明細'!$E$4:$E$116,E28)/COUNTIFS('國內委外明細'!$A$4:$A$116,A28,'國內委外明細'!$C$4:$C$116,C28,'國內委外明細'!$E$4:$E$116,E28,'國內委外明細'!$J$4:$J$116,"&lt;&gt;"),0)</x:f>
        <x:v>0</x:v>
      </x:c>
      <x:c r="J28" s="31" t="str">
        <x:v>新臺幣元</x:v>
      </x:c>
      <x:c r="K28" s="32" t="str">
        <x:v>勞工退休基金-115年7月.pdf</x:v>
      </x:c>
    </x:row>
    <x:row r="29">
      <x:c r="A29" s="37" t="n">
        <x:v>46204</x:v>
      </x:c>
      <x:c r="B29" s="31" t="str">
        <x:v>115年7月</x:v>
      </x:c>
      <x:c r="C29" s="31" t="str">
        <x:v>舊制</x:v>
      </x:c>
      <x:c r="D29" s="31" t="str">
        <x:v>國內</x:v>
      </x:c>
      <x:c r="E29" s="31" t="str">
        <x:v>國內109年第二次委託經營</x:v>
      </x:c>
      <x:c r="F29" s="40" t="n">
        <x:f>SUMIFS('國內委外明細'!$G$4:$G$116,'國內委外明細'!$A$4:$A$116,A29,'國內委外明細'!$C$4:$C$116,C29,'國內委外明細'!$E$4:$E$116,E29)</x:f>
        <x:v>5000000000</x:v>
      </x:c>
      <x:c r="G29" s="40" t="n">
        <x:f>SUMIFS('國內委外明細'!$H$4:$H$116,'國內委外明細'!$A$4:$A$116,A29,'國內委外明細'!$C$4:$C$116,C29,'國內委外明細'!$E$4:$E$116,E29)</x:f>
        <x:v>11597578661</x:v>
      </x:c>
      <x:c r="H29" s="43" t="n">
        <x:f>IFERROR(G29/F29-1,0)</x:f>
        <x:v>1.3195157322000002</x:v>
      </x:c>
      <x:c r="I29" s="43" t="n">
        <x:f>IFERROR(SUMIFS('國內委外明細'!$J$4:$J$116,'國內委外明細'!$A$4:$A$116,A29,'國內委外明細'!$C$4:$C$116,C29,'國內委外明細'!$E$4:$E$116,E29)/COUNTIFS('國內委外明細'!$A$4:$A$116,A29,'國內委外明細'!$C$4:$C$116,C29,'國內委外明細'!$E$4:$E$116,E29,'國內委外明細'!$J$4:$J$116,"&lt;&gt;"),0)</x:f>
        <x:v>0</x:v>
      </x:c>
      <x:c r="J29" s="31" t="str">
        <x:v>新臺幣元</x:v>
      </x:c>
      <x:c r="K29" s="32" t="str">
        <x:v>勞工退休基金-115年7月.pdf</x:v>
      </x:c>
    </x:row>
    <x:row r="30">
      <x:c r="A30" s="37" t="n">
        <x:v>46204</x:v>
      </x:c>
      <x:c r="B30" s="31" t="str">
        <x:v>115年7月</x:v>
      </x:c>
      <x:c r="C30" s="31" t="str">
        <x:v>舊制</x:v>
      </x:c>
      <x:c r="D30" s="31" t="str">
        <x:v>國內</x:v>
      </x:c>
      <x:c r="E30" s="31" t="str">
        <x:v>國內111年第一次委託經營</x:v>
      </x:c>
      <x:c r="F30" s="40" t="n">
        <x:f>SUMIFS('國內委外明細'!$G$4:$G$116,'國內委外明細'!$A$4:$A$116,A30,'國內委外明細'!$C$4:$C$116,C30,'國內委外明細'!$E$4:$E$116,E30)</x:f>
        <x:v>21000000000</x:v>
      </x:c>
      <x:c r="G30" s="40" t="n">
        <x:f>SUMIFS('國內委外明細'!$H$4:$H$116,'國內委外明細'!$A$4:$A$116,A30,'國內委外明細'!$C$4:$C$116,C30,'國內委外明細'!$E$4:$E$116,E30)</x:f>
        <x:v>44636288940</x:v>
      </x:c>
      <x:c r="H30" s="43" t="n">
        <x:f>IFERROR(G30/F30-1,0)</x:f>
        <x:v>1.1255375685714286</x:v>
      </x:c>
      <x:c r="I30" s="43" t="n">
        <x:f>IFERROR(SUMIFS('國內委外明細'!$J$4:$J$116,'國內委外明細'!$A$4:$A$116,A30,'國內委外明細'!$C$4:$C$116,C30,'國內委外明細'!$E$4:$E$116,E30)/COUNTIFS('國內委外明細'!$A$4:$A$116,A30,'國內委外明細'!$C$4:$C$116,C30,'國內委外明細'!$E$4:$E$116,E30,'國內委外明細'!$J$4:$J$116,"&lt;&gt;"),0)</x:f>
        <x:v>0</x:v>
      </x:c>
      <x:c r="J30" s="31" t="str">
        <x:v>新臺幣元</x:v>
      </x:c>
      <x:c r="K30" s="32" t="str">
        <x:v>勞工退休基金-115年7月.pdf</x:v>
      </x:c>
    </x:row>
    <x:row r="31">
      <x:c r="A31" s="37" t="n">
        <x:v>46204</x:v>
      </x:c>
      <x:c r="B31" s="31" t="str">
        <x:v>115年7月</x:v>
      </x:c>
      <x:c r="C31" s="31" t="str">
        <x:v>勞工保險</x:v>
      </x:c>
      <x:c r="D31" s="31" t="str">
        <x:v>國內</x:v>
      </x:c>
      <x:c r="E31" s="31" t="str">
        <x:v>103年委託經營(續約4)</x:v>
      </x:c>
      <x:c r="F31" s="40" t="n">
        <x:f>SUMIFS('國內委外明細'!$G$4:$G$116,'國內委外明細'!$A$4:$A$116,A31,'國內委外明細'!$C$4:$C$116,C31,'國內委外明細'!$E$4:$E$116,E31)</x:f>
        <x:v>6006437351</x:v>
      </x:c>
      <x:c r="G31" s="40" t="n">
        <x:f>SUMIFS('國內委外明細'!$H$4:$H$116,'國內委外明細'!$A$4:$A$116,A31,'國內委外明細'!$C$4:$C$116,C31,'國內委外明細'!$E$4:$E$116,E31)</x:f>
        <x:v>15506059249</x:v>
      </x:c>
      <x:c r="H31" s="43" t="n">
        <x:f>IFERROR(G31/F31-1,0)</x:f>
        <x:v>1.5815734590852641</x:v>
      </x:c>
      <x:c r="I31" s="43" t="n">
        <x:f>IFERROR(SUMIFS('國內委外明細'!$J$4:$J$116,'國內委外明細'!$A$4:$A$116,A31,'國內委外明細'!$C$4:$C$116,C31,'國內委外明細'!$E$4:$E$116,E31)/COUNTIFS('國內委外明細'!$A$4:$A$116,A31,'國內委外明細'!$C$4:$C$116,C31,'國內委外明細'!$E$4:$E$116,E31,'國內委外明細'!$J$4:$J$116,"&lt;&gt;"),0)</x:f>
        <x:v>0</x:v>
      </x:c>
      <x:c r="J31" s="31" t="str">
        <x:v>新臺幣元</x:v>
      </x:c>
      <x:c r="K31" s="32" t="str">
        <x:v>勞工保險基金-115年7月.pdf</x:v>
      </x:c>
    </x:row>
    <x:row r="32">
      <x:c r="A32" s="37" t="n">
        <x:v>46204</x:v>
      </x:c>
      <x:c r="B32" s="31" t="str">
        <x:v>115年7月</x:v>
      </x:c>
      <x:c r="C32" s="31" t="str">
        <x:v>勞工保險</x:v>
      </x:c>
      <x:c r="D32" s="31" t="str">
        <x:v>國內</x:v>
      </x:c>
      <x:c r="E32" s="31" t="str">
        <x:v>104年委託經營(續約4)</x:v>
      </x:c>
      <x:c r="F32" s="40" t="n">
        <x:f>SUMIFS('國內委外明細'!$G$4:$G$116,'國內委外明細'!$A$4:$A$116,A32,'國內委外明細'!$C$4:$C$116,C32,'國內委外明細'!$E$4:$E$116,E32)</x:f>
        <x:v>10115864773</x:v>
      </x:c>
      <x:c r="G32" s="40" t="n">
        <x:f>SUMIFS('國內委外明細'!$H$4:$H$116,'國內委外明細'!$A$4:$A$116,A32,'國內委外明細'!$C$4:$C$116,C32,'國內委外明細'!$E$4:$E$116,E32)</x:f>
        <x:v>25210400997</x:v>
      </x:c>
      <x:c r="H32" s="43" t="n">
        <x:f>IFERROR(G32/F32-1,0)</x:f>
        <x:v>1.492164690090406</x:v>
      </x:c>
      <x:c r="I32" s="43" t="n">
        <x:f>IFERROR(SUMIFS('國內委外明細'!$J$4:$J$116,'國內委外明細'!$A$4:$A$116,A32,'國內委外明細'!$C$4:$C$116,C32,'國內委外明細'!$E$4:$E$116,E32)/COUNTIFS('國內委外明細'!$A$4:$A$116,A32,'國內委外明細'!$C$4:$C$116,C32,'國內委外明細'!$E$4:$E$116,E32,'國內委外明細'!$J$4:$J$116,"&lt;&gt;"),0)</x:f>
        <x:v>0</x:v>
      </x:c>
      <x:c r="J32" s="31" t="str">
        <x:v>新臺幣元</x:v>
      </x:c>
      <x:c r="K32" s="32" t="str">
        <x:v>勞工保險基金-115年7月.pdf</x:v>
      </x:c>
    </x:row>
    <x:row r="33">
      <x:c r="A33" s="37" t="n">
        <x:v>46204</x:v>
      </x:c>
      <x:c r="B33" s="31" t="str">
        <x:v>115年7月</x:v>
      </x:c>
      <x:c r="C33" s="31" t="str">
        <x:v>勞工保險</x:v>
      </x:c>
      <x:c r="D33" s="31" t="str">
        <x:v>國內</x:v>
      </x:c>
      <x:c r="E33" s="31" t="str">
        <x:v>106年第一次委託經營(續約)</x:v>
      </x:c>
      <x:c r="F33" s="40" t="n">
        <x:f>SUMIFS('國內委外明細'!$G$4:$G$116,'國內委外明細'!$A$4:$A$116,A33,'國內委外明細'!$C$4:$C$116,C33,'國內委外明細'!$E$4:$E$116,E33)</x:f>
        <x:v>9747462171</x:v>
      </x:c>
      <x:c r="G33" s="40" t="n">
        <x:f>SUMIFS('國內委外明細'!$H$4:$H$116,'國內委外明細'!$A$4:$A$116,A33,'國內委外明細'!$C$4:$C$116,C33,'國內委外明細'!$E$4:$E$116,E33)</x:f>
        <x:v>23092321941</x:v>
      </x:c>
      <x:c r="H33" s="43" t="n">
        <x:f>IFERROR(G33/F33-1,0)</x:f>
        <x:v>1.3690599189707795</x:v>
      </x:c>
      <x:c r="I33" s="43" t="n">
        <x:f>IFERROR(SUMIFS('國內委外明細'!$J$4:$J$116,'國內委外明細'!$A$4:$A$116,A33,'國內委外明細'!$C$4:$C$116,C33,'國內委外明細'!$E$4:$E$116,E33)/COUNTIFS('國內委外明細'!$A$4:$A$116,A33,'國內委外明細'!$C$4:$C$116,C33,'國內委外明細'!$E$4:$E$116,E33,'國內委外明細'!$J$4:$J$116,"&lt;&gt;"),0)</x:f>
        <x:v>0</x:v>
      </x:c>
      <x:c r="J33" s="31" t="str">
        <x:v>新臺幣元</x:v>
      </x:c>
      <x:c r="K33" s="32" t="str">
        <x:v>勞工保險基金-115年7月.pdf</x:v>
      </x:c>
    </x:row>
    <x:row r="34">
      <x:c r="A34" s="37" t="n">
        <x:v>46204</x:v>
      </x:c>
      <x:c r="B34" s="31" t="str">
        <x:v>115年7月</x:v>
      </x:c>
      <x:c r="C34" s="31" t="str">
        <x:v>勞工保險</x:v>
      </x:c>
      <x:c r="D34" s="31" t="str">
        <x:v>國內</x:v>
      </x:c>
      <x:c r="E34" s="31" t="str">
        <x:v>109年第二次委託經營(相對報酬)</x:v>
      </x:c>
      <x:c r="F34" s="40" t="n">
        <x:f>SUMIFS('國內委外明細'!$G$4:$G$116,'國內委外明細'!$A$4:$A$116,A34,'國內委外明細'!$C$4:$C$116,C34,'國內委外明細'!$E$4:$E$116,E34)</x:f>
        <x:v>2000000000</x:v>
      </x:c>
      <x:c r="G34" s="40" t="n">
        <x:f>SUMIFS('國內委外明細'!$H$4:$H$116,'國內委外明細'!$A$4:$A$116,A34,'國內委外明細'!$C$4:$C$116,C34,'國內委外明細'!$E$4:$E$116,E34)</x:f>
        <x:v>4652345358</x:v>
      </x:c>
      <x:c r="H34" s="43" t="n">
        <x:f>IFERROR(G34/F34-1,0)</x:f>
        <x:v>1.326172679</x:v>
      </x:c>
      <x:c r="I34" s="43" t="n">
        <x:f>IFERROR(SUMIFS('國內委外明細'!$J$4:$J$116,'國內委外明細'!$A$4:$A$116,A34,'國內委外明細'!$C$4:$C$116,C34,'國內委外明細'!$E$4:$E$116,E34)/COUNTIFS('國內委外明細'!$A$4:$A$116,A34,'國內委外明細'!$C$4:$C$116,C34,'國內委外明細'!$E$4:$E$116,E34,'國內委外明細'!$J$4:$J$116,"&lt;&gt;"),0)</x:f>
        <x:v>0</x:v>
      </x:c>
      <x:c r="J34" s="31" t="str">
        <x:v>新臺幣元</x:v>
      </x:c>
      <x:c r="K34" s="32" t="str">
        <x:v>勞工保險基金-115年7月.pdf</x:v>
      </x:c>
    </x:row>
    <x:row r="35">
      <x:c r="A35" s="37" t="n">
        <x:v>46204</x:v>
      </x:c>
      <x:c r="B35" s="31" t="str">
        <x:v>115年7月</x:v>
      </x:c>
      <x:c r="C35" s="31" t="str">
        <x:v>國民年金</x:v>
      </x:c>
      <x:c r="D35" s="31" t="str">
        <x:v>國內</x:v>
      </x:c>
      <x:c r="E35" s="31" t="str">
        <x:v>112年第一次委託經營(相對報酬)</x:v>
      </x:c>
      <x:c r="F35" s="40" t="n">
        <x:f>SUMIFS('國內委外明細'!$G$4:$G$116,'國內委外明細'!$A$4:$A$116,A35,'國內委外明細'!$C$4:$C$116,C35,'國內委外明細'!$E$4:$E$116,E35)</x:f>
        <x:v>6000000000</x:v>
      </x:c>
      <x:c r="G35" s="40" t="n">
        <x:f>SUMIFS('國內委外明細'!$H$4:$H$116,'國內委外明細'!$A$4:$A$116,A35,'國內委外明細'!$C$4:$C$116,C35,'國內委外明細'!$E$4:$E$116,E35)</x:f>
        <x:v>7934807672</x:v>
      </x:c>
      <x:c r="H35" s="43" t="n">
        <x:f>IFERROR(G35/F35-1,0)</x:f>
        <x:v>0.32246794533333323</x:v>
      </x:c>
      <x:c r="I35" s="43" t="n">
        <x:f>IFERROR(SUMIFS('國內委外明細'!$J$4:$J$116,'國內委外明細'!$A$4:$A$116,A35,'國內委外明細'!$C$4:$C$116,C35,'國內委外明細'!$E$4:$E$116,E35)/COUNTIFS('國內委外明細'!$A$4:$A$116,A35,'國內委外明細'!$C$4:$C$116,C35,'國內委外明細'!$E$4:$E$116,E35,'國內委外明細'!$J$4:$J$116,"&lt;&gt;"),0)</x:f>
        <x:v>0</x:v>
      </x:c>
      <x:c r="J35" s="31" t="str">
        <x:v>新臺幣元</x:v>
      </x:c>
      <x:c r="K35" s="32" t="str">
        <x:v>國民年金保險基金-115年7月.pdf</x:v>
      </x:c>
    </x:row>
    <x:row r="36">
      <x:c r="A36" s="37" t="n">
        <x:v>46204</x:v>
      </x:c>
      <x:c r="B36" s="31" t="str">
        <x:v>115年7月</x:v>
      </x:c>
      <x:c r="C36" s="31" t="str">
        <x:v>國民年金</x:v>
      </x:c>
      <x:c r="D36" s="31" t="str">
        <x:v>國內</x:v>
      </x:c>
      <x:c r="E36" s="31" t="str">
        <x:v>114年第一次委託經營</x:v>
      </x:c>
      <x:c r="F36" s="40" t="n">
        <x:f>SUMIFS('國內委外明細'!$G$4:$G$116,'國內委外明細'!$A$4:$A$116,A36,'國內委外明細'!$C$4:$C$116,C36,'國內委外明細'!$E$4:$E$116,E36)</x:f>
        <x:v>1200000000</x:v>
      </x:c>
      <x:c r="G36" s="40" t="n">
        <x:f>SUMIFS('國內委外明細'!$H$4:$H$116,'國內委外明細'!$A$4:$A$116,A36,'國內委外明細'!$C$4:$C$116,C36,'國內委外明細'!$E$4:$E$116,E36)</x:f>
        <x:v>1056051599</x:v>
      </x:c>
      <x:c r="H36" s="43" t="n">
        <x:f>IFERROR(G36/F36-1,0)</x:f>
        <x:v>-0.11995700083333338</x:v>
      </x:c>
      <x:c r="I36" s="43" t="n">
        <x:f>IFERROR(SUMIFS('國內委外明細'!$J$4:$J$116,'國內委外明細'!$A$4:$A$116,A36,'國內委外明細'!$C$4:$C$116,C36,'國內委外明細'!$E$4:$E$116,E36)/COUNTIFS('國內委外明細'!$A$4:$A$116,A36,'國內委外明細'!$C$4:$C$116,C36,'國內委外明細'!$E$4:$E$116,E36,'國內委外明細'!$J$4:$J$116,"&lt;&gt;"),0)</x:f>
        <x:v>0</x:v>
      </x:c>
      <x:c r="J36" s="31" t="str">
        <x:v>新臺幣元</x:v>
      </x:c>
      <x:c r="K36" s="32" t="str">
        <x:v>國民年金保險基金-115年7月.pdf</x:v>
      </x:c>
    </x:row>
    <x:row r="37">
      <x:c r="A37" s="37" t="n">
        <x:v>46204</x:v>
      </x:c>
      <x:c r="B37" s="31" t="str">
        <x:v>115年7月</x:v>
      </x:c>
      <x:c r="C37" s="31" t="str">
        <x:v>新制</x:v>
      </x:c>
      <x:c r="D37" s="31" t="str">
        <x:v>國外</x:v>
      </x:c>
      <x:c r="E37" s="31" t="str">
        <x:v>97-1全球主動債券型（續約3）</x:v>
      </x:c>
      <x:c r="F37" s="40" t="n">
        <x:f>SUMIFS('國外委外明細'!$G$4:$G$188,'國外委外明細'!$A$4:$A$188,A37,'國外委外明細'!$C$4:$C$188,C37,'國外委外明細'!$E$4:$E$188,E37)</x:f>
        <x:v>2239153597</x:v>
      </x:c>
      <x:c r="G37" s="40" t="n">
        <x:f>SUMIFS('國外委外明細'!$H$4:$H$188,'國外委外明細'!$A$4:$A$188,A37,'國外委外明細'!$C$4:$C$188,C37,'國外委外明細'!$E$4:$E$188,E37)</x:f>
        <x:v>2232322210</x:v>
      </x:c>
      <x:c r="H37" s="43" t="n">
        <x:f>IFERROR(G37/F37-1,0)</x:f>
        <x:v>-0.003050879139846696</x:v>
      </x:c>
      <x:c r="I37" s="43" t="n">
        <x:f>IFERROR(SUMIFS('國外委外明細'!$J$4:$J$188,'國外委外明細'!$A$4:$A$188,A37,'國外委外明細'!$C$4:$C$188,C37,'國外委外明細'!$E$4:$E$188,E37)/COUNTIFS('國外委外明細'!$A$4:$A$188,A37,'國外委外明細'!$C$4:$C$188,C37,'國外委外明細'!$E$4:$E$188,E37,'國外委外明細'!$J$4:$J$188,"&lt;&gt;"),0)</x:f>
        <x:v>0</x:v>
      </x:c>
      <x:c r="J37" s="31" t="str">
        <x:v>美元</x:v>
      </x:c>
      <x:c r="K37" s="32" t="str">
        <x:v>勞工退休基金-115年7月.pdf</x:v>
      </x:c>
    </x:row>
    <x:row r="38">
      <x:c r="A38" s="37" t="n">
        <x:v>46204</x:v>
      </x:c>
      <x:c r="B38" s="31" t="str">
        <x:v>115年7月</x:v>
      </x:c>
      <x:c r="C38" s="31" t="str">
        <x:v>新制</x:v>
      </x:c>
      <x:c r="D38" s="31" t="str">
        <x:v>國外</x:v>
      </x:c>
      <x:c r="E38" s="31" t="str">
        <x:v>97-2全球增值債券型（續約3）</x:v>
      </x:c>
      <x:c r="F38" s="40" t="n">
        <x:f>SUMIFS('國外委外明細'!$G$4:$G$188,'國外委外明細'!$A$4:$A$188,A38,'國外委外明細'!$C$4:$C$188,C38,'國外委外明細'!$E$4:$E$188,E38)</x:f>
        <x:v>2408967886</x:v>
      </x:c>
      <x:c r="G38" s="40" t="n">
        <x:f>SUMIFS('國外委外明細'!$H$4:$H$188,'國外委外明細'!$A$4:$A$188,A38,'國外委外明細'!$C$4:$C$188,C38,'國外委外明細'!$E$4:$E$188,E38)</x:f>
        <x:v>2364612047</x:v>
      </x:c>
      <x:c r="H38" s="43" t="n">
        <x:f>IFERROR(G38/F38-1,0)</x:f>
        <x:v>-0.01841279796952844</x:v>
      </x:c>
      <x:c r="I38" s="43" t="n">
        <x:f>IFERROR(SUMIFS('國外委外明細'!$J$4:$J$188,'國外委外明細'!$A$4:$A$188,A38,'國外委外明細'!$C$4:$C$188,C38,'國外委外明細'!$E$4:$E$188,E38)/COUNTIFS('國外委外明細'!$A$4:$A$188,A38,'國外委外明細'!$C$4:$C$188,C38,'國外委外明細'!$E$4:$E$188,E38,'國外委外明細'!$J$4:$J$188,"&lt;&gt;"),0)</x:f>
        <x:v>0</x:v>
      </x:c>
      <x:c r="J38" s="31" t="str">
        <x:v>美元</x:v>
      </x:c>
      <x:c r="K38" s="32" t="str">
        <x:v>勞工退休基金-115年7月.pdf</x:v>
      </x:c>
    </x:row>
    <x:row r="39">
      <x:c r="A39" s="37" t="n">
        <x:v>46204</x:v>
      </x:c>
      <x:c r="B39" s="31" t="str">
        <x:v>115年7月</x:v>
      </x:c>
      <x:c r="C39" s="31" t="str">
        <x:v>新制</x:v>
      </x:c>
      <x:c r="D39" s="31" t="str">
        <x:v>國外</x:v>
      </x:c>
      <x:c r="E39" s="31" t="str">
        <x:v>97-2全球增值股票型（續約3）</x:v>
      </x:c>
      <x:c r="F39" s="40" t="n">
        <x:f>SUMIFS('國外委外明細'!$G$4:$G$188,'國外委外明細'!$A$4:$A$188,A39,'國外委外明細'!$C$4:$C$188,C39,'國外委外明細'!$E$4:$E$188,E39)</x:f>
        <x:v>3619926421</x:v>
      </x:c>
      <x:c r="G39" s="40" t="n">
        <x:f>SUMIFS('國外委外明細'!$H$4:$H$188,'國外委外明細'!$A$4:$A$188,A39,'國外委外明細'!$C$4:$C$188,C39,'國外委外明細'!$E$4:$E$188,E39)</x:f>
        <x:v>6265032518</x:v>
      </x:c>
      <x:c r="H39" s="43" t="n">
        <x:f>IFERROR(G39/F39-1,0)</x:f>
        <x:v>0.7307071441162865</x:v>
      </x:c>
      <x:c r="I39" s="43" t="n">
        <x:f>IFERROR(SUMIFS('國外委外明細'!$J$4:$J$188,'國外委外明細'!$A$4:$A$188,A39,'國外委外明細'!$C$4:$C$188,C39,'國外委外明細'!$E$4:$E$188,E39)/COUNTIFS('國外委外明細'!$A$4:$A$188,A39,'國外委外明細'!$C$4:$C$188,C39,'國外委外明細'!$E$4:$E$188,E39,'國外委外明細'!$J$4:$J$188,"&lt;&gt;"),0)</x:f>
        <x:v>0</x:v>
      </x:c>
      <x:c r="J39" s="31" t="str">
        <x:v>美元</x:v>
      </x:c>
      <x:c r="K39" s="32" t="str">
        <x:v>勞工退休基金-115年7月.pdf</x:v>
      </x:c>
    </x:row>
    <x:row r="40">
      <x:c r="A40" s="37" t="n">
        <x:v>46204</x:v>
      </x:c>
      <x:c r="B40" s="31" t="str">
        <x:v>115年7月</x:v>
      </x:c>
      <x:c r="C40" s="31" t="str">
        <x:v>新制</x:v>
      </x:c>
      <x:c r="D40" s="31" t="str">
        <x:v>國外</x:v>
      </x:c>
      <x:c r="E40" s="31" t="str">
        <x:v>98-1亞太（日本除外）主動股票型（續約3）</x:v>
      </x:c>
      <x:c r="F40" s="40" t="n">
        <x:f>SUMIFS('國外委外明細'!$G$4:$G$188,'國外委外明細'!$A$4:$A$188,A40,'國外委外明細'!$C$4:$C$188,C40,'國外委外明細'!$E$4:$E$188,E40)</x:f>
        <x:v>656507639</x:v>
      </x:c>
      <x:c r="G40" s="40" t="n">
        <x:f>SUMIFS('國外委外明細'!$H$4:$H$188,'國外委外明細'!$A$4:$A$188,A40,'國外委外明細'!$C$4:$C$188,C40,'國外委外明細'!$E$4:$E$188,E40)</x:f>
        <x:v>1304933202</x:v>
      </x:c>
      <x:c r="H40" s="43" t="n">
        <x:f>IFERROR(G40/F40-1,0)</x:f>
        <x:v>0.987689288715192</x:v>
      </x:c>
      <x:c r="I40" s="43" t="n">
        <x:f>IFERROR(SUMIFS('國外委外明細'!$J$4:$J$188,'國外委外明細'!$A$4:$A$188,A40,'國外委外明細'!$C$4:$C$188,C40,'國外委外明細'!$E$4:$E$188,E40)/COUNTIFS('國外委外明細'!$A$4:$A$188,A40,'國外委外明細'!$C$4:$C$188,C40,'國外委外明細'!$E$4:$E$188,E40,'國外委外明細'!$J$4:$J$188,"&lt;&gt;"),0)</x:f>
        <x:v>0</x:v>
      </x:c>
      <x:c r="J40" s="31" t="str">
        <x:v>美元</x:v>
      </x:c>
      <x:c r="K40" s="32" t="str">
        <x:v>勞工退休基金-115年7月.pdf</x:v>
      </x:c>
    </x:row>
    <x:row r="41">
      <x:c r="A41" s="37" t="n">
        <x:v>46204</x:v>
      </x:c>
      <x:c r="B41" s="31" t="str">
        <x:v>115年7月</x:v>
      </x:c>
      <x:c r="C41" s="31" t="str">
        <x:v>新制</x:v>
      </x:c>
      <x:c r="D41" s="31" t="str">
        <x:v>國外</x:v>
      </x:c>
      <x:c r="E41" s="31" t="str">
        <x:v>98-1全球被動股票型（續約3）</x:v>
      </x:c>
      <x:c r="F41" s="40" t="n">
        <x:f>SUMIFS('國外委外明細'!$G$4:$G$188,'國外委外明細'!$A$4:$A$188,A41,'國外委外明細'!$C$4:$C$188,C41,'國外委外明細'!$E$4:$E$188,E41)</x:f>
        <x:v>3104747493</x:v>
      </x:c>
      <x:c r="G41" s="40" t="n">
        <x:f>SUMIFS('國外委外明細'!$H$4:$H$188,'國外委外明細'!$A$4:$A$188,A41,'國外委外明細'!$C$4:$C$188,C41,'國外委外明細'!$E$4:$E$188,E41)</x:f>
        <x:v>5524840287</x:v>
      </x:c>
      <x:c r="H41" s="43" t="n">
        <x:f>IFERROR(G41/F41-1,0)</x:f>
        <x:v>0.77948135861495</x:v>
      </x:c>
      <x:c r="I41" s="43" t="n">
        <x:f>IFERROR(SUMIFS('國外委外明細'!$J$4:$J$188,'國外委外明細'!$A$4:$A$188,A41,'國外委外明細'!$C$4:$C$188,C41,'國外委外明細'!$E$4:$E$188,E41)/COUNTIFS('國外委外明細'!$A$4:$A$188,A41,'國外委外明細'!$C$4:$C$188,C41,'國外委外明細'!$E$4:$E$188,E41,'國外委外明細'!$J$4:$J$188,"&lt;&gt;"),0)</x:f>
        <x:v>0</x:v>
      </x:c>
      <x:c r="J41" s="31" t="str">
        <x:v>美元</x:v>
      </x:c>
      <x:c r="K41" s="32" t="str">
        <x:v>勞工退休基金-115年7月.pdf</x:v>
      </x:c>
    </x:row>
    <x:row r="42">
      <x:c r="A42" s="37" t="n">
        <x:v>46204</x:v>
      </x:c>
      <x:c r="B42" s="31" t="str">
        <x:v>115年7月</x:v>
      </x:c>
      <x:c r="C42" s="31" t="str">
        <x:v>新制</x:v>
      </x:c>
      <x:c r="D42" s="31" t="str">
        <x:v>國外</x:v>
      </x:c>
      <x:c r="E42" s="31" t="str">
        <x:v>100-1全球基本面指數被動股票型（續約3）</x:v>
      </x:c>
      <x:c r="F42" s="40" t="n">
        <x:f>SUMIFS('國外委外明細'!$G$4:$G$188,'國外委外明細'!$A$4:$A$188,A42,'國外委外明細'!$C$4:$C$188,C42,'國外委外明細'!$E$4:$E$188,E42)</x:f>
        <x:v>3370468847</x:v>
      </x:c>
      <x:c r="G42" s="40" t="n">
        <x:f>SUMIFS('國外委外明細'!$H$4:$H$188,'國外委外明細'!$A$4:$A$188,A42,'國外委外明細'!$C$4:$C$188,C42,'國外委外明細'!$E$4:$E$188,E42)</x:f>
        <x:v>3425867051</x:v>
      </x:c>
      <x:c r="H42" s="43" t="n">
        <x:f>IFERROR(G42/F42-1,0)</x:f>
        <x:v>0.01643634951538253</x:v>
      </x:c>
      <x:c r="I42" s="43" t="n">
        <x:f>IFERROR(SUMIFS('國外委外明細'!$J$4:$J$188,'國外委外明細'!$A$4:$A$188,A42,'國外委外明細'!$C$4:$C$188,C42,'國外委外明細'!$E$4:$E$188,E42)/COUNTIFS('國外委外明細'!$A$4:$A$188,A42,'國外委外明細'!$C$4:$C$188,C42,'國外委外明細'!$E$4:$E$188,E42,'國外委外明細'!$J$4:$J$188,"&lt;&gt;"),0)</x:f>
        <x:v>0</x:v>
      </x:c>
      <x:c r="J42" s="31" t="str">
        <x:v>美元</x:v>
      </x:c>
      <x:c r="K42" s="32" t="str">
        <x:v>勞工退休基金-115年7月.pdf</x:v>
      </x:c>
    </x:row>
    <x:row r="43">
      <x:c r="A43" s="37" t="n">
        <x:v>46204</x:v>
      </x:c>
      <x:c r="B43" s="31" t="str">
        <x:v>115年7月</x:v>
      </x:c>
      <x:c r="C43" s="31" t="str">
        <x:v>新制</x:v>
      </x:c>
      <x:c r="D43" s="31" t="str">
        <x:v>國外</x:v>
      </x:c>
      <x:c r="E43" s="31" t="str">
        <x:v>100-1全球不動產有價證券型（續約2）</x:v>
      </x:c>
      <x:c r="F43" s="40" t="n">
        <x:f>SUMIFS('國外委外明細'!$G$4:$G$188,'國外委外明細'!$A$4:$A$188,A43,'國外委外明細'!$C$4:$C$188,C43,'國外委外明細'!$E$4:$E$188,E43)</x:f>
        <x:v>3973059884</x:v>
      </x:c>
      <x:c r="G43" s="40" t="n">
        <x:f>SUMIFS('國外委外明細'!$H$4:$H$188,'國外委外明細'!$A$4:$A$188,A43,'國外委外明細'!$C$4:$C$188,C43,'國外委外明細'!$E$4:$E$188,E43)</x:f>
        <x:v>4494318992</x:v>
      </x:c>
      <x:c r="H43" s="43" t="n">
        <x:f>IFERROR(G43/F43-1,0)</x:f>
        <x:v>0.13119840204250988</x:v>
      </x:c>
      <x:c r="I43" s="43" t="n">
        <x:f>IFERROR(SUMIFS('國外委外明細'!$J$4:$J$188,'國外委外明細'!$A$4:$A$188,A43,'國外委外明細'!$C$4:$C$188,C43,'國外委外明細'!$E$4:$E$188,E43)/COUNTIFS('國外委外明細'!$A$4:$A$188,A43,'國外委外明細'!$C$4:$C$188,C43,'國外委外明細'!$E$4:$E$188,E43,'國外委外明細'!$J$4:$J$188,"&lt;&gt;"),0)</x:f>
        <x:v>0</x:v>
      </x:c>
      <x:c r="J43" s="31" t="str">
        <x:v>美元</x:v>
      </x:c>
      <x:c r="K43" s="32" t="str">
        <x:v>勞工退休基金-115年7月.pdf</x:v>
      </x:c>
    </x:row>
    <x:row r="44">
      <x:c r="A44" s="37" t="n">
        <x:v>46204</x:v>
      </x:c>
      <x:c r="B44" s="31" t="str">
        <x:v>115年7月</x:v>
      </x:c>
      <x:c r="C44" s="31" t="str">
        <x:v>新制</x:v>
      </x:c>
      <x:c r="D44" s="31" t="str">
        <x:v>國外</x:v>
      </x:c>
      <x:c r="E44" s="31" t="str">
        <x:v>101-1全球新興市場主動債券型（續約2）</x:v>
      </x:c>
      <x:c r="F44" s="40" t="n">
        <x:f>SUMIFS('國外委外明細'!$G$4:$G$188,'國外委外明細'!$A$4:$A$188,A44,'國外委外明細'!$C$4:$C$188,C44,'國外委外明細'!$E$4:$E$188,E44)</x:f>
        <x:v>618843493</x:v>
      </x:c>
      <x:c r="G44" s="40" t="n">
        <x:f>SUMIFS('國外委外明細'!$H$4:$H$188,'國外委外明細'!$A$4:$A$188,A44,'國外委外明細'!$C$4:$C$188,C44,'國外委外明細'!$E$4:$E$188,E44)</x:f>
        <x:v>769778438</x:v>
      </x:c>
      <x:c r="H44" s="43" t="n">
        <x:f>IFERROR(G44/F44-1,0)</x:f>
        <x:v>0.24389841164573745</x:v>
      </x:c>
      <x:c r="I44" s="43" t="n">
        <x:f>IFERROR(SUMIFS('國外委外明細'!$J$4:$J$188,'國外委外明細'!$A$4:$A$188,A44,'國外委外明細'!$C$4:$C$188,C44,'國外委外明細'!$E$4:$E$188,E44)/COUNTIFS('國外委外明細'!$A$4:$A$188,A44,'國外委外明細'!$C$4:$C$188,C44,'國外委外明細'!$E$4:$E$188,E44,'國外委外明細'!$J$4:$J$188,"&lt;&gt;"),0)</x:f>
        <x:v>0</x:v>
      </x:c>
      <x:c r="J44" s="31" t="str">
        <x:v>美元</x:v>
      </x:c>
      <x:c r="K44" s="32" t="str">
        <x:v>勞工退休基金-115年7月.pdf</x:v>
      </x:c>
    </x:row>
    <x:row r="45">
      <x:c r="A45" s="37" t="n">
        <x:v>46204</x:v>
      </x:c>
      <x:c r="B45" s="31" t="str">
        <x:v>115年7月</x:v>
      </x:c>
      <x:c r="C45" s="31" t="str">
        <x:v>新制</x:v>
      </x:c>
      <x:c r="D45" s="31" t="str">
        <x:v>國外</x:v>
      </x:c>
      <x:c r="E45" s="31" t="str">
        <x:v>101-1全球低波動指數被動股票型（續約2）</x:v>
      </x:c>
      <x:c r="F45" s="40" t="n">
        <x:f>SUMIFS('國外委外明細'!$G$4:$G$188,'國外委外明細'!$A$4:$A$188,A45,'國外委外明細'!$C$4:$C$188,C45,'國外委外明細'!$E$4:$E$188,E45)</x:f>
        <x:v>2615403946</x:v>
      </x:c>
      <x:c r="G45" s="40" t="n">
        <x:f>SUMIFS('國外委外明細'!$H$4:$H$188,'國外委外明細'!$A$4:$A$188,A45,'國外委外明細'!$C$4:$C$188,C45,'國外委外明細'!$E$4:$E$188,E45)</x:f>
        <x:v>3447860340</x:v>
      </x:c>
      <x:c r="H45" s="43" t="n">
        <x:f>IFERROR(G45/F45-1,0)</x:f>
        <x:v>0.31828979812971503</x:v>
      </x:c>
      <x:c r="I45" s="43" t="n">
        <x:f>IFERROR(SUMIFS('國外委外明細'!$J$4:$J$188,'國外委外明細'!$A$4:$A$188,A45,'國外委外明細'!$C$4:$C$188,C45,'國外委外明細'!$E$4:$E$188,E45)/COUNTIFS('國外委外明細'!$A$4:$A$188,A45,'國外委外明細'!$C$4:$C$188,C45,'國外委外明細'!$E$4:$E$188,E45,'國外委外明細'!$J$4:$J$188,"&lt;&gt;"),0)</x:f>
        <x:v>0</x:v>
      </x:c>
      <x:c r="J45" s="31" t="str">
        <x:v>美元</x:v>
      </x:c>
      <x:c r="K45" s="32" t="str">
        <x:v>勞工退休基金-115年7月.pdf</x:v>
      </x:c>
    </x:row>
    <x:row r="46">
      <x:c r="A46" s="37" t="n">
        <x:v>46204</x:v>
      </x:c>
      <x:c r="B46" s="31" t="str">
        <x:v>115年7月</x:v>
      </x:c>
      <x:c r="C46" s="31" t="str">
        <x:v>新制</x:v>
      </x:c>
      <x:c r="D46" s="31" t="str">
        <x:v>國外</x:v>
      </x:c>
      <x:c r="E46" s="31" t="str">
        <x:v>102-1全球高股利增值股票型（續約2）</x:v>
      </x:c>
      <x:c r="F46" s="40" t="n">
        <x:f>SUMIFS('國外委外明細'!$G$4:$G$188,'國外委外明細'!$A$4:$A$188,A46,'國外委外明細'!$C$4:$C$188,C46,'國外委外明細'!$E$4:$E$188,E46)</x:f>
        <x:v>4468396599</x:v>
      </x:c>
      <x:c r="G46" s="40" t="n">
        <x:f>SUMIFS('國外委外明細'!$H$4:$H$188,'國外委外明細'!$A$4:$A$188,A46,'國外委外明細'!$C$4:$C$188,C46,'國外委外明細'!$E$4:$E$188,E46)</x:f>
        <x:v>6174340158</x:v>
      </x:c>
      <x:c r="H46" s="43" t="n">
        <x:f>IFERROR(G46/F46-1,0)</x:f>
        <x:v>0.3817797998015171</x:v>
      </x:c>
      <x:c r="I46" s="43" t="n">
        <x:f>IFERROR(SUMIFS('國外委外明細'!$J$4:$J$188,'國外委外明細'!$A$4:$A$188,A46,'國外委外明細'!$C$4:$C$188,C46,'國外委外明細'!$E$4:$E$188,E46)/COUNTIFS('國外委外明細'!$A$4:$A$188,A46,'國外委外明細'!$C$4:$C$188,C46,'國外委外明細'!$E$4:$E$188,E46,'國外委外明細'!$J$4:$J$188,"&lt;&gt;"),0)</x:f>
        <x:v>0</x:v>
      </x:c>
      <x:c r="J46" s="31" t="str">
        <x:v>美元</x:v>
      </x:c>
      <x:c r="K46" s="32" t="str">
        <x:v>勞工退休基金-115年7月.pdf</x:v>
      </x:c>
    </x:row>
    <x:row r="47">
      <x:c r="A47" s="37" t="n">
        <x:v>46204</x:v>
      </x:c>
      <x:c r="B47" s="31" t="str">
        <x:v>115年7月</x:v>
      </x:c>
      <x:c r="C47" s="31" t="str">
        <x:v>新制</x:v>
      </x:c>
      <x:c r="D47" s="31" t="str">
        <x:v>國外</x:v>
      </x:c>
      <x:c r="E47" s="31" t="str">
        <x:v>102-1全球信用主動債券型（續約2）</x:v>
      </x:c>
      <x:c r="F47" s="40" t="n">
        <x:f>SUMIFS('國外委外明細'!$G$4:$G$188,'國外委外明細'!$A$4:$A$188,A47,'國外委外明細'!$C$4:$C$188,C47,'國外委外明細'!$E$4:$E$188,E47)</x:f>
        <x:v>2798513681</x:v>
      </x:c>
      <x:c r="G47" s="40" t="n">
        <x:f>SUMIFS('國外委外明細'!$H$4:$H$188,'國外委外明細'!$A$4:$A$188,A47,'國外委外明細'!$C$4:$C$188,C47,'國外委外明細'!$E$4:$E$188,E47)</x:f>
        <x:v>3178277891</x:v>
      </x:c>
      <x:c r="H47" s="43" t="n">
        <x:f>IFERROR(G47/F47-1,0)</x:f>
        <x:v>0.13570210950846517</x:v>
      </x:c>
      <x:c r="I47" s="43" t="n">
        <x:f>IFERROR(SUMIFS('國外委外明細'!$J$4:$J$188,'國外委外明細'!$A$4:$A$188,A47,'國外委外明細'!$C$4:$C$188,C47,'國外委外明細'!$E$4:$E$188,E47)/COUNTIFS('國外委外明細'!$A$4:$A$188,A47,'國外委外明細'!$C$4:$C$188,C47,'國外委外明細'!$E$4:$E$188,E47,'國外委外明細'!$J$4:$J$188,"&lt;&gt;"),0)</x:f>
        <x:v>0</x:v>
      </x:c>
      <x:c r="J47" s="31" t="str">
        <x:v>美元</x:v>
      </x:c>
      <x:c r="K47" s="32" t="str">
        <x:v>勞工退休基金-115年7月.pdf</x:v>
      </x:c>
    </x:row>
    <x:row r="48">
      <x:c r="A48" s="37" t="n">
        <x:v>46204</x:v>
      </x:c>
      <x:c r="B48" s="31" t="str">
        <x:v>115年7月</x:v>
      </x:c>
      <x:c r="C48" s="31" t="str">
        <x:v>新制</x:v>
      </x:c>
      <x:c r="D48" s="31" t="str">
        <x:v>國外</x:v>
      </x:c>
      <x:c r="E48" s="31" t="str">
        <x:v>104-1全球高品質被動股票型（續約2）</x:v>
      </x:c>
      <x:c r="F48" s="40" t="n">
        <x:f>SUMIFS('國外委外明細'!$G$4:$G$188,'國外委外明細'!$A$4:$A$188,A48,'國外委外明細'!$C$4:$C$188,C48,'國外委外明細'!$E$4:$E$188,E48)</x:f>
        <x:v>9619675493</x:v>
      </x:c>
      <x:c r="G48" s="40" t="n">
        <x:f>SUMIFS('國外委外明細'!$H$4:$H$188,'國外委外明細'!$A$4:$A$188,A48,'國外委外明細'!$C$4:$C$188,C48,'國外委外明細'!$E$4:$E$188,E48)</x:f>
        <x:v>11623847936</x:v>
      </x:c>
      <x:c r="H48" s="43" t="n">
        <x:f>IFERROR(G48/F48-1,0)</x:f>
        <x:v>0.20834096165285265</x:v>
      </x:c>
      <x:c r="I48" s="43" t="n">
        <x:f>IFERROR(SUMIFS('國外委外明細'!$J$4:$J$188,'國外委外明細'!$A$4:$A$188,A48,'國外委外明細'!$C$4:$C$188,C48,'國外委外明細'!$E$4:$E$188,E48)/COUNTIFS('國外委外明細'!$A$4:$A$188,A48,'國外委外明細'!$C$4:$C$188,C48,'國外委外明細'!$E$4:$E$188,E48,'國外委外明細'!$J$4:$J$188,"&lt;&gt;"),0)</x:f>
        <x:v>0</x:v>
      </x:c>
      <x:c r="J48" s="31" t="str">
        <x:v>美元</x:v>
      </x:c>
      <x:c r="K48" s="32" t="str">
        <x:v>勞工退休基金-115年7月.pdf</x:v>
      </x:c>
    </x:row>
    <x:row r="49">
      <x:c r="A49" s="37" t="n">
        <x:v>46204</x:v>
      </x:c>
      <x:c r="B49" s="31" t="str">
        <x:v>115年7月</x:v>
      </x:c>
      <x:c r="C49" s="31" t="str">
        <x:v>新制</x:v>
      </x:c>
      <x:c r="D49" s="31" t="str">
        <x:v>國外</x:v>
      </x:c>
      <x:c r="E49" s="31" t="str">
        <x:v>104-2全球基礎建設有價證券型（續約2）</x:v>
      </x:c>
      <x:c r="F49" s="40" t="n">
        <x:f>SUMIFS('國外委外明細'!$G$4:$G$188,'國外委外明細'!$A$4:$A$188,A49,'國外委外明細'!$C$4:$C$188,C49,'國外委外明細'!$E$4:$E$188,E49)</x:f>
        <x:v>2827776282</x:v>
      </x:c>
      <x:c r="G49" s="40" t="n">
        <x:f>SUMIFS('國外委外明細'!$H$4:$H$188,'國外委外明細'!$A$4:$A$188,A49,'國外委外明細'!$C$4:$C$188,C49,'國外委外明細'!$E$4:$E$188,E49)</x:f>
        <x:v>3155096751</x:v>
      </x:c>
      <x:c r="H49" s="43" t="n">
        <x:f>IFERROR(G49/F49-1,0)</x:f>
        <x:v>0.11575189702365574</x:v>
      </x:c>
      <x:c r="I49" s="43" t="n">
        <x:f>IFERROR(SUMIFS('國外委外明細'!$J$4:$J$188,'國外委外明細'!$A$4:$A$188,A49,'國外委外明細'!$C$4:$C$188,C49,'國外委外明細'!$E$4:$E$188,E49)/COUNTIFS('國外委外明細'!$A$4:$A$188,A49,'國外委外明細'!$C$4:$C$188,C49,'國外委外明細'!$E$4:$E$188,E49,'國外委外明細'!$J$4:$J$188,"&lt;&gt;"),0)</x:f>
        <x:v>0</x:v>
      </x:c>
      <x:c r="J49" s="31" t="str">
        <x:v>美元</x:v>
      </x:c>
      <x:c r="K49" s="32" t="str">
        <x:v>勞工退休基金-115年7月.pdf</x:v>
      </x:c>
    </x:row>
    <x:row r="50">
      <x:c r="A50" s="37" t="n">
        <x:v>46204</x:v>
      </x:c>
      <x:c r="B50" s="31" t="str">
        <x:v>115年7月</x:v>
      </x:c>
      <x:c r="C50" s="31" t="str">
        <x:v>新制</x:v>
      </x:c>
      <x:c r="D50" s="31" t="str">
        <x:v>國外</x:v>
      </x:c>
      <x:c r="E50" s="31" t="str">
        <x:v>105-1亞太混合指數增值股票型(續約)</x:v>
      </x:c>
      <x:c r="F50" s="40" t="n">
        <x:f>SUMIFS('國外委外明細'!$G$4:$G$188,'國外委外明細'!$A$4:$A$188,A50,'國外委外明細'!$C$4:$C$188,C50,'國外委外明細'!$E$4:$E$188,E50)</x:f>
        <x:v>949175052</x:v>
      </x:c>
      <x:c r="G50" s="40" t="n">
        <x:f>SUMIFS('國外委外明細'!$H$4:$H$188,'國外委外明細'!$A$4:$A$188,A50,'國外委外明細'!$C$4:$C$188,C50,'國外委外明細'!$E$4:$E$188,E50)</x:f>
        <x:v>1656860388</x:v>
      </x:c>
      <x:c r="H50" s="43" t="n">
        <x:f>IFERROR(G50/F50-1,0)</x:f>
        <x:v>0.7455793686410543</x:v>
      </x:c>
      <x:c r="I50" s="43" t="n">
        <x:f>IFERROR(SUMIFS('國外委外明細'!$J$4:$J$188,'國外委外明細'!$A$4:$A$188,A50,'國外委外明細'!$C$4:$C$188,C50,'國外委外明細'!$E$4:$E$188,E50)/COUNTIFS('國外委外明細'!$A$4:$A$188,A50,'國外委外明細'!$C$4:$C$188,C50,'國外委外明細'!$E$4:$E$188,E50,'國外委外明細'!$J$4:$J$188,"&lt;&gt;"),0)</x:f>
        <x:v>0</x:v>
      </x:c>
      <x:c r="J50" s="31" t="str">
        <x:v>美元</x:v>
      </x:c>
      <x:c r="K50" s="32" t="str">
        <x:v>勞工退休基金-115年7月.pdf</x:v>
      </x:c>
    </x:row>
    <x:row r="51">
      <x:c r="A51" s="37" t="n">
        <x:v>46204</x:v>
      </x:c>
      <x:c r="B51" s="31" t="str">
        <x:v>115年7月</x:v>
      </x:c>
      <x:c r="C51" s="31" t="str">
        <x:v>新制</x:v>
      </x:c>
      <x:c r="D51" s="31" t="str">
        <x:v>國外</x:v>
      </x:c>
      <x:c r="E51" s="31" t="str">
        <x:v>106-1全球ESG混合指數被動股票型(續約)</x:v>
      </x:c>
      <x:c r="F51" s="40" t="n">
        <x:f>SUMIFS('國外委外明細'!$G$4:$G$188,'國外委外明細'!$A$4:$A$188,A51,'國外委外明細'!$C$4:$C$188,C51,'國外委外明細'!$E$4:$E$188,E51)</x:f>
        <x:v>3101360175</x:v>
      </x:c>
      <x:c r="G51" s="40" t="n">
        <x:f>SUMIFS('國外委外明細'!$H$4:$H$188,'國外委外明細'!$A$4:$A$188,A51,'國外委外明細'!$C$4:$C$188,C51,'國外委外明細'!$E$4:$E$188,E51)</x:f>
        <x:v>5646832072</x:v>
      </x:c>
      <x:c r="H51" s="43" t="n">
        <x:f>IFERROR(G51/F51-1,0)</x:f>
        <x:v>0.8207598451540701</x:v>
      </x:c>
      <x:c r="I51" s="43" t="n">
        <x:f>IFERROR(SUMIFS('國外委外明細'!$J$4:$J$188,'國外委外明細'!$A$4:$A$188,A51,'國外委外明細'!$C$4:$C$188,C51,'國外委外明細'!$E$4:$E$188,E51)/COUNTIFS('國外委外明細'!$A$4:$A$188,A51,'國外委外明細'!$C$4:$C$188,C51,'國外委外明細'!$E$4:$E$188,E51,'國外委外明細'!$J$4:$J$188,"&lt;&gt;"),0)</x:f>
        <x:v>0</x:v>
      </x:c>
      <x:c r="J51" s="31" t="str">
        <x:v>美元</x:v>
      </x:c>
      <x:c r="K51" s="32" t="str">
        <x:v>勞工退休基金-115年7月.pdf</x:v>
      </x:c>
    </x:row>
    <x:row r="52">
      <x:c r="A52" s="37" t="n">
        <x:v>46204</x:v>
      </x:c>
      <x:c r="B52" s="31" t="str">
        <x:v>115年7月</x:v>
      </x:c>
      <x:c r="C52" s="31" t="str">
        <x:v>新制</x:v>
      </x:c>
      <x:c r="D52" s="31" t="str">
        <x:v>國外</x:v>
      </x:c>
      <x:c r="E52" s="31" t="str">
        <x:v>106-1絕對報酬債券型(續約)</x:v>
      </x:c>
      <x:c r="F52" s="40" t="n">
        <x:f>SUMIFS('國外委外明細'!$G$4:$G$188,'國外委外明細'!$A$4:$A$188,A52,'國外委外明細'!$C$4:$C$188,C52,'國外委外明細'!$E$4:$E$188,E52)</x:f>
        <x:v>2372190430</x:v>
      </x:c>
      <x:c r="G52" s="40" t="n">
        <x:f>SUMIFS('國外委外明細'!$H$4:$H$188,'國外委外明細'!$A$4:$A$188,A52,'國外委外明細'!$C$4:$C$188,C52,'國外委外明細'!$E$4:$E$188,E52)</x:f>
        <x:v>2976089335</x:v>
      </x:c>
      <x:c r="H52" s="43" t="n">
        <x:f>IFERROR(G52/F52-1,0)</x:f>
        <x:v>0.2545743787525523</x:v>
      </x:c>
      <x:c r="I52" s="43" t="n">
        <x:f>IFERROR(SUMIFS('國外委外明細'!$J$4:$J$188,'國外委外明細'!$A$4:$A$188,A52,'國外委外明細'!$C$4:$C$188,C52,'國外委外明細'!$E$4:$E$188,E52)/COUNTIFS('國外委外明細'!$A$4:$A$188,A52,'國外委外明細'!$C$4:$C$188,C52,'國外委外明細'!$E$4:$E$188,E52,'國外委外明細'!$J$4:$J$188,"&lt;&gt;"),0)</x:f>
        <x:v>0</x:v>
      </x:c>
      <x:c r="J52" s="31" t="str">
        <x:v>美元</x:v>
      </x:c>
      <x:c r="K52" s="32" t="str">
        <x:v>勞工退休基金-115年7月.pdf</x:v>
      </x:c>
    </x:row>
    <x:row r="53">
      <x:c r="A53" s="37" t="n">
        <x:v>46204</x:v>
      </x:c>
      <x:c r="B53" s="31" t="str">
        <x:v>115年7月</x:v>
      </x:c>
      <x:c r="C53" s="31" t="str">
        <x:v>新制</x:v>
      </x:c>
      <x:c r="D53" s="31" t="str">
        <x:v>國外</x:v>
      </x:c>
      <x:c r="E53" s="31" t="str">
        <x:v>107-1絕對報酬股票型（續約）</x:v>
      </x:c>
      <x:c r="F53" s="40" t="n">
        <x:f>SUMIFS('國外委外明細'!$G$4:$G$188,'國外委外明細'!$A$4:$A$188,A53,'國外委外明細'!$C$4:$C$188,C53,'國外委外明細'!$E$4:$E$188,E53)</x:f>
        <x:v>5127486283</x:v>
      </x:c>
      <x:c r="G53" s="40" t="n">
        <x:f>SUMIFS('國外委外明細'!$H$4:$H$188,'國外委外明細'!$A$4:$A$188,A53,'國外委外明細'!$C$4:$C$188,C53,'國外委外明細'!$E$4:$E$188,E53)</x:f>
        <x:v>7241860834</x:v>
      </x:c>
      <x:c r="H53" s="43" t="n">
        <x:f>IFERROR(G53/F53-1,0)</x:f>
        <x:v>0.41236084004946716</x:v>
      </x:c>
      <x:c r="I53" s="43" t="n">
        <x:f>IFERROR(SUMIFS('國外委外明細'!$J$4:$J$188,'國外委外明細'!$A$4:$A$188,A53,'國外委外明細'!$C$4:$C$188,C53,'國外委外明細'!$E$4:$E$188,E53)/COUNTIFS('國外委外明細'!$A$4:$A$188,A53,'國外委外明細'!$C$4:$C$188,C53,'國外委外明細'!$E$4:$E$188,E53,'國外委外明細'!$J$4:$J$188,"&lt;&gt;"),0)</x:f>
        <x:v>0</x:v>
      </x:c>
      <x:c r="J53" s="31" t="str">
        <x:v>美元</x:v>
      </x:c>
      <x:c r="K53" s="32" t="str">
        <x:v>勞工退休基金-115年7月.pdf</x:v>
      </x:c>
    </x:row>
    <x:row r="54">
      <x:c r="A54" s="37" t="n">
        <x:v>46204</x:v>
      </x:c>
      <x:c r="B54" s="31" t="str">
        <x:v>115年7月</x:v>
      </x:c>
      <x:c r="C54" s="31" t="str">
        <x:v>新制</x:v>
      </x:c>
      <x:c r="D54" s="31" t="str">
        <x:v>國外</x:v>
      </x:c>
      <x:c r="E54" s="31" t="str">
        <x:v>109-1全球美元公司增值債券型(續約)</x:v>
      </x:c>
      <x:c r="F54" s="40" t="n">
        <x:f>SUMIFS('國外委外明細'!$G$4:$G$188,'國外委外明細'!$A$4:$A$188,A54,'國外委外明細'!$C$4:$C$188,C54,'國外委外明細'!$E$4:$E$188,E54)</x:f>
        <x:v>2292631829</x:v>
      </x:c>
      <x:c r="G54" s="40" t="n">
        <x:f>SUMIFS('國外委外明細'!$H$4:$H$188,'國外委外明細'!$A$4:$A$188,A54,'國外委外明細'!$C$4:$C$188,C54,'國外委外明細'!$E$4:$E$188,E54)</x:f>
        <x:v>2271969268</x:v>
      </x:c>
      <x:c r="H54" s="43" t="n">
        <x:f>IFERROR(G54/F54-1,0)</x:f>
        <x:v>-0.009012594494517079</x:v>
      </x:c>
      <x:c r="I54" s="43" t="n">
        <x:f>IFERROR(SUMIFS('國外委外明細'!$J$4:$J$188,'國外委外明細'!$A$4:$A$188,A54,'國外委外明細'!$C$4:$C$188,C54,'國外委外明細'!$E$4:$E$188,E54)/COUNTIFS('國外委外明細'!$A$4:$A$188,A54,'國外委外明細'!$C$4:$C$188,C54,'國外委外明細'!$E$4:$E$188,E54,'國外委外明細'!$J$4:$J$188,"&lt;&gt;"),0)</x:f>
        <x:v>0</x:v>
      </x:c>
      <x:c r="J54" s="31" t="str">
        <x:v>美元</x:v>
      </x:c>
      <x:c r="K54" s="32" t="str">
        <x:v>勞工退休基金-115年7月.pdf</x:v>
      </x:c>
    </x:row>
    <x:row r="55">
      <x:c r="A55" s="37" t="n">
        <x:v>46204</x:v>
      </x:c>
      <x:c r="B55" s="31" t="str">
        <x:v>115年7月</x:v>
      </x:c>
      <x:c r="C55" s="31" t="str">
        <x:v>新制</x:v>
      </x:c>
      <x:c r="D55" s="31" t="str">
        <x:v>國外</x:v>
      </x:c>
      <x:c r="E55" s="31" t="str">
        <x:v>110-1全球基礎建設有價證券型</x:v>
      </x:c>
      <x:c r="F55" s="40" t="n">
        <x:f>SUMIFS('國外委外明細'!$G$4:$G$188,'國外委外明細'!$A$4:$A$188,A55,'國外委外明細'!$C$4:$C$188,C55,'國外委外明細'!$E$4:$E$188,E55)</x:f>
        <x:v>1910000000</x:v>
      </x:c>
      <x:c r="G55" s="40" t="n">
        <x:f>SUMIFS('國外委外明細'!$H$4:$H$188,'國外委外明細'!$A$4:$A$188,A55,'國外委外明細'!$C$4:$C$188,C55,'國外委外明細'!$E$4:$E$188,E55)</x:f>
        <x:v>2607728903</x:v>
      </x:c>
      <x:c r="H55" s="43" t="n">
        <x:f>IFERROR(G55/F55-1,0)</x:f>
        <x:v>0.36530309057591626</x:v>
      </x:c>
      <x:c r="I55" s="43" t="n">
        <x:f>IFERROR(SUMIFS('國外委外明細'!$J$4:$J$188,'國外委外明細'!$A$4:$A$188,A55,'國外委外明細'!$C$4:$C$188,C55,'國外委外明細'!$E$4:$E$188,E55)/COUNTIFS('國外委外明細'!$A$4:$A$188,A55,'國外委外明細'!$C$4:$C$188,C55,'國外委外明細'!$E$4:$E$188,E55,'國外委外明細'!$J$4:$J$188,"&lt;&gt;"),0)</x:f>
        <x:v>0</x:v>
      </x:c>
      <x:c r="J55" s="31" t="str">
        <x:v>美元</x:v>
      </x:c>
      <x:c r="K55" s="32" t="str">
        <x:v>勞工退休基金-115年7月.pdf</x:v>
      </x:c>
    </x:row>
    <x:row r="56">
      <x:c r="A56" s="37" t="n">
        <x:v>46204</x:v>
      </x:c>
      <x:c r="B56" s="31" t="str">
        <x:v>115年7月</x:v>
      </x:c>
      <x:c r="C56" s="31" t="str">
        <x:v>新制</x:v>
      </x:c>
      <x:c r="D56" s="31" t="str">
        <x:v>國外</x:v>
      </x:c>
      <x:c r="E56" s="31" t="str">
        <x:v>110-1全球多元資產型</x:v>
      </x:c>
      <x:c r="F56" s="40" t="n">
        <x:f>SUMIFS('國外委外明細'!$G$4:$G$188,'國外委外明細'!$A$4:$A$188,A56,'國外委外明細'!$C$4:$C$188,C56,'國外委外明細'!$E$4:$E$188,E56)</x:f>
        <x:v>2000000000</x:v>
      </x:c>
      <x:c r="G56" s="40" t="n">
        <x:f>SUMIFS('國外委外明細'!$H$4:$H$188,'國外委外明細'!$A$4:$A$188,A56,'國外委外明細'!$C$4:$C$188,C56,'國外委外明細'!$E$4:$E$188,E56)</x:f>
        <x:v>2542790283</x:v>
      </x:c>
      <x:c r="H56" s="43" t="n">
        <x:f>IFERROR(G56/F56-1,0)</x:f>
        <x:v>0.2713951415</x:v>
      </x:c>
      <x:c r="I56" s="43" t="n">
        <x:f>IFERROR(SUMIFS('國外委外明細'!$J$4:$J$188,'國外委外明細'!$A$4:$A$188,A56,'國外委外明細'!$C$4:$C$188,C56,'國外委外明細'!$E$4:$E$188,E56)/COUNTIFS('國外委外明細'!$A$4:$A$188,A56,'國外委外明細'!$C$4:$C$188,C56,'國外委外明細'!$E$4:$E$188,E56,'國外委外明細'!$J$4:$J$188,"&lt;&gt;"),0)</x:f>
        <x:v>0</x:v>
      </x:c>
      <x:c r="J56" s="31" t="str">
        <x:v>美元</x:v>
      </x:c>
      <x:c r="K56" s="32" t="str">
        <x:v>勞工退休基金-115年7月.pdf</x:v>
      </x:c>
    </x:row>
    <x:row r="57">
      <x:c r="A57" s="37" t="n">
        <x:v>46204</x:v>
      </x:c>
      <x:c r="B57" s="31" t="str">
        <x:v>115年7月</x:v>
      </x:c>
      <x:c r="C57" s="31" t="str">
        <x:v>新制</x:v>
      </x:c>
      <x:c r="D57" s="31" t="str">
        <x:v>國外</x:v>
      </x:c>
      <x:c r="E57" s="31" t="str">
        <x:v>111-1全球氣候變遷增值股票型</x:v>
      </x:c>
      <x:c r="F57" s="40" t="n">
        <x:f>SUMIFS('國外委外明細'!$G$4:$G$188,'國外委外明細'!$A$4:$A$188,A57,'國外委外明細'!$C$4:$C$188,C57,'國外委外明細'!$E$4:$E$188,E57)</x:f>
        <x:v>2000000000</x:v>
      </x:c>
      <x:c r="G57" s="40" t="n">
        <x:f>SUMIFS('國外委外明細'!$H$4:$H$188,'國外委外明細'!$A$4:$A$188,A57,'國外委外明細'!$C$4:$C$188,C57,'國外委外明細'!$E$4:$E$188,E57)</x:f>
        <x:v>3010500968</x:v>
      </x:c>
      <x:c r="H57" s="43" t="n">
        <x:f>IFERROR(G57/F57-1,0)</x:f>
        <x:v>0.505250484</x:v>
      </x:c>
      <x:c r="I57" s="43" t="n">
        <x:f>IFERROR(SUMIFS('國外委外明細'!$J$4:$J$188,'國外委外明細'!$A$4:$A$188,A57,'國外委外明細'!$C$4:$C$188,C57,'國外委外明細'!$E$4:$E$188,E57)/COUNTIFS('國外委外明細'!$A$4:$A$188,A57,'國外委外明細'!$C$4:$C$188,C57,'國外委外明細'!$E$4:$E$188,E57,'國外委外明細'!$J$4:$J$188,"&lt;&gt;"),0)</x:f>
        <x:v>0</x:v>
      </x:c>
      <x:c r="J57" s="31" t="str">
        <x:v>美元</x:v>
      </x:c>
      <x:c r="K57" s="32" t="str">
        <x:v>勞工退休基金-115年7月.pdf</x:v>
      </x:c>
    </x:row>
    <x:row r="58">
      <x:c r="A58" s="37" t="n">
        <x:v>46204</x:v>
      </x:c>
      <x:c r="B58" s="31" t="str">
        <x:v>115年7月</x:v>
      </x:c>
      <x:c r="C58" s="31" t="str">
        <x:v>新制</x:v>
      </x:c>
      <x:c r="D58" s="31" t="str">
        <x:v>國外</x:v>
      </x:c>
      <x:c r="E58" s="31" t="str">
        <x:v>111-2絕對報酬債券型</x:v>
      </x:c>
      <x:c r="F58" s="40" t="n">
        <x:f>SUMIFS('國外委外明細'!$G$4:$G$188,'國外委外明細'!$A$4:$A$188,A58,'國外委外明細'!$C$4:$C$188,C58,'國外委外明細'!$E$4:$E$188,E58)</x:f>
        <x:v>3200000000</x:v>
      </x:c>
      <x:c r="G58" s="40" t="n">
        <x:f>SUMIFS('國外委外明細'!$H$4:$H$188,'國外委外明細'!$A$4:$A$188,A58,'國外委外明細'!$C$4:$C$188,C58,'國外委外明細'!$E$4:$E$188,E58)</x:f>
        <x:v>3686550456</x:v>
      </x:c>
      <x:c r="H58" s="43" t="n">
        <x:f>IFERROR(G58/F58-1,0)</x:f>
        <x:v>0.15204701749999994</x:v>
      </x:c>
      <x:c r="I58" s="43" t="n">
        <x:f>IFERROR(SUMIFS('國外委外明細'!$J$4:$J$188,'國外委外明細'!$A$4:$A$188,A58,'國外委外明細'!$C$4:$C$188,C58,'國外委外明細'!$E$4:$E$188,E58)/COUNTIFS('國外委外明細'!$A$4:$A$188,A58,'國外委外明細'!$C$4:$C$188,C58,'國外委外明細'!$E$4:$E$188,E58,'國外委外明細'!$J$4:$J$188,"&lt;&gt;"),0)</x:f>
        <x:v>0</x:v>
      </x:c>
      <x:c r="J58" s="31" t="str">
        <x:v>美元</x:v>
      </x:c>
      <x:c r="K58" s="32" t="str">
        <x:v>勞工退休基金-115年7月.pdf</x:v>
      </x:c>
    </x:row>
    <x:row r="59">
      <x:c r="A59" s="37" t="n">
        <x:v>46204</x:v>
      </x:c>
      <x:c r="B59" s="31" t="str">
        <x:v>115年7月</x:v>
      </x:c>
      <x:c r="C59" s="31" t="str">
        <x:v>新制</x:v>
      </x:c>
      <x:c r="D59" s="31" t="str">
        <x:v>國外</x:v>
      </x:c>
      <x:c r="E59" s="31" t="str">
        <x:v>112-1全球被動股票型</x:v>
      </x:c>
      <x:c r="F59" s="40" t="n">
        <x:f>SUMIFS('國外委外明細'!$G$4:$G$188,'國外委外明細'!$A$4:$A$188,A59,'國外委外明細'!$C$4:$C$188,C59,'國外委外明細'!$E$4:$E$188,E59)</x:f>
        <x:v>1600000000</x:v>
      </x:c>
      <x:c r="G59" s="40" t="n">
        <x:f>SUMIFS('國外委外明細'!$H$4:$H$188,'國外委外明細'!$A$4:$A$188,A59,'國外委外明細'!$C$4:$C$188,C59,'國外委外明細'!$E$4:$E$188,E59)</x:f>
        <x:v>2168929512</x:v>
      </x:c>
      <x:c r="H59" s="43" t="n">
        <x:f>IFERROR(G59/F59-1,0)</x:f>
        <x:v>0.35558094500000004</x:v>
      </x:c>
      <x:c r="I59" s="43" t="n">
        <x:f>IFERROR(SUMIFS('國外委外明細'!$J$4:$J$188,'國外委外明細'!$A$4:$A$188,A59,'國外委外明細'!$C$4:$C$188,C59,'國外委外明細'!$E$4:$E$188,E59)/COUNTIFS('國外委外明細'!$A$4:$A$188,A59,'國外委外明細'!$C$4:$C$188,C59,'國外委外明細'!$E$4:$E$188,E59,'國外委外明細'!$J$4:$J$188,"&lt;&gt;"),0)</x:f>
        <x:v>0</x:v>
      </x:c>
      <x:c r="J59" s="31" t="str">
        <x:v>美元</x:v>
      </x:c>
      <x:c r="K59" s="32" t="str">
        <x:v>勞工退休基金-115年7月.pdf</x:v>
      </x:c>
    </x:row>
    <x:row r="60">
      <x:c r="A60" s="37" t="n">
        <x:v>46204</x:v>
      </x:c>
      <x:c r="B60" s="31" t="str">
        <x:v>115年7月</x:v>
      </x:c>
      <x:c r="C60" s="31" t="str">
        <x:v>新制</x:v>
      </x:c>
      <x:c r="D60" s="31" t="str">
        <x:v>國外</x:v>
      </x:c>
      <x:c r="E60" s="31" t="str">
        <x:v>113-1全球永續不動產有價證券型</x:v>
      </x:c>
      <x:c r="F60" s="40" t="n">
        <x:f>SUMIFS('國外委外明細'!$G$4:$G$188,'國外委外明細'!$A$4:$A$188,A60,'國外委外明細'!$C$4:$C$188,C60,'國外委外明細'!$E$4:$E$188,E60)</x:f>
        <x:v>1600000000</x:v>
      </x:c>
      <x:c r="G60" s="40" t="n">
        <x:f>SUMIFS('國外委外明細'!$H$4:$H$188,'國外委外明細'!$A$4:$A$188,A60,'國外委外明細'!$C$4:$C$188,C60,'國外委外明細'!$E$4:$E$188,E60)</x:f>
        <x:v>1816123015</x:v>
      </x:c>
      <x:c r="H60" s="43" t="n">
        <x:f>IFERROR(G60/F60-1,0)</x:f>
        <x:v>0.1350768843750001</x:v>
      </x:c>
      <x:c r="I60" s="43" t="n">
        <x:f>IFERROR(SUMIFS('國外委外明細'!$J$4:$J$188,'國外委外明細'!$A$4:$A$188,A60,'國外委外明細'!$C$4:$C$188,C60,'國外委外明細'!$E$4:$E$188,E60)/COUNTIFS('國外委外明細'!$A$4:$A$188,A60,'國外委外明細'!$C$4:$C$188,C60,'國外委外明細'!$E$4:$E$188,E60,'國外委外明細'!$J$4:$J$188,"&lt;&gt;"),0)</x:f>
        <x:v>0</x:v>
      </x:c>
      <x:c r="J60" s="31" t="str">
        <x:v>美元</x:v>
      </x:c>
      <x:c r="K60" s="32" t="str">
        <x:v>勞工退休基金-115年7月.pdf</x:v>
      </x:c>
    </x:row>
    <x:row r="61">
      <x:c r="A61" s="37" t="n">
        <x:v>46204</x:v>
      </x:c>
      <x:c r="B61" s="31" t="str">
        <x:v>115年7月</x:v>
      </x:c>
      <x:c r="C61" s="31" t="str">
        <x:v>新制</x:v>
      </x:c>
      <x:c r="D61" s="31" t="str">
        <x:v>國外</x:v>
      </x:c>
      <x:c r="E61" s="31" t="str">
        <x:v>114-1全球氣候轉型被動股票型</x:v>
      </x:c>
      <x:c r="F61" s="40" t="n">
        <x:f>SUMIFS('國外委外明細'!$G$4:$G$188,'國外委外明細'!$A$4:$A$188,A61,'國外委外明細'!$C$4:$C$188,C61,'國外委外明細'!$E$4:$E$188,E61)</x:f>
        <x:v>1600000000</x:v>
      </x:c>
      <x:c r="G61" s="40" t="n">
        <x:f>SUMIFS('國外委外明細'!$H$4:$H$188,'國外委外明細'!$A$4:$A$188,A61,'國外委外明細'!$C$4:$C$188,C61,'國外委外明細'!$E$4:$E$188,E61)</x:f>
        <x:v>1688959007</x:v>
      </x:c>
      <x:c r="H61" s="43" t="n">
        <x:f>IFERROR(G61/F61-1,0)</x:f>
        <x:v>0.055599379375000035</x:v>
      </x:c>
      <x:c r="I61" s="43" t="n">
        <x:f>IFERROR(SUMIFS('國外委外明細'!$J$4:$J$188,'國外委外明細'!$A$4:$A$188,A61,'國外委外明細'!$C$4:$C$188,C61,'國外委外明細'!$E$4:$E$188,E61)/COUNTIFS('國外委外明細'!$A$4:$A$188,A61,'國外委外明細'!$C$4:$C$188,C61,'國外委外明細'!$E$4:$E$188,E61,'國外委外明細'!$J$4:$J$188,"&lt;&gt;"),0)</x:f>
        <x:v>0</x:v>
      </x:c>
      <x:c r="J61" s="31" t="str">
        <x:v>美元</x:v>
      </x:c>
      <x:c r="K61" s="32" t="str">
        <x:v>勞工退休基金-115年7月.pdf</x:v>
      </x:c>
    </x:row>
    <x:row r="62">
      <x:c r="A62" s="37" t="n">
        <x:v>46204</x:v>
      </x:c>
      <x:c r="B62" s="31" t="str">
        <x:v>115年7月</x:v>
      </x:c>
      <x:c r="C62" s="31" t="str">
        <x:v>舊制</x:v>
      </x:c>
      <x:c r="D62" s="31" t="str">
        <x:v>國外</x:v>
      </x:c>
      <x:c r="E62" s="31" t="str">
        <x:v>96國際平衡型(續約4)</x:v>
      </x:c>
      <x:c r="F62" s="40" t="n">
        <x:f>SUMIFS('國外委外明細'!$G$4:$G$188,'國外委外明細'!$A$4:$A$188,A62,'國外委外明細'!$C$4:$C$188,C62,'國外委外明細'!$E$4:$E$188,E62)</x:f>
        <x:v>753144454</x:v>
      </x:c>
      <x:c r="G62" s="40" t="n">
        <x:f>SUMIFS('國外委外明細'!$H$4:$H$188,'國外委外明細'!$A$4:$A$188,A62,'國外委外明細'!$C$4:$C$188,C62,'國外委外明細'!$E$4:$E$188,E62)</x:f>
        <x:v>1000473186</x:v>
      </x:c>
      <x:c r="H62" s="43" t="n">
        <x:f>IFERROR(G62/F62-1,0)</x:f>
        <x:v>0.3283948128229861</x:v>
      </x:c>
      <x:c r="I62" s="43" t="n">
        <x:f>IFERROR(SUMIFS('國外委外明細'!$J$4:$J$188,'國外委外明細'!$A$4:$A$188,A62,'國外委外明細'!$C$4:$C$188,C62,'國外委外明細'!$E$4:$E$188,E62)/COUNTIFS('國外委外明細'!$A$4:$A$188,A62,'國外委外明細'!$C$4:$C$188,C62,'國外委外明細'!$E$4:$E$188,E62,'國外委外明細'!$J$4:$J$188,"&lt;&gt;"),0)</x:f>
        <x:v>0</x:v>
      </x:c>
      <x:c r="J62" s="31" t="str">
        <x:v>美元</x:v>
      </x:c>
      <x:c r="K62" s="32" t="str">
        <x:v>勞工退休基金-115年7月.pdf</x:v>
      </x:c>
    </x:row>
    <x:row r="63">
      <x:c r="A63" s="37" t="n">
        <x:v>46204</x:v>
      </x:c>
      <x:c r="B63" s="31" t="str">
        <x:v>115年7月</x:v>
      </x:c>
      <x:c r="C63" s="31" t="str">
        <x:v>舊制</x:v>
      </x:c>
      <x:c r="D63" s="31" t="str">
        <x:v>國外</x:v>
      </x:c>
      <x:c r="E63" s="31" t="str">
        <x:v>97-1全球增值債券型(續約3)</x:v>
      </x:c>
      <x:c r="F63" s="40" t="n">
        <x:f>SUMIFS('國外委外明細'!$G$4:$G$188,'國外委外明細'!$A$4:$A$188,A63,'國外委外明細'!$C$4:$C$188,C63,'國外委外明細'!$E$4:$E$188,E63)</x:f>
        <x:v>2022418498</x:v>
      </x:c>
      <x:c r="G63" s="40" t="n">
        <x:f>SUMIFS('國外委外明細'!$H$4:$H$188,'國外委外明細'!$A$4:$A$188,A63,'國外委外明細'!$C$4:$C$188,C63,'國外委外明細'!$E$4:$E$188,E63)</x:f>
        <x:v>1907650574</x:v>
      </x:c>
      <x:c r="H63" s="43" t="n">
        <x:f>IFERROR(G63/F63-1,0)</x:f>
        <x:v>-0.05674786109477126</x:v>
      </x:c>
      <x:c r="I63" s="43" t="n">
        <x:f>IFERROR(SUMIFS('國外委外明細'!$J$4:$J$188,'國外委外明細'!$A$4:$A$188,A63,'國外委外明細'!$C$4:$C$188,C63,'國外委外明細'!$E$4:$E$188,E63)/COUNTIFS('國外委外明細'!$A$4:$A$188,A63,'國外委外明細'!$C$4:$C$188,C63,'國外委外明細'!$E$4:$E$188,E63,'國外委外明細'!$J$4:$J$188,"&lt;&gt;"),0)</x:f>
        <x:v>0</x:v>
      </x:c>
      <x:c r="J63" s="31" t="str">
        <x:v>美元</x:v>
      </x:c>
      <x:c r="K63" s="32" t="str">
        <x:v>勞工退休基金-115年7月.pdf</x:v>
      </x:c>
    </x:row>
    <x:row r="64">
      <x:c r="A64" s="37" t="n">
        <x:v>46204</x:v>
      </x:c>
      <x:c r="B64" s="31" t="str">
        <x:v>115年7月</x:v>
      </x:c>
      <x:c r="C64" s="31" t="str">
        <x:v>舊制</x:v>
      </x:c>
      <x:c r="D64" s="31" t="str">
        <x:v>國外</x:v>
      </x:c>
      <x:c r="E64" s="31" t="str">
        <x:v>97-1全球增值股票型(續約3)</x:v>
      </x:c>
      <x:c r="F64" s="40" t="n">
        <x:f>SUMIFS('國外委外明細'!$G$4:$G$188,'國外委外明細'!$A$4:$A$188,A64,'國外委外明細'!$C$4:$C$188,C64,'國外委外明細'!$E$4:$E$188,E64)</x:f>
        <x:v>456987544</x:v>
      </x:c>
      <x:c r="G64" s="40" t="n">
        <x:f>SUMIFS('國外委外明細'!$H$4:$H$188,'國外委外明細'!$A$4:$A$188,A64,'國外委外明細'!$C$4:$C$188,C64,'國外委外明細'!$E$4:$E$188,E64)</x:f>
        <x:v>1504388734</x:v>
      </x:c>
      <x:c r="H64" s="43" t="n">
        <x:f>IFERROR(G64/F64-1,0)</x:f>
        <x:v>2.291968793792769</x:v>
      </x:c>
      <x:c r="I64" s="43" t="n">
        <x:f>IFERROR(SUMIFS('國外委外明細'!$J$4:$J$188,'國外委外明細'!$A$4:$A$188,A64,'國外委外明細'!$C$4:$C$188,C64,'國外委外明細'!$E$4:$E$188,E64)/COUNTIFS('國外委外明細'!$A$4:$A$188,A64,'國外委外明細'!$C$4:$C$188,C64,'國外委外明細'!$E$4:$E$188,E64,'國外委外明細'!$J$4:$J$188,"&lt;&gt;"),0)</x:f>
        <x:v>0</x:v>
      </x:c>
      <x:c r="J64" s="31" t="str">
        <x:v>美元</x:v>
      </x:c>
      <x:c r="K64" s="32" t="str">
        <x:v>勞工退休基金-115年7月.pdf</x:v>
      </x:c>
    </x:row>
    <x:row r="65">
      <x:c r="A65" s="37" t="n">
        <x:v>46204</x:v>
      </x:c>
      <x:c r="B65" s="31" t="str">
        <x:v>115年7月</x:v>
      </x:c>
      <x:c r="C65" s="31" t="str">
        <x:v>舊制</x:v>
      </x:c>
      <x:c r="D65" s="31" t="str">
        <x:v>國外</x:v>
      </x:c>
      <x:c r="E65" s="31" t="str">
        <x:v>98-1亞太(日本除外)主動股票型(續約3)</x:v>
      </x:c>
      <x:c r="F65" s="40" t="n">
        <x:f>SUMIFS('國外委外明細'!$G$4:$G$188,'國外委外明細'!$A$4:$A$188,A65,'國外委外明細'!$C$4:$C$188,C65,'國外委外明細'!$E$4:$E$188,E65)</x:f>
        <x:v>181124998</x:v>
      </x:c>
      <x:c r="G65" s="40" t="n">
        <x:f>SUMIFS('國外委外明細'!$H$4:$H$188,'國外委外明細'!$A$4:$A$188,A65,'國外委外明細'!$C$4:$C$188,C65,'國外委外明細'!$E$4:$E$188,E65)</x:f>
        <x:v>388876019</x:v>
      </x:c>
      <x:c r="H65" s="43" t="n">
        <x:f>IFERROR(G65/F65-1,0)</x:f>
        <x:v>1.1470035792629796</x:v>
      </x:c>
      <x:c r="I65" s="43" t="n">
        <x:f>IFERROR(SUMIFS('國外委外明細'!$J$4:$J$188,'國外委外明細'!$A$4:$A$188,A65,'國外委外明細'!$C$4:$C$188,C65,'國外委外明細'!$E$4:$E$188,E65)/COUNTIFS('國外委外明細'!$A$4:$A$188,A65,'國外委外明細'!$C$4:$C$188,C65,'國外委外明細'!$E$4:$E$188,E65,'國外委外明細'!$J$4:$J$188,"&lt;&gt;"),0)</x:f>
        <x:v>0</x:v>
      </x:c>
      <x:c r="J65" s="31" t="str">
        <x:v>美元</x:v>
      </x:c>
      <x:c r="K65" s="32" t="str">
        <x:v>勞工退休基金-115年7月.pdf</x:v>
      </x:c>
    </x:row>
    <x:row r="66">
      <x:c r="A66" s="37" t="n">
        <x:v>46204</x:v>
      </x:c>
      <x:c r="B66" s="31" t="str">
        <x:v>115年7月</x:v>
      </x:c>
      <x:c r="C66" s="31" t="str">
        <x:v>舊制</x:v>
      </x:c>
      <x:c r="D66" s="31" t="str">
        <x:v>國外</x:v>
      </x:c>
      <x:c r="E66" s="31" t="str">
        <x:v>100-1全球基本面指數被動股票型(續約3)</x:v>
      </x:c>
      <x:c r="F66" s="40" t="n">
        <x:f>SUMIFS('國外委外明細'!$G$4:$G$188,'國外委外明細'!$A$4:$A$188,A66,'國外委外明細'!$C$4:$C$188,C66,'國外委外明細'!$E$4:$E$188,E66)</x:f>
        <x:v>1526913244</x:v>
      </x:c>
      <x:c r="G66" s="40" t="n">
        <x:f>SUMIFS('國外委外明細'!$H$4:$H$188,'國外委外明細'!$A$4:$A$188,A66,'國外委外明細'!$C$4:$C$188,C66,'國外委外明細'!$E$4:$E$188,E66)</x:f>
        <x:v>1552537608</x:v>
      </x:c>
      <x:c r="H66" s="43" t="n">
        <x:f>IFERROR(G66/F66-1,0)</x:f>
        <x:v>0.016781807414855354</x:v>
      </x:c>
      <x:c r="I66" s="43" t="n">
        <x:f>IFERROR(SUMIFS('國外委外明細'!$J$4:$J$188,'國外委外明細'!$A$4:$A$188,A66,'國外委外明細'!$C$4:$C$188,C66,'國外委外明細'!$E$4:$E$188,E66)/COUNTIFS('國外委外明細'!$A$4:$A$188,A66,'國外委外明細'!$C$4:$C$188,C66,'國外委外明細'!$E$4:$E$188,E66,'國外委外明細'!$J$4:$J$188,"&lt;&gt;"),0)</x:f>
        <x:v>0</x:v>
      </x:c>
      <x:c r="J66" s="31" t="str">
        <x:v>美元</x:v>
      </x:c>
      <x:c r="K66" s="32" t="str">
        <x:v>勞工退休基金-115年7月.pdf</x:v>
      </x:c>
    </x:row>
    <x:row r="67">
      <x:c r="A67" s="37" t="n">
        <x:v>46204</x:v>
      </x:c>
      <x:c r="B67" s="31" t="str">
        <x:v>115年7月</x:v>
      </x:c>
      <x:c r="C67" s="31" t="str">
        <x:v>舊制</x:v>
      </x:c>
      <x:c r="D67" s="31" t="str">
        <x:v>國外</x:v>
      </x:c>
      <x:c r="E67" s="31" t="str">
        <x:v>101-1全球低波動指數被動股票型(續約2)</x:v>
      </x:c>
      <x:c r="F67" s="40" t="n">
        <x:f>SUMIFS('國外委外明細'!$G$4:$G$188,'國外委外明細'!$A$4:$A$188,A67,'國外委外明細'!$C$4:$C$188,C67,'國外委外明細'!$E$4:$E$188,E67)</x:f>
        <x:v>751993706</x:v>
      </x:c>
      <x:c r="G67" s="40" t="n">
        <x:f>SUMIFS('國外委外明細'!$H$4:$H$188,'國外委外明細'!$A$4:$A$188,A67,'國外委外明細'!$C$4:$C$188,C67,'國外委外明細'!$E$4:$E$188,E67)</x:f>
        <x:v>1013212614</x:v>
      </x:c>
      <x:c r="H67" s="43" t="n">
        <x:f>IFERROR(G67/F67-1,0)</x:f>
        <x:v>0.34736847651222225</x:v>
      </x:c>
      <x:c r="I67" s="43" t="n">
        <x:f>IFERROR(SUMIFS('國外委外明細'!$J$4:$J$188,'國外委外明細'!$A$4:$A$188,A67,'國外委外明細'!$C$4:$C$188,C67,'國外委外明細'!$E$4:$E$188,E67)/COUNTIFS('國外委外明細'!$A$4:$A$188,A67,'國外委外明細'!$C$4:$C$188,C67,'國外委外明細'!$E$4:$E$188,E67,'國外委外明細'!$J$4:$J$188,"&lt;&gt;"),0)</x:f>
        <x:v>0</x:v>
      </x:c>
      <x:c r="J67" s="31" t="str">
        <x:v>美元</x:v>
      </x:c>
      <x:c r="K67" s="32" t="str">
        <x:v>勞工退休基金-115年7月.pdf</x:v>
      </x:c>
    </x:row>
    <x:row r="68">
      <x:c r="A68" s="37" t="n">
        <x:v>46204</x:v>
      </x:c>
      <x:c r="B68" s="31" t="str">
        <x:v>115年7月</x:v>
      </x:c>
      <x:c r="C68" s="31" t="str">
        <x:v>舊制</x:v>
      </x:c>
      <x:c r="D68" s="31" t="str">
        <x:v>國外</x:v>
      </x:c>
      <x:c r="E68" s="31" t="str">
        <x:v>102-1年全球高股利增值股票型(續約2)</x:v>
      </x:c>
      <x:c r="F68" s="40" t="n">
        <x:f>SUMIFS('國外委外明細'!$G$4:$G$188,'國外委外明細'!$A$4:$A$188,A68,'國外委外明細'!$C$4:$C$188,C68,'國外委外明細'!$E$4:$E$188,E68)</x:f>
        <x:v>1433855129</x:v>
      </x:c>
      <x:c r="G68" s="40" t="n">
        <x:f>SUMIFS('國外委外明細'!$H$4:$H$188,'國外委外明細'!$A$4:$A$188,A68,'國外委外明細'!$C$4:$C$188,C68,'國外委外明細'!$E$4:$E$188,E68)</x:f>
        <x:v>2047429988</x:v>
      </x:c>
      <x:c r="H68" s="43" t="n">
        <x:f>IFERROR(G68/F68-1,0)</x:f>
        <x:v>0.42791970164232684</x:v>
      </x:c>
      <x:c r="I68" s="43" t="n">
        <x:f>IFERROR(SUMIFS('國外委外明細'!$J$4:$J$188,'國外委外明細'!$A$4:$A$188,A68,'國外委外明細'!$C$4:$C$188,C68,'國外委外明細'!$E$4:$E$188,E68)/COUNTIFS('國外委外明細'!$A$4:$A$188,A68,'國外委外明細'!$C$4:$C$188,C68,'國外委外明細'!$E$4:$E$188,E68,'國外委外明細'!$J$4:$J$188,"&lt;&gt;"),0)</x:f>
        <x:v>0</x:v>
      </x:c>
      <x:c r="J68" s="31" t="str">
        <x:v>美元</x:v>
      </x:c>
      <x:c r="K68" s="32" t="str">
        <x:v>勞工退休基金-115年7月.pdf</x:v>
      </x:c>
    </x:row>
    <x:row r="69">
      <x:c r="A69" s="37" t="n">
        <x:v>46204</x:v>
      </x:c>
      <x:c r="B69" s="31" t="str">
        <x:v>115年7月</x:v>
      </x:c>
      <x:c r="C69" s="31" t="str">
        <x:v>舊制</x:v>
      </x:c>
      <x:c r="D69" s="31" t="str">
        <x:v>國外</x:v>
      </x:c>
      <x:c r="E69" s="31" t="str">
        <x:v>102-2全球基礎建設有價證券型(續約2)</x:v>
      </x:c>
      <x:c r="F69" s="40" t="n">
        <x:f>SUMIFS('國外委外明細'!$G$4:$G$188,'國外委外明細'!$A$4:$A$188,A69,'國外委外明細'!$C$4:$C$188,C69,'國外委外明細'!$E$4:$E$188,E69)</x:f>
        <x:v>954418976</x:v>
      </x:c>
      <x:c r="G69" s="40" t="n">
        <x:f>SUMIFS('國外委外明細'!$H$4:$H$188,'國外委外明細'!$A$4:$A$188,A69,'國外委外明細'!$C$4:$C$188,C69,'國外委外明細'!$E$4:$E$188,E69)</x:f>
        <x:v>1388520134</x:v>
      </x:c>
      <x:c r="H69" s="43" t="n">
        <x:f>IFERROR(G69/F69-1,0)</x:f>
        <x:v>0.4548329076809974</x:v>
      </x:c>
      <x:c r="I69" s="43" t="n">
        <x:f>IFERROR(SUMIFS('國外委外明細'!$J$4:$J$188,'國外委外明細'!$A$4:$A$188,A69,'國外委外明細'!$C$4:$C$188,C69,'國外委外明細'!$E$4:$E$188,E69)/COUNTIFS('國外委外明細'!$A$4:$A$188,A69,'國外委外明細'!$C$4:$C$188,C69,'國外委外明細'!$E$4:$E$188,E69,'國外委外明細'!$J$4:$J$188,"&lt;&gt;"),0)</x:f>
        <x:v>0</x:v>
      </x:c>
      <x:c r="J69" s="31" t="str">
        <x:v>美元</x:v>
      </x:c>
      <x:c r="K69" s="32" t="str">
        <x:v>勞工退休基金-115年7月.pdf</x:v>
      </x:c>
    </x:row>
    <x:row r="70">
      <x:c r="A70" s="37" t="n">
        <x:v>46204</x:v>
      </x:c>
      <x:c r="B70" s="31" t="str">
        <x:v>115年7月</x:v>
      </x:c>
      <x:c r="C70" s="31" t="str">
        <x:v>舊制</x:v>
      </x:c>
      <x:c r="D70" s="31" t="str">
        <x:v>國外</x:v>
      </x:c>
      <x:c r="E70" s="31" t="str">
        <x:v>102-2全球不動產有價證券型(續約2)</x:v>
      </x:c>
      <x:c r="F70" s="40" t="n">
        <x:f>SUMIFS('國外委外明細'!$G$4:$G$188,'國外委外明細'!$A$4:$A$188,A70,'國外委外明細'!$C$4:$C$188,C70,'國外委外明細'!$E$4:$E$188,E70)</x:f>
        <x:v>708888643</x:v>
      </x:c>
      <x:c r="G70" s="40" t="n">
        <x:f>SUMIFS('國外委外明細'!$H$4:$H$188,'國外委外明細'!$A$4:$A$188,A70,'國外委外明細'!$C$4:$C$188,C70,'國外委外明細'!$E$4:$E$188,E70)</x:f>
        <x:v>801020312</x:v>
      </x:c>
      <x:c r="H70" s="43" t="n">
        <x:f>IFERROR(G70/F70-1,0)</x:f>
        <x:v>0.12996634931277917</x:v>
      </x:c>
      <x:c r="I70" s="43" t="n">
        <x:f>IFERROR(SUMIFS('國外委外明細'!$J$4:$J$188,'國外委外明細'!$A$4:$A$188,A70,'國外委外明細'!$C$4:$C$188,C70,'國外委外明細'!$E$4:$E$188,E70)/COUNTIFS('國外委外明細'!$A$4:$A$188,A70,'國外委外明細'!$C$4:$C$188,C70,'國外委外明細'!$E$4:$E$188,E70,'國外委外明細'!$J$4:$J$188,"&lt;&gt;"),0)</x:f>
        <x:v>0</x:v>
      </x:c>
      <x:c r="J70" s="31" t="str">
        <x:v>美元</x:v>
      </x:c>
      <x:c r="K70" s="32" t="str">
        <x:v>勞工退休基金-115年7月.pdf</x:v>
      </x:c>
    </x:row>
    <x:row r="71">
      <x:c r="A71" s="37" t="n">
        <x:v>46204</x:v>
      </x:c>
      <x:c r="B71" s="31" t="str">
        <x:v>115年7月</x:v>
      </x:c>
      <x:c r="C71" s="31" t="str">
        <x:v>舊制</x:v>
      </x:c>
      <x:c r="D71" s="31" t="str">
        <x:v>國外</x:v>
      </x:c>
      <x:c r="E71" s="31" t="str">
        <x:v>105-1全球多元資產型(續約2)</x:v>
      </x:c>
      <x:c r="F71" s="40" t="n">
        <x:f>SUMIFS('國外委外明細'!$G$4:$G$188,'國外委外明細'!$A$4:$A$188,A71,'國外委外明細'!$C$4:$C$188,C71,'國外委外明細'!$E$4:$E$188,E71)</x:f>
        <x:v>1159647848</x:v>
      </x:c>
      <x:c r="G71" s="40" t="n">
        <x:f>SUMIFS('國外委外明細'!$H$4:$H$188,'國外委外明細'!$A$4:$A$188,A71,'國外委外明細'!$C$4:$C$188,C71,'國外委外明細'!$E$4:$E$188,E71)</x:f>
        <x:v>1164672915</x:v>
      </x:c>
      <x:c r="H71" s="43" t="n">
        <x:f>IFERROR(G71/F71-1,0)</x:f>
        <x:v>0.004333269801402695</x:v>
      </x:c>
      <x:c r="I71" s="43" t="n">
        <x:f>IFERROR(SUMIFS('國外委外明細'!$J$4:$J$188,'國外委外明細'!$A$4:$A$188,A71,'國外委外明細'!$C$4:$C$188,C71,'國外委外明細'!$E$4:$E$188,E71)/COUNTIFS('國外委外明細'!$A$4:$A$188,A71,'國外委外明細'!$C$4:$C$188,C71,'國外委外明細'!$E$4:$E$188,E71,'國外委外明細'!$J$4:$J$188,"&lt;&gt;"),0)</x:f>
        <x:v>0</x:v>
      </x:c>
      <x:c r="J71" s="31" t="str">
        <x:v>美元</x:v>
      </x:c>
      <x:c r="K71" s="32" t="str">
        <x:v>勞工退休基金-115年7月.pdf</x:v>
      </x:c>
    </x:row>
    <x:row r="72">
      <x:c r="A72" s="37" t="n">
        <x:v>46204</x:v>
      </x:c>
      <x:c r="B72" s="31" t="str">
        <x:v>115年7月</x:v>
      </x:c>
      <x:c r="C72" s="31" t="str">
        <x:v>舊制</x:v>
      </x:c>
      <x:c r="D72" s="31" t="str">
        <x:v>國外</x:v>
      </x:c>
      <x:c r="E72" s="31" t="str">
        <x:v>106-1全球ESG混合指數被動股票型(續約)</x:v>
      </x:c>
      <x:c r="F72" s="40" t="n">
        <x:f>SUMIFS('國外委外明細'!$G$4:$G$188,'國外委外明細'!$A$4:$A$188,A72,'國外委外明細'!$C$4:$C$188,C72,'國外委外明細'!$E$4:$E$188,E72)</x:f>
        <x:v>591299260</x:v>
      </x:c>
      <x:c r="G72" s="40" t="n">
        <x:f>SUMIFS('國外委外明細'!$H$4:$H$188,'國外委外明細'!$A$4:$A$188,A72,'國外委外明細'!$C$4:$C$188,C72,'國外委外明細'!$E$4:$E$188,E72)</x:f>
        <x:v>1147786565</x:v>
      </x:c>
      <x:c r="H72" s="43" t="n">
        <x:f>IFERROR(G72/F72-1,0)</x:f>
        <x:v>0.9411263342355611</x:v>
      </x:c>
      <x:c r="I72" s="43" t="n">
        <x:f>IFERROR(SUMIFS('國外委外明細'!$J$4:$J$188,'國外委外明細'!$A$4:$A$188,A72,'國外委外明細'!$C$4:$C$188,C72,'國外委外明細'!$E$4:$E$188,E72)/COUNTIFS('國外委外明細'!$A$4:$A$188,A72,'國外委外明細'!$C$4:$C$188,C72,'國外委外明細'!$E$4:$E$188,E72,'國外委外明細'!$J$4:$J$188,"&lt;&gt;"),0)</x:f>
        <x:v>0</x:v>
      </x:c>
      <x:c r="J72" s="31" t="str">
        <x:v>美元</x:v>
      </x:c>
      <x:c r="K72" s="32" t="str">
        <x:v>勞工退休基金-115年7月.pdf</x:v>
      </x:c>
    </x:row>
    <x:row r="73">
      <x:c r="A73" s="37" t="n">
        <x:v>46204</x:v>
      </x:c>
      <x:c r="B73" s="31" t="str">
        <x:v>115年7月</x:v>
      </x:c>
      <x:c r="C73" s="31" t="str">
        <x:v>舊制</x:v>
      </x:c>
      <x:c r="D73" s="31" t="str">
        <x:v>國外</x:v>
      </x:c>
      <x:c r="E73" s="31" t="str">
        <x:v>106-1絕對報酬債券型(續約)</x:v>
      </x:c>
      <x:c r="F73" s="40" t="n">
        <x:f>SUMIFS('國外委外明細'!$G$4:$G$188,'國外委外明細'!$A$4:$A$188,A73,'國外委外明細'!$C$4:$C$188,C73,'國外委外明細'!$E$4:$E$188,E73)</x:f>
        <x:v>927421608</x:v>
      </x:c>
      <x:c r="G73" s="40" t="n">
        <x:f>SUMIFS('國外委外明細'!$H$4:$H$188,'國外委外明細'!$A$4:$A$188,A73,'國外委外明細'!$C$4:$C$188,C73,'國外委外明細'!$E$4:$E$188,E73)</x:f>
        <x:v>1162317283</x:v>
      </x:c>
      <x:c r="H73" s="43" t="n">
        <x:f>IFERROR(G73/F73-1,0)</x:f>
        <x:v>0.2532781994443243</x:v>
      </x:c>
      <x:c r="I73" s="43" t="n">
        <x:f>IFERROR(SUMIFS('國外委外明細'!$J$4:$J$188,'國外委外明細'!$A$4:$A$188,A73,'國外委外明細'!$C$4:$C$188,C73,'國外委外明細'!$E$4:$E$188,E73)/COUNTIFS('國外委外明細'!$A$4:$A$188,A73,'國外委外明細'!$C$4:$C$188,C73,'國外委外明細'!$E$4:$E$188,E73,'國外委外明細'!$J$4:$J$188,"&lt;&gt;"),0)</x:f>
        <x:v>0</x:v>
      </x:c>
      <x:c r="J73" s="31" t="str">
        <x:v>美元</x:v>
      </x:c>
      <x:c r="K73" s="32" t="str">
        <x:v>勞工退休基金-115年7月.pdf</x:v>
      </x:c>
    </x:row>
    <x:row r="74">
      <x:c r="A74" s="37" t="n">
        <x:v>46204</x:v>
      </x:c>
      <x:c r="B74" s="31" t="str">
        <x:v>115年7月</x:v>
      </x:c>
      <x:c r="C74" s="31" t="str">
        <x:v>舊制</x:v>
      </x:c>
      <x:c r="D74" s="31" t="str">
        <x:v>國外</x:v>
      </x:c>
      <x:c r="E74" s="31" t="str">
        <x:v>107-1絕對報酬股票型(續約)</x:v>
      </x:c>
      <x:c r="F74" s="40" t="n">
        <x:f>SUMIFS('國外委外明細'!$G$4:$G$188,'國外委外明細'!$A$4:$A$188,A74,'國外委外明細'!$C$4:$C$188,C74,'國外委外明細'!$E$4:$E$188,E74)</x:f>
        <x:v>339564550</x:v>
      </x:c>
      <x:c r="G74" s="40" t="n">
        <x:f>SUMIFS('國外委外明細'!$H$4:$H$188,'國外委外明細'!$A$4:$A$188,A74,'國外委外明細'!$C$4:$C$188,C74,'國外委外明細'!$E$4:$E$188,E74)</x:f>
        <x:v>500696821</x:v>
      </x:c>
      <x:c r="H74" s="43" t="n">
        <x:f>IFERROR(G74/F74-1,0)</x:f>
        <x:v>0.47452618655274814</x:v>
      </x:c>
      <x:c r="I74" s="43" t="n">
        <x:f>IFERROR(SUMIFS('國外委外明細'!$J$4:$J$188,'國外委外明細'!$A$4:$A$188,A74,'國外委外明細'!$C$4:$C$188,C74,'國外委外明細'!$E$4:$E$188,E74)/COUNTIFS('國外委外明細'!$A$4:$A$188,A74,'國外委外明細'!$C$4:$C$188,C74,'國外委外明細'!$E$4:$E$188,E74,'國外委外明細'!$J$4:$J$188,"&lt;&gt;"),0)</x:f>
        <x:v>0</x:v>
      </x:c>
      <x:c r="J74" s="31" t="str">
        <x:v>美元</x:v>
      </x:c>
      <x:c r="K74" s="32" t="str">
        <x:v>勞工退休基金-115年7月.pdf</x:v>
      </x:c>
    </x:row>
    <x:row r="75">
      <x:c r="A75" s="37" t="n">
        <x:v>46204</x:v>
      </x:c>
      <x:c r="B75" s="31" t="str">
        <x:v>115年7月</x:v>
      </x:c>
      <x:c r="C75" s="31" t="str">
        <x:v>舊制</x:v>
      </x:c>
      <x:c r="D75" s="31" t="str">
        <x:v>國外</x:v>
      </x:c>
      <x:c r="E75" s="31" t="str">
        <x:v>110-1全球基礎建設有價證券型</x:v>
      </x:c>
      <x:c r="F75" s="40" t="n">
        <x:f>SUMIFS('國外委外明細'!$G$4:$G$188,'國外委外明細'!$A$4:$A$188,A75,'國外委外明細'!$C$4:$C$188,C75,'國外委外明細'!$E$4:$E$188,E75)</x:f>
        <x:v>240000000</x:v>
      </x:c>
      <x:c r="G75" s="40" t="n">
        <x:f>SUMIFS('國外委外明細'!$H$4:$H$188,'國外委外明細'!$A$4:$A$188,A75,'國外委外明細'!$C$4:$C$188,C75,'國外委外明細'!$E$4:$E$188,E75)</x:f>
        <x:v>329712964</x:v>
      </x:c>
      <x:c r="H75" s="43" t="n">
        <x:f>IFERROR(G75/F75-1,0)</x:f>
        <x:v>0.37380401666666674</x:v>
      </x:c>
      <x:c r="I75" s="43" t="n">
        <x:f>IFERROR(SUMIFS('國外委外明細'!$J$4:$J$188,'國外委外明細'!$A$4:$A$188,A75,'國外委外明細'!$C$4:$C$188,C75,'國外委外明細'!$E$4:$E$188,E75)/COUNTIFS('國外委外明細'!$A$4:$A$188,A75,'國外委外明細'!$C$4:$C$188,C75,'國外委外明細'!$E$4:$E$188,E75,'國外委外明細'!$J$4:$J$188,"&lt;&gt;"),0)</x:f>
        <x:v>0</x:v>
      </x:c>
      <x:c r="J75" s="31" t="str">
        <x:v>美元</x:v>
      </x:c>
      <x:c r="K75" s="32" t="str">
        <x:v>勞工退休基金-115年7月.pdf</x:v>
      </x:c>
    </x:row>
    <x:row r="76">
      <x:c r="A76" s="37" t="n">
        <x:v>46204</x:v>
      </x:c>
      <x:c r="B76" s="31" t="str">
        <x:v>115年7月</x:v>
      </x:c>
      <x:c r="C76" s="31" t="str">
        <x:v>勞工保險</x:v>
      </x:c>
      <x:c r="D76" s="31" t="str">
        <x:v>國外</x:v>
      </x:c>
      <x:c r="E76" s="31" t="str">
        <x:v>100年全球主動股票型(續約2)</x:v>
      </x:c>
      <x:c r="F76" s="40" t="n">
        <x:f>SUMIFS('國外委外明細'!$G$4:$G$188,'國外委外明細'!$A$4:$A$188,A76,'國外委外明細'!$C$4:$C$188,C76,'國外委外明細'!$E$4:$E$188,E76)</x:f>
        <x:v>946084601</x:v>
      </x:c>
      <x:c r="G76" s="40" t="n">
        <x:f>SUMIFS('國外委外明細'!$H$4:$H$188,'國外委外明細'!$A$4:$A$188,A76,'國外委外明細'!$C$4:$C$188,C76,'國外委外明細'!$E$4:$E$188,E76)</x:f>
        <x:v>1255172172</x:v>
      </x:c>
      <x:c r="H76" s="43" t="n">
        <x:f>IFERROR(G76/F76-1,0)</x:f>
        <x:v>0.32670183054802737</x:v>
      </x:c>
      <x:c r="I76" s="43" t="n">
        <x:f>IFERROR(SUMIFS('國外委外明細'!$J$4:$J$188,'國外委外明細'!$A$4:$A$188,A76,'國外委外明細'!$C$4:$C$188,C76,'國外委外明細'!$E$4:$E$188,E76)/COUNTIFS('國外委外明細'!$A$4:$A$188,A76,'國外委外明細'!$C$4:$C$188,C76,'國外委外明細'!$E$4:$E$188,E76,'國外委外明細'!$J$4:$J$188,"&lt;&gt;"),0)</x:f>
        <x:v>0</x:v>
      </x:c>
      <x:c r="J76" s="31" t="str">
        <x:v>美元</x:v>
      </x:c>
      <x:c r="K76" s="32" t="str">
        <x:v>勞工保險基金-115年7月.pdf</x:v>
      </x:c>
    </x:row>
    <x:row r="77">
      <x:c r="A77" s="37" t="n">
        <x:v>46204</x:v>
      </x:c>
      <x:c r="B77" s="31" t="str">
        <x:v>115年7月</x:v>
      </x:c>
      <x:c r="C77" s="31" t="str">
        <x:v>勞工保險</x:v>
      </x:c>
      <x:c r="D77" s="31" t="str">
        <x:v>國外</x:v>
      </x:c>
      <x:c r="E77" s="31" t="str">
        <x:v>101年全球新興市場主動債券型(續約2)</x:v>
      </x:c>
      <x:c r="F77" s="40" t="n">
        <x:f>SUMIFS('國外委外明細'!$G$4:$G$188,'國外委外明細'!$A$4:$A$188,A77,'國外委外明細'!$C$4:$C$188,C77,'國外委外明細'!$E$4:$E$188,E77)</x:f>
        <x:v>274323144</x:v>
      </x:c>
      <x:c r="G77" s="40" t="n">
        <x:f>SUMIFS('國外委外明細'!$H$4:$H$188,'國外委外明細'!$A$4:$A$188,A77,'國外委外明細'!$C$4:$C$188,C77,'國外委外明細'!$E$4:$E$188,E77)</x:f>
        <x:v>374599171</x:v>
      </x:c>
      <x:c r="H77" s="43" t="n">
        <x:f>IFERROR(G77/F77-1,0)</x:f>
        <x:v>0.3655397992959719</x:v>
      </x:c>
      <x:c r="I77" s="43" t="n">
        <x:f>IFERROR(SUMIFS('國外委外明細'!$J$4:$J$188,'國外委外明細'!$A$4:$A$188,A77,'國外委外明細'!$C$4:$C$188,C77,'國外委外明細'!$E$4:$E$188,E77)/COUNTIFS('國外委外明細'!$A$4:$A$188,A77,'國外委外明細'!$C$4:$C$188,C77,'國外委外明細'!$E$4:$E$188,E77,'國外委外明細'!$J$4:$J$188,"&lt;&gt;"),0)</x:f>
        <x:v>0</x:v>
      </x:c>
      <x:c r="J77" s="31" t="str">
        <x:v>美元</x:v>
      </x:c>
      <x:c r="K77" s="32" t="str">
        <x:v>勞工保險基金-115年7月.pdf</x:v>
      </x:c>
    </x:row>
    <x:row r="78">
      <x:c r="A78" s="37" t="n">
        <x:v>46204</x:v>
      </x:c>
      <x:c r="B78" s="31" t="str">
        <x:v>115年7月</x:v>
      </x:c>
      <x:c r="C78" s="31" t="str">
        <x:v>勞工保險</x:v>
      </x:c>
      <x:c r="D78" s="31" t="str">
        <x:v>國外</x:v>
      </x:c>
      <x:c r="E78" s="31" t="str">
        <x:v>104年全球主動債券型(續約3)</x:v>
      </x:c>
      <x:c r="F78" s="40" t="n">
        <x:f>SUMIFS('國外委外明細'!$G$4:$G$188,'國外委外明細'!$A$4:$A$188,A78,'國外委外明細'!$C$4:$C$188,C78,'國外委外明細'!$E$4:$E$188,E78)</x:f>
        <x:v>1466614615</x:v>
      </x:c>
      <x:c r="G78" s="40" t="n">
        <x:f>SUMIFS('國外委外明細'!$H$4:$H$188,'國外委外明細'!$A$4:$A$188,A78,'國外委外明細'!$C$4:$C$188,C78,'國外委外明細'!$E$4:$E$188,E78)</x:f>
        <x:v>1552187868</x:v>
      </x:c>
      <x:c r="H78" s="43" t="n">
        <x:f>IFERROR(G78/F78-1,0)</x:f>
        <x:v>0.05834747051119482</x:v>
      </x:c>
      <x:c r="I78" s="43" t="n">
        <x:f>IFERROR(SUMIFS('國外委外明細'!$J$4:$J$188,'國外委外明細'!$A$4:$A$188,A78,'國外委外明細'!$C$4:$C$188,C78,'國外委外明細'!$E$4:$E$188,E78)/COUNTIFS('國外委外明細'!$A$4:$A$188,A78,'國外委外明細'!$C$4:$C$188,C78,'國外委外明細'!$E$4:$E$188,E78,'國外委外明細'!$J$4:$J$188,"&lt;&gt;"),0)</x:f>
        <x:v>0</x:v>
      </x:c>
      <x:c r="J78" s="31" t="str">
        <x:v>美元</x:v>
      </x:c>
      <x:c r="K78" s="32" t="str">
        <x:v>勞工保險基金-115年7月.pdf</x:v>
      </x:c>
    </x:row>
    <x:row r="79">
      <x:c r="A79" s="37" t="n">
        <x:v>46204</x:v>
      </x:c>
      <x:c r="B79" s="31" t="str">
        <x:v>115年7月</x:v>
      </x:c>
      <x:c r="C79" s="31" t="str">
        <x:v>勞工保險</x:v>
      </x:c>
      <x:c r="D79" s="31" t="str">
        <x:v>國外</x:v>
      </x:c>
      <x:c r="E79" s="31" t="str">
        <x:v>104-1全球高品質被動股票型(續約2)</x:v>
      </x:c>
      <x:c r="F79" s="40" t="n">
        <x:f>SUMIFS('國外委外明細'!$G$4:$G$188,'國外委外明細'!$A$4:$A$188,A79,'國外委外明細'!$C$4:$C$188,C79,'國外委外明細'!$E$4:$E$188,E79)</x:f>
        <x:v>2466947683</x:v>
      </x:c>
      <x:c r="G79" s="40" t="n">
        <x:f>SUMIFS('國外委外明細'!$H$4:$H$188,'國外委外明細'!$A$4:$A$188,A79,'國外委外明細'!$C$4:$C$188,C79,'國外委外明細'!$E$4:$E$188,E79)</x:f>
        <x:v>2979711327</x:v>
      </x:c>
      <x:c r="H79" s="43" t="n">
        <x:f>IFERROR(G79/F79-1,0)</x:f>
        <x:v>0.20785347315369074</x:v>
      </x:c>
      <x:c r="I79" s="43" t="n">
        <x:f>IFERROR(SUMIFS('國外委外明細'!$J$4:$J$188,'國外委外明細'!$A$4:$A$188,A79,'國外委外明細'!$C$4:$C$188,C79,'國外委外明細'!$E$4:$E$188,E79)/COUNTIFS('國外委外明細'!$A$4:$A$188,A79,'國外委外明細'!$C$4:$C$188,C79,'國外委外明細'!$E$4:$E$188,E79,'國外委外明細'!$J$4:$J$188,"&lt;&gt;"),0)</x:f>
        <x:v>0</x:v>
      </x:c>
      <x:c r="J79" s="31" t="str">
        <x:v>美元</x:v>
      </x:c>
      <x:c r="K79" s="32" t="str">
        <x:v>勞工保險基金-115年7月.pdf</x:v>
      </x:c>
    </x:row>
    <x:row r="80">
      <x:c r="A80" s="37" t="n">
        <x:v>46204</x:v>
      </x:c>
      <x:c r="B80" s="31" t="str">
        <x:v>115年7月</x:v>
      </x:c>
      <x:c r="C80" s="31" t="str">
        <x:v>勞工保險</x:v>
      </x:c>
      <x:c r="D80" s="31" t="str">
        <x:v>國外</x:v>
      </x:c>
      <x:c r="E80" s="31" t="str">
        <x:v>104-2全球基礎建設有價證券型(續約2)</x:v>
      </x:c>
      <x:c r="F80" s="40" t="n">
        <x:f>SUMIFS('國外委外明細'!$G$4:$G$188,'國外委外明細'!$A$4:$A$188,A80,'國外委外明細'!$C$4:$C$188,C80,'國外委外明細'!$E$4:$E$188,E80)</x:f>
        <x:v>1398439582</x:v>
      </x:c>
      <x:c r="G80" s="40" t="n">
        <x:f>SUMIFS('國外委外明細'!$H$4:$H$188,'國外委外明細'!$A$4:$A$188,A80,'國外委外明細'!$C$4:$C$188,C80,'國外委外明細'!$E$4:$E$188,E80)</x:f>
        <x:v>1564963435</x:v>
      </x:c>
      <x:c r="H80" s="43" t="n">
        <x:f>IFERROR(G80/F80-1,0)</x:f>
        <x:v>0.11907833212346808</x:v>
      </x:c>
      <x:c r="I80" s="43" t="n">
        <x:f>IFERROR(SUMIFS('國外委外明細'!$J$4:$J$188,'國外委外明細'!$A$4:$A$188,A80,'國外委外明細'!$C$4:$C$188,C80,'國外委外明細'!$E$4:$E$188,E80)/COUNTIFS('國外委外明細'!$A$4:$A$188,A80,'國外委外明細'!$C$4:$C$188,C80,'國外委外明細'!$E$4:$E$188,E80,'國外委外明細'!$J$4:$J$188,"&lt;&gt;"),0)</x:f>
        <x:v>0</x:v>
      </x:c>
      <x:c r="J80" s="31" t="str">
        <x:v>美元</x:v>
      </x:c>
      <x:c r="K80" s="32" t="str">
        <x:v>勞工保險基金-115年7月.pdf</x:v>
      </x:c>
    </x:row>
    <x:row r="81">
      <x:c r="A81" s="37" t="n">
        <x:v>46204</x:v>
      </x:c>
      <x:c r="B81" s="31" t="str">
        <x:v>115年7月</x:v>
      </x:c>
      <x:c r="C81" s="31" t="str">
        <x:v>勞工保險</x:v>
      </x:c>
      <x:c r="D81" s="31" t="str">
        <x:v>國外</x:v>
      </x:c>
      <x:c r="E81" s="31" t="str">
        <x:v>104-2全球不動產有價證券型(續約2)</x:v>
      </x:c>
      <x:c r="F81" s="40" t="n">
        <x:f>SUMIFS('國外委外明細'!$G$4:$G$188,'國外委外明細'!$A$4:$A$188,A81,'國外委外明細'!$C$4:$C$188,C81,'國外委外明細'!$E$4:$E$188,E81)</x:f>
        <x:v>1052282753</x:v>
      </x:c>
      <x:c r="G81" s="40" t="n">
        <x:f>SUMIFS('國外委外明細'!$H$4:$H$188,'國外委外明細'!$A$4:$A$188,A81,'國外委外明細'!$C$4:$C$188,C81,'國外委外明細'!$E$4:$E$188,E81)</x:f>
        <x:v>1192696765</x:v>
      </x:c>
      <x:c r="H81" s="43" t="n">
        <x:f>IFERROR(G81/F81-1,0)</x:f>
        <x:v>0.13343753054935803</x:v>
      </x:c>
      <x:c r="I81" s="43" t="n">
        <x:f>IFERROR(SUMIFS('國外委外明細'!$J$4:$J$188,'國外委外明細'!$A$4:$A$188,A81,'國外委外明細'!$C$4:$C$188,C81,'國外委外明細'!$E$4:$E$188,E81)/COUNTIFS('國外委外明細'!$A$4:$A$188,A81,'國外委外明細'!$C$4:$C$188,C81,'國外委外明細'!$E$4:$E$188,E81,'國外委外明細'!$J$4:$J$188,"&lt;&gt;"),0)</x:f>
        <x:v>0</x:v>
      </x:c>
      <x:c r="J81" s="31" t="str">
        <x:v>美元</x:v>
      </x:c>
      <x:c r="K81" s="32" t="str">
        <x:v>勞工保險基金-115年7月.pdf</x:v>
      </x:c>
    </x:row>
    <x:row r="82">
      <x:c r="A82" s="37" t="n">
        <x:v>46204</x:v>
      </x:c>
      <x:c r="B82" s="31" t="str">
        <x:v>115年7月</x:v>
      </x:c>
      <x:c r="C82" s="31" t="str">
        <x:v>勞工保險</x:v>
      </x:c>
      <x:c r="D82" s="31" t="str">
        <x:v>國外</x:v>
      </x:c>
      <x:c r="E82" s="31" t="str">
        <x:v>105-1全球多元資產型(續約2)</x:v>
      </x:c>
      <x:c r="F82" s="40" t="n">
        <x:f>SUMIFS('國外委外明細'!$G$4:$G$188,'國外委外明細'!$A$4:$A$188,A82,'國外委外明細'!$C$4:$C$188,C82,'國外委外明細'!$E$4:$E$188,E82)</x:f>
        <x:v>891413907</x:v>
      </x:c>
      <x:c r="G82" s="40" t="n">
        <x:f>SUMIFS('國外委外明細'!$H$4:$H$188,'國外委外明細'!$A$4:$A$188,A82,'國外委外明細'!$C$4:$C$188,C82,'國外委外明細'!$E$4:$E$188,E82)</x:f>
        <x:v>897574775</x:v>
      </x:c>
      <x:c r="H82" s="43" t="n">
        <x:f>IFERROR(G82/F82-1,0)</x:f>
        <x:v>0.006911343823133853</x:v>
      </x:c>
      <x:c r="I82" s="43" t="n">
        <x:f>IFERROR(SUMIFS('國外委外明細'!$J$4:$J$188,'國外委外明細'!$A$4:$A$188,A82,'國外委外明細'!$C$4:$C$188,C82,'國外委外明細'!$E$4:$E$188,E82)/COUNTIFS('國外委外明細'!$A$4:$A$188,A82,'國外委外明細'!$C$4:$C$188,C82,'國外委外明細'!$E$4:$E$188,E82,'國外委外明細'!$J$4:$J$188,"&lt;&gt;"),0)</x:f>
        <x:v>0</x:v>
      </x:c>
      <x:c r="J82" s="31" t="str">
        <x:v>美元</x:v>
      </x:c>
      <x:c r="K82" s="32" t="str">
        <x:v>勞工保險基金-115年7月.pdf</x:v>
      </x:c>
    </x:row>
    <x:row r="83">
      <x:c r="A83" s="37" t="n">
        <x:v>46204</x:v>
      </x:c>
      <x:c r="B83" s="31" t="str">
        <x:v>115年7月</x:v>
      </x:c>
      <x:c r="C83" s="31" t="str">
        <x:v>勞工保險</x:v>
      </x:c>
      <x:c r="D83" s="31" t="str">
        <x:v>國外</x:v>
      </x:c>
      <x:c r="E83" s="31" t="str">
        <x:v>105-1亞太混合指數增值股票型(續約)</x:v>
      </x:c>
      <x:c r="F83" s="40" t="n">
        <x:f>SUMIFS('國外委外明細'!$G$4:$G$188,'國外委外明細'!$A$4:$A$188,A83,'國外委外明細'!$C$4:$C$188,C83,'國外委外明細'!$E$4:$E$188,E83)</x:f>
        <x:v>151969815</x:v>
      </x:c>
      <x:c r="G83" s="40" t="n">
        <x:f>SUMIFS('國外委外明細'!$H$4:$H$188,'國外委外明細'!$A$4:$A$188,A83,'國外委外明細'!$C$4:$C$188,C83,'國外委外明細'!$E$4:$E$188,E83)</x:f>
        <x:v>266710574</x:v>
      </x:c>
      <x:c r="H83" s="43" t="n">
        <x:f>IFERROR(G83/F83-1,0)</x:f>
        <x:v>0.7550233511832596</x:v>
      </x:c>
      <x:c r="I83" s="43" t="n">
        <x:f>IFERROR(SUMIFS('國外委外明細'!$J$4:$J$188,'國外委外明細'!$A$4:$A$188,A83,'國外委外明細'!$C$4:$C$188,C83,'國外委外明細'!$E$4:$E$188,E83)/COUNTIFS('國外委外明細'!$A$4:$A$188,A83,'國外委外明細'!$C$4:$C$188,C83,'國外委外明細'!$E$4:$E$188,E83,'國外委外明細'!$J$4:$J$188,"&lt;&gt;"),0)</x:f>
        <x:v>0</x:v>
      </x:c>
      <x:c r="J83" s="31" t="str">
        <x:v>美元</x:v>
      </x:c>
      <x:c r="K83" s="32" t="str">
        <x:v>勞工保險基金-115年7月.pdf</x:v>
      </x:c>
    </x:row>
    <x:row r="84">
      <x:c r="A84" s="37" t="n">
        <x:v>46204</x:v>
      </x:c>
      <x:c r="B84" s="31" t="str">
        <x:v>115年7月</x:v>
      </x:c>
      <x:c r="C84" s="31" t="str">
        <x:v>勞工保險</x:v>
      </x:c>
      <x:c r="D84" s="31" t="str">
        <x:v>國外</x:v>
      </x:c>
      <x:c r="E84" s="31" t="str">
        <x:v>106-1絕對報酬債券型(續約)</x:v>
      </x:c>
      <x:c r="F84" s="40" t="n">
        <x:f>SUMIFS('國外委外明細'!$G$4:$G$188,'國外委外明細'!$A$4:$A$188,A84,'國外委外明細'!$C$4:$C$188,C84,'國外委外明細'!$E$4:$E$188,E84)</x:f>
        <x:v>663400522</x:v>
      </x:c>
      <x:c r="G84" s="40" t="n">
        <x:f>SUMIFS('國外委外明細'!$H$4:$H$188,'國外委外明細'!$A$4:$A$188,A84,'國外委外明細'!$C$4:$C$188,C84,'國外委外明細'!$E$4:$E$188,E84)</x:f>
        <x:v>836838676</x:v>
      </x:c>
      <x:c r="H84" s="43" t="n">
        <x:f>IFERROR(G84/F84-1,0)</x:f>
        <x:v>0.26143807285095866</x:v>
      </x:c>
      <x:c r="I84" s="43" t="n">
        <x:f>IFERROR(SUMIFS('國外委外明細'!$J$4:$J$188,'國外委外明細'!$A$4:$A$188,A84,'國外委外明細'!$C$4:$C$188,C84,'國外委外明細'!$E$4:$E$188,E84)/COUNTIFS('國外委外明細'!$A$4:$A$188,A84,'國外委外明細'!$C$4:$C$188,C84,'國外委外明細'!$E$4:$E$188,E84,'國外委外明細'!$J$4:$J$188,"&lt;&gt;"),0)</x:f>
        <x:v>0</x:v>
      </x:c>
      <x:c r="J84" s="31" t="str">
        <x:v>美元</x:v>
      </x:c>
      <x:c r="K84" s="32" t="str">
        <x:v>勞工保險基金-115年7月.pdf</x:v>
      </x:c>
    </x:row>
    <x:row r="85">
      <x:c r="A85" s="37" t="n">
        <x:v>46204</x:v>
      </x:c>
      <x:c r="B85" s="31" t="str">
        <x:v>115年7月</x:v>
      </x:c>
      <x:c r="C85" s="31" t="str">
        <x:v>國民年金</x:v>
      </x:c>
      <x:c r="D85" s="31" t="str">
        <x:v>國外</x:v>
      </x:c>
      <x:c r="E85" s="31" t="str">
        <x:v>104-1全球高品質被動股票型(續約2)</x:v>
      </x:c>
      <x:c r="F85" s="40" t="n">
        <x:f>SUMIFS('國外委外明細'!$G$4:$G$188,'國外委外明細'!$A$4:$A$188,A85,'國外委外明細'!$C$4:$C$188,C85,'國外委外明細'!$E$4:$E$188,E85)</x:f>
        <x:v>1019222527</x:v>
      </x:c>
      <x:c r="G85" s="40" t="n">
        <x:f>SUMIFS('國外委外明細'!$H$4:$H$188,'國外委外明細'!$A$4:$A$188,A85,'國外委外明細'!$C$4:$C$188,C85,'國外委外明細'!$E$4:$E$188,E85)</x:f>
        <x:v>1232038591</x:v>
      </x:c>
      <x:c r="H85" s="43" t="n">
        <x:f>IFERROR(G85/F85-1,0)</x:f>
        <x:v>0.2088023550915883</x:v>
      </x:c>
      <x:c r="I85" s="43" t="n">
        <x:f>IFERROR(SUMIFS('國外委外明細'!$J$4:$J$188,'國外委外明細'!$A$4:$A$188,A85,'國外委外明細'!$C$4:$C$188,C85,'國外委外明細'!$E$4:$E$188,E85)/COUNTIFS('國外委外明細'!$A$4:$A$188,A85,'國外委外明細'!$C$4:$C$188,C85,'國外委外明細'!$E$4:$E$188,E85,'國外委外明細'!$J$4:$J$188,"&lt;&gt;"),0)</x:f>
        <x:v>0</x:v>
      </x:c>
      <x:c r="J85" s="31" t="str">
        <x:v>美元</x:v>
      </x:c>
      <x:c r="K85" s="32" t="str">
        <x:v>國民年金保險基金-115年7月.pdf</x:v>
      </x:c>
    </x:row>
    <x:row r="86">
      <x:c r="A86" s="37" t="n">
        <x:v>46204</x:v>
      </x:c>
      <x:c r="B86" s="31" t="str">
        <x:v>115年7月</x:v>
      </x:c>
      <x:c r="C86" s="31" t="str">
        <x:v>國民年金</x:v>
      </x:c>
      <x:c r="D86" s="31" t="str">
        <x:v>國外</x:v>
      </x:c>
      <x:c r="E86" s="31" t="str">
        <x:v>104-2全球不動產有價證券型(續約2)</x:v>
      </x:c>
      <x:c r="F86" s="40" t="n">
        <x:f>SUMIFS('國外委外明細'!$G$4:$G$188,'國外委外明細'!$A$4:$A$188,A86,'國外委外明細'!$C$4:$C$188,C86,'國外委外明細'!$E$4:$E$188,E86)</x:f>
        <x:v>717816909</x:v>
      </x:c>
      <x:c r="G86" s="40" t="n">
        <x:f>SUMIFS('國外委外明細'!$H$4:$H$188,'國外委外明細'!$A$4:$A$188,A86,'國外委外明細'!$C$4:$C$188,C86,'國外委外明細'!$E$4:$E$188,E86)</x:f>
        <x:v>765459043</x:v>
      </x:c>
      <x:c r="H86" s="43" t="n">
        <x:f>IFERROR(G86/F86-1,0)</x:f>
        <x:v>0.06637087173994116</x:v>
      </x:c>
      <x:c r="I86" s="43" t="n">
        <x:f>IFERROR(SUMIFS('國外委外明細'!$J$4:$J$188,'國外委外明細'!$A$4:$A$188,A86,'國外委外明細'!$C$4:$C$188,C86,'國外委外明細'!$E$4:$E$188,E86)/COUNTIFS('國外委外明細'!$A$4:$A$188,A86,'國外委外明細'!$C$4:$C$188,C86,'國外委外明細'!$E$4:$E$188,E86,'國外委外明細'!$J$4:$J$188,"&lt;&gt;"),0)</x:f>
        <x:v>0</x:v>
      </x:c>
      <x:c r="J86" s="31" t="str">
        <x:v>美元</x:v>
      </x:c>
      <x:c r="K86" s="32" t="str">
        <x:v>國民年金保險基金-115年7月.pdf</x:v>
      </x:c>
    </x:row>
    <x:row r="87">
      <x:c r="A87" s="37" t="n">
        <x:v>46204</x:v>
      </x:c>
      <x:c r="B87" s="31" t="str">
        <x:v>115年7月</x:v>
      </x:c>
      <x:c r="C87" s="31" t="str">
        <x:v>國民年金</x:v>
      </x:c>
      <x:c r="D87" s="31" t="str">
        <x:v>國外</x:v>
      </x:c>
      <x:c r="E87" s="31" t="str">
        <x:v>105-1亞太混合指數增值股票型(續約)</x:v>
      </x:c>
      <x:c r="F87" s="40" t="n">
        <x:f>SUMIFS('國外委外明細'!$G$4:$G$188,'國外委外明細'!$A$4:$A$188,A87,'國外委外明細'!$C$4:$C$188,C87,'國外委外明細'!$E$4:$E$188,E87)</x:f>
        <x:v>151227051</x:v>
      </x:c>
      <x:c r="G87" s="40" t="n">
        <x:f>SUMIFS('國外委外明細'!$H$4:$H$188,'國外委外明細'!$A$4:$A$188,A87,'國外委外明細'!$C$4:$C$188,C87,'國外委外明細'!$E$4:$E$188,E87)</x:f>
        <x:v>265114862</x:v>
      </x:c>
      <x:c r="H87" s="43" t="n">
        <x:f>IFERROR(G87/F87-1,0)</x:f>
        <x:v>0.7530915285784419</x:v>
      </x:c>
      <x:c r="I87" s="43" t="n">
        <x:f>IFERROR(SUMIFS('國外委外明細'!$J$4:$J$188,'國外委外明細'!$A$4:$A$188,A87,'國外委外明細'!$C$4:$C$188,C87,'國外委外明細'!$E$4:$E$188,E87)/COUNTIFS('國外委外明細'!$A$4:$A$188,A87,'國外委外明細'!$C$4:$C$188,C87,'國外委外明細'!$E$4:$E$188,E87,'國外委外明細'!$J$4:$J$188,"&lt;&gt;"),0)</x:f>
        <x:v>0</x:v>
      </x:c>
      <x:c r="J87" s="31" t="str">
        <x:v>美元</x:v>
      </x:c>
      <x:c r="K87" s="32" t="str">
        <x:v>國民年金保險基金-115年7月.pdf</x:v>
      </x:c>
    </x:row>
    <x:row r="88">
      <x:c r="A88" s="37" t="n">
        <x:v>46204</x:v>
      </x:c>
      <x:c r="B88" s="31" t="str">
        <x:v>115年7月</x:v>
      </x:c>
      <x:c r="C88" s="31" t="str">
        <x:v>國民年金</x:v>
      </x:c>
      <x:c r="D88" s="31" t="str">
        <x:v>國外</x:v>
      </x:c>
      <x:c r="E88" s="31" t="str">
        <x:v>106-1全球ESG混合指數被動股票型(續約)</x:v>
      </x:c>
      <x:c r="F88" s="40" t="n">
        <x:f>SUMIFS('國外委外明細'!$G$4:$G$188,'國外委外明細'!$A$4:$A$188,A88,'國外委外明細'!$C$4:$C$188,C88,'國外委外明細'!$E$4:$E$188,E88)</x:f>
        <x:v>637470261</x:v>
      </x:c>
      <x:c r="G88" s="40" t="n">
        <x:f>SUMIFS('國外委外明細'!$H$4:$H$188,'國外委外明細'!$A$4:$A$188,A88,'國外委外明細'!$C$4:$C$188,C88,'國外委外明細'!$E$4:$E$188,E88)</x:f>
        <x:v>1237875737</x:v>
      </x:c>
      <x:c r="H88" s="43" t="n">
        <x:f>IFERROR(G88/F88-1,0)</x:f>
        <x:v>0.9418564484218348</x:v>
      </x:c>
      <x:c r="I88" s="43" t="n">
        <x:f>IFERROR(SUMIFS('國外委外明細'!$J$4:$J$188,'國外委外明細'!$A$4:$A$188,A88,'國外委外明細'!$C$4:$C$188,C88,'國外委外明細'!$E$4:$E$188,E88)/COUNTIFS('國外委外明細'!$A$4:$A$188,A88,'國外委外明細'!$C$4:$C$188,C88,'國外委外明細'!$E$4:$E$188,E88,'國外委外明細'!$J$4:$J$188,"&lt;&gt;"),0)</x:f>
        <x:v>0</x:v>
      </x:c>
      <x:c r="J88" s="31" t="str">
        <x:v>美元</x:v>
      </x:c>
      <x:c r="K88" s="32" t="str">
        <x:v>國民年金保險基金-115年7月.pdf</x:v>
      </x:c>
    </x:row>
    <x:row r="89">
      <x:c r="A89" s="37" t="n">
        <x:v>46204</x:v>
      </x:c>
      <x:c r="B89" s="31" t="str">
        <x:v>115年7月</x:v>
      </x:c>
      <x:c r="C89" s="31" t="str">
        <x:v>國民年金</x:v>
      </x:c>
      <x:c r="D89" s="31" t="str">
        <x:v>國外</x:v>
      </x:c>
      <x:c r="E89" s="31" t="str">
        <x:v>106-1絕對報酬債券型(續約)</x:v>
      </x:c>
      <x:c r="F89" s="40" t="n">
        <x:f>SUMIFS('國外委外明細'!$G$4:$G$188,'國外委外明細'!$A$4:$A$188,A89,'國外委外明細'!$C$4:$C$188,C89,'國外委外明細'!$E$4:$E$188,E89)</x:f>
        <x:v>497978842</x:v>
      </x:c>
      <x:c r="G89" s="40" t="n">
        <x:f>SUMIFS('國外委外明細'!$H$4:$H$188,'國外委外明細'!$A$4:$A$188,A89,'國外委外明細'!$C$4:$C$188,C89,'國外委外明細'!$E$4:$E$188,E89)</x:f>
        <x:v>625110290</x:v>
      </x:c>
      <x:c r="H89" s="43" t="n">
        <x:f>IFERROR(G89/F89-1,0)</x:f>
        <x:v>0.2552948785723712</x:v>
      </x:c>
      <x:c r="I89" s="43" t="n">
        <x:f>IFERROR(SUMIFS('國外委外明細'!$J$4:$J$188,'國外委外明細'!$A$4:$A$188,A89,'國外委外明細'!$C$4:$C$188,C89,'國外委外明細'!$E$4:$E$188,E89)/COUNTIFS('國外委外明細'!$A$4:$A$188,A89,'國外委外明細'!$C$4:$C$188,C89,'國外委外明細'!$E$4:$E$188,E89,'國外委外明細'!$J$4:$J$188,"&lt;&gt;"),0)</x:f>
        <x:v>0</x:v>
      </x:c>
      <x:c r="J89" s="31" t="str">
        <x:v>美元</x:v>
      </x:c>
      <x:c r="K89" s="32" t="str">
        <x:v>國民年金保險基金-115年7月.pdf</x:v>
      </x:c>
    </x:row>
    <x:row r="90">
      <x:c r="A90" s="37" t="n">
        <x:v>46204</x:v>
      </x:c>
      <x:c r="B90" s="31" t="str">
        <x:v>115年7月</x:v>
      </x:c>
      <x:c r="C90" s="31" t="str">
        <x:v>國民年金</x:v>
      </x:c>
      <x:c r="D90" s="31" t="str">
        <x:v>國外</x:v>
      </x:c>
      <x:c r="E90" s="31" t="str">
        <x:v>107-1絕對報酬股票型(續約)</x:v>
      </x:c>
      <x:c r="F90" s="40" t="n">
        <x:f>SUMIFS('國外委外明細'!$G$4:$G$188,'國外委外明細'!$A$4:$A$188,A90,'國外委外明細'!$C$4:$C$188,C90,'國外委外明細'!$E$4:$E$188,E90)</x:f>
        <x:v>635202868</x:v>
      </x:c>
      <x:c r="G90" s="40" t="n">
        <x:f>SUMIFS('國外委外明細'!$H$4:$H$188,'國外委外明細'!$A$4:$A$188,A90,'國外委外明細'!$C$4:$C$188,C90,'國外委外明細'!$E$4:$E$188,E90)</x:f>
        <x:v>934426421</x:v>
      </x:c>
      <x:c r="H90" s="43" t="n">
        <x:f>IFERROR(G90/F90-1,0)</x:f>
        <x:v>0.4710676983278357</x:v>
      </x:c>
      <x:c r="I90" s="43" t="n">
        <x:f>IFERROR(SUMIFS('國外委外明細'!$J$4:$J$188,'國外委外明細'!$A$4:$A$188,A90,'國外委外明細'!$C$4:$C$188,C90,'國外委外明細'!$E$4:$E$188,E90)/COUNTIFS('國外委外明細'!$A$4:$A$188,A90,'國外委外明細'!$C$4:$C$188,C90,'國外委外明細'!$E$4:$E$188,E90,'國外委外明細'!$J$4:$J$188,"&lt;&gt;"),0)</x:f>
        <x:v>0</x:v>
      </x:c>
      <x:c r="J90" s="31" t="str">
        <x:v>美元</x:v>
      </x:c>
      <x:c r="K90" s="32" t="str">
        <x:v>國民年金保險基金-115年7月.pdf</x:v>
      </x:c>
    </x:row>
    <x:row r="91">
      <x:c r="A91" s="37" t="n">
        <x:v>46204</x:v>
      </x:c>
      <x:c r="B91" s="31" t="str">
        <x:v>115年7月</x:v>
      </x:c>
      <x:c r="C91" s="31" t="str">
        <x:v>國民年金</x:v>
      </x:c>
      <x:c r="D91" s="31" t="str">
        <x:v>國外</x:v>
      </x:c>
      <x:c r="E91" s="31" t="str">
        <x:v>109-1全球美元公司增值債券型(續約)</x:v>
      </x:c>
      <x:c r="F91" s="40" t="n">
        <x:f>SUMIFS('國外委外明細'!$G$4:$G$188,'國外委外明細'!$A$4:$A$188,A91,'國外委外明細'!$C$4:$C$188,C91,'國外委外明細'!$E$4:$E$188,E91)</x:f>
        <x:v>380152423</x:v>
      </x:c>
      <x:c r="G91" s="40" t="n">
        <x:f>SUMIFS('國外委外明細'!$H$4:$H$188,'國外委外明細'!$A$4:$A$188,A91,'國外委外明細'!$C$4:$C$188,C91,'國外委外明細'!$E$4:$E$188,E91)</x:f>
        <x:v>376789882</x:v>
      </x:c>
      <x:c r="H91" s="43" t="n">
        <x:f>IFERROR(G91/F91-1,0)</x:f>
        <x:v>-0.008845244161445165</x:v>
      </x:c>
      <x:c r="I91" s="43" t="n">
        <x:f>IFERROR(SUMIFS('國外委外明細'!$J$4:$J$188,'國外委外明細'!$A$4:$A$188,A91,'國外委外明細'!$C$4:$C$188,C91,'國外委外明細'!$E$4:$E$188,E91)/COUNTIFS('國外委外明細'!$A$4:$A$188,A91,'國外委外明細'!$C$4:$C$188,C91,'國外委外明細'!$E$4:$E$188,E91,'國外委外明細'!$J$4:$J$188,"&lt;&gt;"),0)</x:f>
        <x:v>0</x:v>
      </x:c>
      <x:c r="J91" s="31" t="str">
        <x:v>美元</x:v>
      </x:c>
      <x:c r="K91" s="32" t="str">
        <x:v>國民年金保險基金-115年7月.pdf</x:v>
      </x:c>
    </x:row>
    <x:row r="92">
      <x:c r="A92" s="37" t="n">
        <x:v>46204</x:v>
      </x:c>
      <x:c r="B92" s="31" t="str">
        <x:v>115年7月</x:v>
      </x:c>
      <x:c r="C92" s="31" t="str">
        <x:v>國民年金</x:v>
      </x:c>
      <x:c r="D92" s="31" t="str">
        <x:v>國外</x:v>
      </x:c>
      <x:c r="E92" s="31" t="str">
        <x:v>110-1全球多元資產型</x:v>
      </x:c>
      <x:c r="F92" s="40" t="n">
        <x:f>SUMIFS('國外委外明細'!$G$4:$G$188,'國外委外明細'!$A$4:$A$188,A92,'國外委外明細'!$C$4:$C$188,C92,'國外委外明細'!$E$4:$E$188,E92)</x:f>
        <x:v>400000000</x:v>
      </x:c>
      <x:c r="G92" s="40" t="n">
        <x:f>SUMIFS('國外委外明細'!$H$4:$H$188,'國外委外明細'!$A$4:$A$188,A92,'國外委外明細'!$C$4:$C$188,C92,'國外委外明細'!$E$4:$E$188,E92)</x:f>
        <x:v>505705290</x:v>
      </x:c>
      <x:c r="H92" s="43" t="n">
        <x:f>IFERROR(G92/F92-1,0)</x:f>
        <x:v>0.2642632250000001</x:v>
      </x:c>
      <x:c r="I92" s="43" t="n">
        <x:f>IFERROR(SUMIFS('國外委外明細'!$J$4:$J$188,'國外委外明細'!$A$4:$A$188,A92,'國外委外明細'!$C$4:$C$188,C92,'國外委外明細'!$E$4:$E$188,E92)/COUNTIFS('國外委外明細'!$A$4:$A$188,A92,'國外委外明細'!$C$4:$C$188,C92,'國外委外明細'!$E$4:$E$188,E92,'國外委外明細'!$J$4:$J$188,"&lt;&gt;"),0)</x:f>
        <x:v>0</x:v>
      </x:c>
      <x:c r="J92" s="31" t="str">
        <x:v>美元</x:v>
      </x:c>
      <x:c r="K92" s="32" t="str">
        <x:v>國民年金保險基金-115年7月.pdf</x:v>
      </x:c>
    </x:row>
    <x:row r="93">
      <x:c r="A93" s="37" t="n">
        <x:v>46204</x:v>
      </x:c>
      <x:c r="B93" s="31" t="str">
        <x:v>115年7月</x:v>
      </x:c>
      <x:c r="C93" s="31" t="str">
        <x:v>國民年金</x:v>
      </x:c>
      <x:c r="D93" s="31" t="str">
        <x:v>國外</x:v>
      </x:c>
      <x:c r="E93" s="31" t="str">
        <x:v>111-1全球氣候變遷股票型</x:v>
      </x:c>
      <x:c r="F93" s="40" t="n">
        <x:f>SUMIFS('國外委外明細'!$G$4:$G$188,'國外委外明細'!$A$4:$A$188,A93,'國外委外明細'!$C$4:$C$188,C93,'國外委外明細'!$E$4:$E$188,E93)</x:f>
        <x:v>300000000</x:v>
      </x:c>
      <x:c r="G93" s="40" t="n">
        <x:f>SUMIFS('國外委外明細'!$H$4:$H$188,'國外委外明細'!$A$4:$A$188,A93,'國外委外明細'!$C$4:$C$188,C93,'國外委外明細'!$E$4:$E$188,E93)</x:f>
        <x:v>435592195</x:v>
      </x:c>
      <x:c r="H93" s="43" t="n">
        <x:f>IFERROR(G93/F93-1,0)</x:f>
        <x:v>0.4519739833333334</x:v>
      </x:c>
      <x:c r="I93" s="43" t="n">
        <x:f>IFERROR(SUMIFS('國外委外明細'!$J$4:$J$188,'國外委外明細'!$A$4:$A$188,A93,'國外委外明細'!$C$4:$C$188,C93,'國外委外明細'!$E$4:$E$188,E93)/COUNTIFS('國外委外明細'!$A$4:$A$188,A93,'國外委外明細'!$C$4:$C$188,C93,'國外委外明細'!$E$4:$E$188,E93,'國外委外明細'!$J$4:$J$188,"&lt;&gt;"),0)</x:f>
        <x:v>0</x:v>
      </x:c>
      <x:c r="J93" s="31" t="str">
        <x:v>美元</x:v>
      </x:c>
      <x:c r="K93" s="32" t="str">
        <x:v>國民年金保險基金-115年7月.pdf</x:v>
      </x:c>
    </x:row>
    <x:row r="94">
      <x:c r="A94" s="37" t="n">
        <x:v>46204</x:v>
      </x:c>
      <x:c r="B94" s="31" t="str">
        <x:v>115年7月</x:v>
      </x:c>
      <x:c r="C94" s="31" t="str">
        <x:v>國民年金</x:v>
      </x:c>
      <x:c r="D94" s="31" t="str">
        <x:v>國外</x:v>
      </x:c>
      <x:c r="E94" s="31" t="str">
        <x:v>112-1全球被動股票型</x:v>
      </x:c>
      <x:c r="F94" s="40" t="n">
        <x:f>SUMIFS('國外委外明細'!$G$4:$G$188,'國外委外明細'!$A$4:$A$188,A94,'國外委外明細'!$C$4:$C$188,C94,'國外委外明細'!$E$4:$E$188,E94)</x:f>
        <x:v>400000000</x:v>
      </x:c>
      <x:c r="G94" s="40" t="n">
        <x:f>SUMIFS('國外委外明細'!$H$4:$H$188,'國外委外明細'!$A$4:$A$188,A94,'國外委外明細'!$C$4:$C$188,C94,'國外委外明細'!$E$4:$E$188,E94)</x:f>
        <x:v>544798662</x:v>
      </x:c>
      <x:c r="H94" s="43" t="n">
        <x:f>IFERROR(G94/F94-1,0)</x:f>
        <x:v>0.361996655</x:v>
      </x:c>
      <x:c r="I94" s="43" t="n">
        <x:f>IFERROR(SUMIFS('國外委外明細'!$J$4:$J$188,'國外委外明細'!$A$4:$A$188,A94,'國外委外明細'!$C$4:$C$188,C94,'國外委外明細'!$E$4:$E$188,E94)/COUNTIFS('國外委外明細'!$A$4:$A$188,A94,'國外委外明細'!$C$4:$C$188,C94,'國外委外明細'!$E$4:$E$188,E94,'國外委外明細'!$J$4:$J$188,"&lt;&gt;"),0)</x:f>
        <x:v>0</x:v>
      </x:c>
      <x:c r="J94" s="31" t="str">
        <x:v>美元</x:v>
      </x:c>
      <x:c r="K94" s="32" t="str">
        <x:v>國民年金保險基金-115年7月.pdf</x:v>
      </x:c>
    </x:row>
    <x:row r="95">
      <x:c r="A95" s="37" t="n">
        <x:v>46204</x:v>
      </x:c>
      <x:c r="B95" s="31" t="str">
        <x:v>115年7月</x:v>
      </x:c>
      <x:c r="C95" s="31" t="str">
        <x:v>新制</x:v>
      </x:c>
      <x:c r="D95" s="31" t="str">
        <x:v>國外</x:v>
      </x:c>
      <x:c r="E95" s="31" t="str">
        <x:v>100-1全球基本面指數被動股票型（續約2）</x:v>
      </x:c>
      <x:c r="F95" s="40" t="n">
        <x:f>SUMIFS('國外委外明細'!$G$4:$G$188,'國外委外明細'!$A$4:$A$188,A95,'國外委外明細'!$C$4:$C$188,C95,'國外委外明細'!$E$4:$E$188,E95)</x:f>
        <x:v>0</x:v>
      </x:c>
      <x:c r="G95" s="40" t="n">
        <x:f>SUMIFS('國外委外明細'!$H$4:$H$188,'國外委外明細'!$A$4:$A$188,A95,'國外委外明細'!$C$4:$C$188,C95,'國外委外明細'!$E$4:$E$188,E95)</x:f>
        <x:v>0</x:v>
      </x:c>
      <x:c r="H95" s="43" t="n">
        <x:f>IFERROR(G95/F95-1,0)</x:f>
        <x:v>0</x:v>
      </x:c>
      <x:c r="I95" s="43" t="n">
        <x:f>IFERROR(SUMIFS('國外委外明細'!$J$4:$J$188,'國外委外明細'!$A$4:$A$188,A95,'國外委外明細'!$C$4:$C$188,C95,'國外委外明細'!$E$4:$E$188,E95)/COUNTIFS('國外委外明細'!$A$4:$A$188,A95,'國外委外明細'!$C$4:$C$188,C95,'國外委外明細'!$E$4:$E$188,E95,'國外委外明細'!$J$4:$J$188,"&lt;&gt;"),0)</x:f>
        <x:v>0</x:v>
      </x:c>
      <x:c r="J95" s="31" t="str">
        <x:v>美元</x:v>
      </x:c>
      <x:c r="K95" s="32" t="str"/>
    </x:row>
    <x:row r="96">
      <x:c r="A96" s="37" t="n">
        <x:v>46204</x:v>
      </x:c>
      <x:c r="B96" s="31" t="str">
        <x:v>115年7月</x:v>
      </x:c>
      <x:c r="C96" s="31" t="str">
        <x:v>新制</x:v>
      </x:c>
      <x:c r="D96" s="31" t="str">
        <x:v>國外</x:v>
      </x:c>
      <x:c r="E96" s="31" t="str">
        <x:v>104-2全球基礎建設有價證券型（續約）</x:v>
      </x:c>
      <x:c r="F96" s="40" t="n">
        <x:f>SUMIFS('國外委外明細'!$G$4:$G$188,'國外委外明細'!$A$4:$A$188,A96,'國外委外明細'!$C$4:$C$188,C96,'國外委外明細'!$E$4:$E$188,E96)</x:f>
        <x:v>0</x:v>
      </x:c>
      <x:c r="G96" s="40" t="n">
        <x:f>SUMIFS('國外委外明細'!$H$4:$H$188,'國外委外明細'!$A$4:$A$188,A96,'國外委外明細'!$C$4:$C$188,C96,'國外委外明細'!$E$4:$E$188,E96)</x:f>
        <x:v>0</x:v>
      </x:c>
      <x:c r="H96" s="43" t="n">
        <x:f>IFERROR(G96/F96-1,0)</x:f>
        <x:v>0</x:v>
      </x:c>
      <x:c r="I96" s="43" t="n">
        <x:f>IFERROR(SUMIFS('國外委外明細'!$J$4:$J$188,'國外委外明細'!$A$4:$A$188,A96,'國外委外明細'!$C$4:$C$188,C96,'國外委外明細'!$E$4:$E$188,E96)/COUNTIFS('國外委外明細'!$A$4:$A$188,A96,'國外委外明細'!$C$4:$C$188,C96,'國外委外明細'!$E$4:$E$188,E96,'國外委外明細'!$J$4:$J$188,"&lt;&gt;"),0)</x:f>
        <x:v>0</x:v>
      </x:c>
      <x:c r="J96" s="31" t="str">
        <x:v>美元</x:v>
      </x:c>
      <x:c r="K96" s="32" t="str"/>
    </x:row>
    <x:row r="97">
      <x:c r="A97" s="37" t="n">
        <x:v>46204</x:v>
      </x:c>
      <x:c r="B97" s="31" t="str">
        <x:v>115年7月</x:v>
      </x:c>
      <x:c r="C97" s="31" t="str">
        <x:v>新制</x:v>
      </x:c>
      <x:c r="D97" s="31" t="str">
        <x:v>國外</x:v>
      </x:c>
      <x:c r="E97" s="31" t="str">
        <x:v>105-1全球多元資產型(續約)</x:v>
      </x:c>
      <x:c r="F97" s="40" t="n">
        <x:f>SUMIFS('國外委外明細'!$G$4:$G$188,'國外委外明細'!$A$4:$A$188,A97,'國外委外明細'!$C$4:$C$188,C97,'國外委外明細'!$E$4:$E$188,E97)</x:f>
        <x:v>0</x:v>
      </x:c>
      <x:c r="G97" s="40" t="n">
        <x:f>SUMIFS('國外委外明細'!$H$4:$H$188,'國外委外明細'!$A$4:$A$188,A97,'國外委外明細'!$C$4:$C$188,C97,'國外委外明細'!$E$4:$E$188,E97)</x:f>
        <x:v>0</x:v>
      </x:c>
      <x:c r="H97" s="43" t="n">
        <x:f>IFERROR(G97/F97-1,0)</x:f>
        <x:v>0</x:v>
      </x:c>
      <x:c r="I97" s="43" t="n">
        <x:f>IFERROR(SUMIFS('國外委外明細'!$J$4:$J$188,'國外委外明細'!$A$4:$A$188,A97,'國外委外明細'!$C$4:$C$188,C97,'國外委外明細'!$E$4:$E$188,E97)/COUNTIFS('國外委外明細'!$A$4:$A$188,A97,'國外委外明細'!$C$4:$C$188,C97,'國外委外明細'!$E$4:$E$188,E97,'國外委外明細'!$J$4:$J$188,"&lt;&gt;"),0)</x:f>
        <x:v>0</x:v>
      </x:c>
      <x:c r="J97" s="31" t="str">
        <x:v>美元</x:v>
      </x:c>
      <x:c r="K97" s="32" t="str"/>
    </x:row>
    <x:row r="98">
      <x:c r="A98" s="37" t="n">
        <x:v>46204</x:v>
      </x:c>
      <x:c r="B98" s="31" t="str">
        <x:v>115年7月</x:v>
      </x:c>
      <x:c r="C98" s="31" t="str">
        <x:v>舊制</x:v>
      </x:c>
      <x:c r="D98" s="31" t="str">
        <x:v>國外</x:v>
      </x:c>
      <x:c r="E98" s="31" t="str">
        <x:v>100-1全球基本面指數被動股票型(續約2)</x:v>
      </x:c>
      <x:c r="F98" s="40" t="n">
        <x:f>SUMIFS('國外委外明細'!$G$4:$G$188,'國外委外明細'!$A$4:$A$188,A98,'國外委外明細'!$C$4:$C$188,C98,'國外委外明細'!$E$4:$E$188,E98)</x:f>
        <x:v>0</x:v>
      </x:c>
      <x:c r="G98" s="40" t="n">
        <x:f>SUMIFS('國外委外明細'!$H$4:$H$188,'國外委外明細'!$A$4:$A$188,A98,'國外委外明細'!$C$4:$C$188,C98,'國外委外明細'!$E$4:$E$188,E98)</x:f>
        <x:v>0</x:v>
      </x:c>
      <x:c r="H98" s="43" t="n">
        <x:f>IFERROR(G98/F98-1,0)</x:f>
        <x:v>0</x:v>
      </x:c>
      <x:c r="I98" s="43" t="n">
        <x:f>IFERROR(SUMIFS('國外委外明細'!$J$4:$J$188,'國外委外明細'!$A$4:$A$188,A98,'國外委外明細'!$C$4:$C$188,C98,'國外委外明細'!$E$4:$E$188,E98)/COUNTIFS('國外委外明細'!$A$4:$A$188,A98,'國外委外明細'!$C$4:$C$188,C98,'國外委外明細'!$E$4:$E$188,E98,'國外委外明細'!$J$4:$J$188,"&lt;&gt;"),0)</x:f>
        <x:v>0</x:v>
      </x:c>
      <x:c r="J98" s="31" t="str">
        <x:v>美元</x:v>
      </x:c>
      <x:c r="K98" s="32" t="str"/>
    </x:row>
    <x:row r="99">
      <x:c r="A99" s="37" t="n">
        <x:v>46204</x:v>
      </x:c>
      <x:c r="B99" s="31" t="str">
        <x:v>115年7月</x:v>
      </x:c>
      <x:c r="C99" s="31" t="str">
        <x:v>舊制</x:v>
      </x:c>
      <x:c r="D99" s="31" t="str">
        <x:v>國外</x:v>
      </x:c>
      <x:c r="E99" s="31" t="str">
        <x:v>105-1全球多元資產型(續約)</x:v>
      </x:c>
      <x:c r="F99" s="40" t="n">
        <x:f>SUMIFS('國外委外明細'!$G$4:$G$188,'國外委外明細'!$A$4:$A$188,A99,'國外委外明細'!$C$4:$C$188,C99,'國外委外明細'!$E$4:$E$188,E99)</x:f>
        <x:v>0</x:v>
      </x:c>
      <x:c r="G99" s="40" t="n">
        <x:f>SUMIFS('國外委外明細'!$H$4:$H$188,'國外委外明細'!$A$4:$A$188,A99,'國外委外明細'!$C$4:$C$188,C99,'國外委外明細'!$E$4:$E$188,E99)</x:f>
        <x:v>0</x:v>
      </x:c>
      <x:c r="H99" s="43" t="n">
        <x:f>IFERROR(G99/F99-1,0)</x:f>
        <x:v>0</x:v>
      </x:c>
      <x:c r="I99" s="43" t="n">
        <x:f>IFERROR(SUMIFS('國外委外明細'!$J$4:$J$188,'國外委外明細'!$A$4:$A$188,A99,'國外委外明細'!$C$4:$C$188,C99,'國外委外明細'!$E$4:$E$188,E99)/COUNTIFS('國外委外明細'!$A$4:$A$188,A99,'國外委外明細'!$C$4:$C$188,C99,'國外委外明細'!$E$4:$E$188,E99,'國外委外明細'!$J$4:$J$188,"&lt;&gt;"),0)</x:f>
        <x:v>0</x:v>
      </x:c>
      <x:c r="J99" s="31" t="str">
        <x:v>美元</x:v>
      </x:c>
      <x:c r="K99" s="32" t="str"/>
    </x:row>
    <x:row r="100">
      <x:c r="A100" s="37" t="n">
        <x:v>46204</x:v>
      </x:c>
      <x:c r="B100" s="31" t="str">
        <x:v>115年7月</x:v>
      </x:c>
      <x:c r="C100" s="31" t="str">
        <x:v>勞工保險</x:v>
      </x:c>
      <x:c r="D100" s="31" t="str">
        <x:v>國外</x:v>
      </x:c>
      <x:c r="E100" s="31" t="str">
        <x:v>109年第二次委託經營(相對報酬)</x:v>
      </x:c>
      <x:c r="F100" s="40" t="n">
        <x:f>SUMIFS('國外委外明細'!$G$4:$G$188,'國外委外明細'!$A$4:$A$188,A100,'國外委外明細'!$C$4:$C$188,C100,'國外委外明細'!$E$4:$E$188,E100)</x:f>
        <x:v>0</x:v>
      </x:c>
      <x:c r="G100" s="40" t="n">
        <x:f>SUMIFS('國外委外明細'!$H$4:$H$188,'國外委外明細'!$A$4:$A$188,A100,'國外委外明細'!$C$4:$C$188,C100,'國外委外明細'!$E$4:$E$188,E100)</x:f>
        <x:v>0</x:v>
      </x:c>
      <x:c r="H100" s="43" t="n">
        <x:f>IFERROR(G100/F100-1,0)</x:f>
        <x:v>0</x:v>
      </x:c>
      <x:c r="I100" s="43" t="n">
        <x:f>IFERROR(SUMIFS('國外委外明細'!$J$4:$J$188,'國外委外明細'!$A$4:$A$188,A100,'國外委外明細'!$C$4:$C$188,C100,'國外委外明細'!$E$4:$E$188,E100)/COUNTIFS('國外委外明細'!$A$4:$A$188,A100,'國外委外明細'!$C$4:$C$188,C100,'國外委外明細'!$E$4:$E$188,E100,'國外委外明細'!$J$4:$J$188,"&lt;&gt;"),0)</x:f>
        <x:v>0</x:v>
      </x:c>
      <x:c r="J100" s="31" t="str">
        <x:v>新臺幣元</x:v>
      </x:c>
      <x:c r="K100" s="32" t="str"/>
    </x:row>
    <x:row r="101">
      <x:c r="A101" s="37" t="n">
        <x:v>46204</x:v>
      </x:c>
      <x:c r="B101" s="31" t="str">
        <x:v>115年7月</x:v>
      </x:c>
      <x:c r="C101" s="31" t="str">
        <x:v>勞工保險</x:v>
      </x:c>
      <x:c r="D101" s="31" t="str">
        <x:v>國外</x:v>
      </x:c>
      <x:c r="E101" s="31" t="str">
        <x:v>105-1全球多元資產型(續約)</x:v>
      </x:c>
      <x:c r="F101" s="40" t="n">
        <x:f>SUMIFS('國外委外明細'!$G$4:$G$188,'國外委外明細'!$A$4:$A$188,A101,'國外委外明細'!$C$4:$C$188,C101,'國外委外明細'!$E$4:$E$188,E101)</x:f>
        <x:v>0</x:v>
      </x:c>
      <x:c r="G101" s="40" t="n">
        <x:f>SUMIFS('國外委外明細'!$H$4:$H$188,'國外委外明細'!$A$4:$A$188,A101,'國外委外明細'!$C$4:$C$188,C101,'國外委外明細'!$E$4:$E$188,E101)</x:f>
        <x:v>0</x:v>
      </x:c>
      <x:c r="H101" s="43" t="n">
        <x:f>IFERROR(G101/F101-1,0)</x:f>
        <x:v>0</x:v>
      </x:c>
      <x:c r="I101" s="43" t="n">
        <x:f>IFERROR(SUMIFS('國外委外明細'!$J$4:$J$188,'國外委外明細'!$A$4:$A$188,A101,'國外委外明細'!$C$4:$C$188,C101,'國外委外明細'!$E$4:$E$188,E101)/COUNTIFS('國外委外明細'!$A$4:$A$188,A101,'國外委外明細'!$C$4:$C$188,C101,'國外委外明細'!$E$4:$E$188,E101,'國外委外明細'!$J$4:$J$188,"&lt;&gt;"),0)</x:f>
        <x:v>0</x:v>
      </x:c>
      <x:c r="J101" s="31" t="str">
        <x:v>美元</x:v>
      </x:c>
      <x:c r="K101" s="32" t="str"/>
    </x:row>
    <x:row r="102">
      <x:c r="A102" s="38" t="n">
        <x:v>46204</x:v>
      </x:c>
      <x:c r="B102" s="34" t="str">
        <x:v>115年7月</x:v>
      </x:c>
      <x:c r="C102" s="34" t="str">
        <x:v>國民年金</x:v>
      </x:c>
      <x:c r="D102" s="34" t="str">
        <x:v>國外</x:v>
      </x:c>
      <x:c r="E102" s="34" t="str">
        <x:v>104-1全球主權信用增值債券型(續約2)</x:v>
      </x:c>
      <x:c r="F102" s="41" t="n">
        <x:f>SUMIFS('國外委外明細'!$G$4:$G$188,'國外委外明細'!$A$4:$A$188,A102,'國外委外明細'!$C$4:$C$188,C102,'國外委外明細'!$E$4:$E$188,E102)</x:f>
        <x:v>0</x:v>
      </x:c>
      <x:c r="G102" s="41" t="n">
        <x:f>SUMIFS('國外委外明細'!$H$4:$H$188,'國外委外明細'!$A$4:$A$188,A102,'國外委外明細'!$C$4:$C$188,C102,'國外委外明細'!$E$4:$E$188,E102)</x:f>
        <x:v>0</x:v>
      </x:c>
      <x:c r="H102" s="44" t="n">
        <x:f>IFERROR(G102/F102-1,0)</x:f>
        <x:v>0</x:v>
      </x:c>
      <x:c r="I102" s="44" t="n">
        <x:f>IFERROR(SUMIFS('國外委外明細'!$J$4:$J$188,'國外委外明細'!$A$4:$A$188,A102,'國外委外明細'!$C$4:$C$188,C102,'國外委外明細'!$E$4:$E$188,E102)/COUNTIFS('國外委外明細'!$A$4:$A$188,A102,'國外委外明細'!$C$4:$C$188,C102,'國外委外明細'!$E$4:$E$188,E102,'國外委外明細'!$J$4:$J$188,"&lt;&gt;"),0)</x:f>
        <x:v>0</x:v>
      </x:c>
      <x:c r="J102" s="34" t="str">
        <x:v>美元</x:v>
      </x:c>
      <x:c r="K102" s="35" t="str"/>
    </x:row>
    <x:row r="104">
      <x:c r="A104" s="46" t="str">
        <x:v>* 投資報酬率採「目前淨資產 ÷ 委託金額 − 1」計算；目標／指標報酬率採同批次受託機構之平均，便於跨批次比較。</x:v>
      </x:c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</x:row>
  </x:sheetData>
  <x:mergeCells>
    <x:mergeCell ref="A1:K1"/>
    <x:mergeCell ref="A104:K104"/>
  </x:mergeCells>
  <x:pageMargins left="0.7" right="0.7" top="0.75" bottom="0.75" header="0.3" footer="0.3"/>
  <x:tableParts count="1">
    <x:tablePart xmlns:r="http://schemas.openxmlformats.org/officeDocument/2006/relationships" r:id="R10e4eba110fe483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12.779999732971191" hidden="0" customWidth="1"/>
    <x:col min="3" max="3" width="18.440000534057617" hidden="0" customWidth="1"/>
    <x:col min="4" max="4" width="16.780000686645508" hidden="0" customWidth="1"/>
    <x:col min="5" max="5" width="3.7799999713897705" hidden="0" customWidth="1"/>
    <x:col min="6" max="6" width="5.329999923706055" hidden="0" customWidth="1"/>
    <x:col min="7" max="7" width="22" hidden="0" customWidth="1"/>
    <x:col min="8" max="8" width="11.779999732971191" hidden="0" customWidth="1"/>
    <x:col min="9" max="9" width="11.779999732971191" hidden="0" customWidth="1"/>
    <x:col min="10" max="10" width="16.780000686645508" hidden="0" customWidth="1"/>
    <x:col min="11" max="11" width="3.7799999713897705" hidden="0" customWidth="1"/>
    <x:col min="12" max="12" width="5.32999992370605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0" customHeight="1">
      <x:c r="A1" s="4" t="str">
        <x:v>受託業者彙總｜依最新月份、基金與區域篩選後排序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>
      <x:c r="A3" s="15" t="str">
        <x:v>控制項</x:v>
      </x:c>
      <x:c r="B3" s="16" t="str">
        <x:v>值</x:v>
      </x:c>
      <x:c r="C3" s="17" t="str">
        <x:v>說明</x:v>
      </x:c>
      <x:c r="M3" s="15" t="str">
        <x:v>國內委外｜前十名+其他</x:v>
      </x:c>
      <x:c r="N3" s="16" t="str">
        <x:v>委託金額</x:v>
      </x:c>
      <x:c r="O3" s="17" t="str">
        <x:v>市占率</x:v>
      </x:c>
      <x:c r="P3" s="15" t="str">
        <x:v>國外委外｜前十名+其他</x:v>
      </x:c>
      <x:c r="Q3" s="16" t="str">
        <x:v>委託金額</x:v>
      </x:c>
      <x:c r="R3" s="17" t="str">
        <x:v>市占率</x:v>
      </x:c>
      <x:c r="S3" t="str">
        <x:v>國內市占率圖表標籤</x:v>
      </x:c>
      <x:c r="T3" t="str">
        <x:v>市占率</x:v>
      </x:c>
      <x:c r="V3" t="str">
        <x:v>國外市占率圖表標籤</x:v>
      </x:c>
      <x:c r="W3" t="str">
        <x:v>市占率</x:v>
      </x:c>
    </x:row>
    <x:row r="4">
      <x:c r="A4" s="27" t="str">
        <x:v>最新月份</x:v>
      </x:c>
      <x:c r="B4" s="48" t="n">
        <x:v>46204</x:v>
      </x:c>
      <x:c r="C4" s="29" t="str">
        <x:v>可改為其他資料月份</x:v>
      </x:c>
      <x:c r="N4" s="51"/>
      <x:c r="O4" s="50"/>
      <x:c r="P4" t="str">
        <x:f>G9&amp;" "&amp;TEXT(J9,"0.0%")</x:f>
        <x:v>貝萊德 14.3%</x:v>
      </x:c>
      <x:c r="Q4" s="51" t="n">
        <x:f>I9</x:f>
        <x:v>17827431853</x:v>
      </x:c>
      <x:c r="R4" s="50" t="n">
        <x:f>Q4/SUM($Q$4:$Q$14)</x:f>
        <x:v>0.1425863938130672</x:v>
      </x:c>
      <x:c r="S4" t="n">
        <x:f>M4</x:f>
        <x:v>0</x:v>
      </x:c>
      <x:c r="T4" s="50" t="n">
        <x:f>O4</x:f>
        <x:v>0</x:v>
      </x:c>
      <x:c r="V4" t="str">
        <x:f>P4</x:f>
        <x:v>貝萊德 14.3%</x:v>
      </x:c>
      <x:c r="W4" s="50" t="n">
        <x:f>R4</x:f>
        <x:v>0.1425863938130672</x:v>
      </x:c>
    </x:row>
    <x:row r="5">
      <x:c r="A5" s="33" t="str">
        <x:v>基金</x:v>
      </x:c>
      <x:c r="B5" s="49" t="str">
        <x:v>全部</x:v>
      </x:c>
      <x:c r="C5" s="35" t="str">
        <x:v>輸入：全部／新制／舊制</x:v>
      </x:c>
      <x:c r="N5" s="51"/>
      <x:c r="O5" s="50"/>
      <x:c r="P5" t="str">
        <x:f>G10&amp;" "&amp;TEXT(J10,"0.0%")</x:f>
        <x:v>道富 9.8%</x:v>
      </x:c>
      <x:c r="Q5" s="51" t="n">
        <x:f>I10</x:f>
        <x:v>12270337973</x:v>
      </x:c>
      <x:c r="R5" s="50" t="n">
        <x:f>Q5/SUM($Q$4:$Q$14)</x:f>
        <x:v>0.09813994841568788</x:v>
      </x:c>
      <x:c r="S5" t="n">
        <x:f>M5</x:f>
        <x:v>0</x:v>
      </x:c>
      <x:c r="T5" s="50" t="n">
        <x:f>O5</x:f>
        <x:v>0</x:v>
      </x:c>
      <x:c r="V5" t="str">
        <x:f>P5</x:f>
        <x:v>道富 9.8%</x:v>
      </x:c>
      <x:c r="W5" s="50" t="n">
        <x:f>R5</x:f>
        <x:v>0.09813994841568788</x:v>
      </x:c>
    </x:row>
    <x:row r="6">
      <x:c r="N6" s="51"/>
      <x:c r="O6" s="50"/>
      <x:c r="P6" t="str">
        <x:f>G11&amp;" "&amp;TEXT(J11,"0.0%")</x:f>
        <x:v>北美信託 6.6%</x:v>
      </x:c>
      <x:c r="Q6" s="51" t="n">
        <x:f>I11</x:f>
        <x:v>8229076099</x:v>
      </x:c>
      <x:c r="R6" s="50" t="n">
        <x:f>Q6/SUM($Q$4:$Q$14)</x:f>
        <x:v>0.0658173479525746</x:v>
      </x:c>
      <x:c r="S6" t="n">
        <x:f>M6</x:f>
        <x:v>0</x:v>
      </x:c>
      <x:c r="T6" s="50" t="n">
        <x:f>O6</x:f>
        <x:v>0</x:v>
      </x:c>
      <x:c r="V6" t="str">
        <x:f>P6</x:f>
        <x:v>北美信託 6.6%</x:v>
      </x:c>
      <x:c r="W6" s="50" t="n">
        <x:f>R6</x:f>
        <x:v>0.0658173479525746</x:v>
      </x:c>
    </x:row>
    <x:row r="7">
      <x:c r="N7" s="51"/>
      <x:c r="O7" s="50"/>
      <x:c r="P7" t="str">
        <x:f>G12&amp;" "&amp;TEXT(J12,"0.0%")</x:f>
        <x:v>威靈頓 5.2%</x:v>
      </x:c>
      <x:c r="Q7" s="51" t="n">
        <x:f>I12</x:f>
        <x:v>6499168753</x:v>
      </x:c>
      <x:c r="R7" s="50" t="n">
        <x:f>Q7/SUM($Q$4:$Q$14)</x:f>
        <x:v>0.05198129730148962</x:v>
      </x:c>
      <x:c r="S7" t="n">
        <x:f>M7</x:f>
        <x:v>0</x:v>
      </x:c>
      <x:c r="T7" s="50" t="n">
        <x:f>O7</x:f>
        <x:v>0</x:v>
      </x:c>
      <x:c r="V7" t="str">
        <x:f>P7</x:f>
        <x:v>威靈頓 5.2%</x:v>
      </x:c>
      <x:c r="W7" s="50" t="n">
        <x:f>R7</x:f>
        <x:v>0.05198129730148962</x:v>
      </x:c>
    </x:row>
    <x:row r="8">
      <x:c r="A8" s="15" t="str">
        <x:v>國內委外｜業者</x:v>
      </x:c>
      <x:c r="B8" s="16" t="str">
        <x:v>委託金額</x:v>
      </x:c>
      <x:c r="C8" s="16" t="str">
        <x:v>目前淨資產</x:v>
      </x:c>
      <x:c r="D8" s="16" t="str">
        <x:v>市占率（目前淨資產）</x:v>
      </x:c>
      <x:c r="E8" s="16" t="str">
        <x:v>排名</x:v>
      </x:c>
      <x:c r="F8" s="17" t="str">
        <x:v>帳戶數</x:v>
      </x:c>
      <x:c r="G8" s="15" t="str">
        <x:v>國外委外｜業者</x:v>
      </x:c>
      <x:c r="H8" s="16" t="str">
        <x:v>委託金額</x:v>
      </x:c>
      <x:c r="I8" s="16" t="str">
        <x:v>目前淨資產</x:v>
      </x:c>
      <x:c r="J8" s="16" t="str">
        <x:v>市占率（目前淨資產）</x:v>
      </x:c>
      <x:c r="K8" s="16" t="str">
        <x:v>排名</x:v>
      </x:c>
      <x:c r="L8" s="17" t="str">
        <x:v>帳戶數</x:v>
      </x:c>
      <x:c r="N8" s="51"/>
      <x:c r="O8" s="50"/>
      <x:c r="P8" t="str">
        <x:f>G13&amp;" "&amp;TEXT(J13,"0.0%")</x:f>
        <x:v>L&amp;G 5.0%</x:v>
      </x:c>
      <x:c r="Q8" s="51" t="n">
        <x:f>I13</x:f>
        <x:v>6233333079</x:v>
      </x:c>
      <x:c r="R8" s="50" t="n">
        <x:f>Q8/SUM($Q$4:$Q$14)</x:f>
        <x:v>0.04985510490232206</x:v>
      </x:c>
      <x:c r="S8" t="n">
        <x:f>M8</x:f>
        <x:v>0</x:v>
      </x:c>
      <x:c r="T8" s="50" t="n">
        <x:f>O8</x:f>
        <x:v>0</x:v>
      </x:c>
      <x:c r="V8" t="str">
        <x:f>P8</x:f>
        <x:v>L&amp;G 5.0%</x:v>
      </x:c>
      <x:c r="W8" s="50" t="n">
        <x:f>R8</x:f>
        <x:v>0.04985510490232206</x:v>
      </x:c>
    </x:row>
    <x:row r="9">
      <x:c r="A9" s="27" t="str">
        <x:v>野村</x:v>
      </x:c>
      <x:c r="B9" s="39" t="n">
        <x:f>SUMIFS('國內委外明細'!$G$4:$G$116,'國內委外明細'!$F$4:$F$116,A9,'國內委外明細'!$A$4:$A$116,$B$4)</x:f>
        <x:v>237298388724</x:v>
      </x:c>
      <x:c r="C9" s="39" t="n">
        <x:f>SUMIFS('國內委外明細'!$H$4:$H$116,'國內委外明細'!$F$4:$F$116,A9,'國內委外明細'!$A$4:$A$116,$B$4)</x:f>
        <x:v>508667757409</x:v>
      </x:c>
      <x:c r="D9" s="42" t="n">
        <x:f>IFERROR(C9/SUM($C$9:$C$26),0)</x:f>
        <x:v>0.23765681630443036</x:v>
      </x:c>
      <x:c r="E9" s="28" t="n">
        <x:f>RANK(C9,$C$9:$C$26,0)</x:f>
        <x:v>1</x:v>
      </x:c>
      <x:c r="F9" s="29" t="n">
        <x:f>COUNTIFS('國內委外明細'!$F$4:$F$116,A9,'國內委外明細'!$A$4:$A$116,$B$4,'國內委外明細'!$J$4:$J$116,"&lt;&gt;解約")</x:f>
        <x:v>18</x:v>
      </x:c>
      <x:c r="G9" s="27" t="str">
        <x:v>貝萊德</x:v>
      </x:c>
      <x:c r="H9" s="39" t="n">
        <x:f>SUMIFS('國外委外明細'!$G$4:$G$188,'國外委外明細'!$F$4:$F$188,G9,'國外委外明細'!$A$4:$A$188,$B$4)</x:f>
        <x:v>11558770413</x:v>
      </x:c>
      <x:c r="I9" s="39" t="n">
        <x:f>SUMIFS('國外委外明細'!$H$4:$H$188,'國外委外明細'!$F$4:$F$188,G9,'國外委外明細'!$A$4:$A$188,$B$4)</x:f>
        <x:v>17827431853</x:v>
      </x:c>
      <x:c r="J9" s="42" t="n">
        <x:f>IFERROR(I9/SUM($I$9:$I$54),0)</x:f>
        <x:v>0.1425863938130672</x:v>
      </x:c>
      <x:c r="K9" s="28" t="n">
        <x:f>RANK(I9,$I$9:$I$54,0)</x:f>
        <x:v>1</x:v>
      </x:c>
      <x:c r="L9" s="29" t="n">
        <x:f>COUNTIFS('國外委外明細'!$F$4:$F$188,G9,'國外委外明細'!$A$4:$A$188,$B$4,'國外委外明細'!$J$4:$J$188,"&lt;&gt;解約")</x:f>
        <x:v>16</x:v>
      </x:c>
      <x:c r="N9" s="51"/>
      <x:c r="O9" s="50"/>
      <x:c r="P9" t="str">
        <x:f>G14&amp;" "&amp;TEXT(J14,"0.0%")</x:f>
        <x:v>PIMCO 4.7%</x:v>
      </x:c>
      <x:c r="Q9" s="51" t="n">
        <x:f>I14</x:f>
        <x:v>5911641695</x:v>
      </x:c>
      <x:c r="R9" s="50" t="n">
        <x:f>Q9/SUM($Q$4:$Q$14)</x:f>
        <x:v>0.04728217040768952</x:v>
      </x:c>
      <x:c r="S9" t="n">
        <x:f>M9</x:f>
        <x:v>0</x:v>
      </x:c>
      <x:c r="T9" s="50" t="n">
        <x:f>O9</x:f>
        <x:v>0</x:v>
      </x:c>
      <x:c r="V9" t="str">
        <x:f>P9</x:f>
        <x:v>PIMCO 4.7%</x:v>
      </x:c>
      <x:c r="W9" s="50" t="n">
        <x:f>R9</x:f>
        <x:v>0.04728217040768952</x:v>
      </x:c>
    </x:row>
    <x:row r="10">
      <x:c r="A10" s="30" t="str">
        <x:v>安聯</x:v>
      </x:c>
      <x:c r="B10" s="40" t="n">
        <x:f>SUMIFS('國內委外明細'!$G$4:$G$116,'國內委外明細'!$F$4:$F$116,A10,'國內委外明細'!$A$4:$A$116,$B$4)</x:f>
        <x:v>155336870651</x:v>
      </x:c>
      <x:c r="C10" s="40" t="n">
        <x:f>SUMIFS('國內委外明細'!$H$4:$H$116,'國內委外明細'!$F$4:$F$116,A10,'國內委外明細'!$A$4:$A$116,$B$4)</x:f>
        <x:v>320838481044</x:v>
      </x:c>
      <x:c r="D10" s="43" t="n">
        <x:f>IFERROR(C10/SUM($C$9:$C$26),0)</x:f>
        <x:v>0.14990030494808254</x:v>
      </x:c>
      <x:c r="E10" s="31" t="n">
        <x:f>RANK(C10,$C$9:$C$26,0)</x:f>
        <x:v>2</x:v>
      </x:c>
      <x:c r="F10" s="32" t="n">
        <x:f>COUNTIFS('國內委外明細'!$F$4:$F$116,A10,'國內委外明細'!$A$4:$A$116,$B$4,'國內委外明細'!$J$4:$J$116,"&lt;&gt;解約")</x:f>
        <x:v>17</x:v>
      </x:c>
      <x:c r="G10" s="30" t="str">
        <x:v>道富</x:v>
      </x:c>
      <x:c r="H10" s="40" t="n">
        <x:f>SUMIFS('國外委外明細'!$G$4:$G$188,'國外委外明細'!$F$4:$F$188,G10,'國外委外明細'!$A$4:$A$188,$B$4)</x:f>
        <x:v>8651015271</x:v>
      </x:c>
      <x:c r="I10" s="40" t="n">
        <x:f>SUMIFS('國外委外明細'!$H$4:$H$188,'國外委外明細'!$F$4:$F$188,G10,'國外委外明細'!$A$4:$A$188,$B$4)</x:f>
        <x:v>12270337973</x:v>
      </x:c>
      <x:c r="J10" s="43" t="n">
        <x:f>IFERROR(I10/SUM($I$9:$I$54),0)</x:f>
        <x:v>0.09813994841568788</x:v>
      </x:c>
      <x:c r="K10" s="31" t="n">
        <x:f>RANK(I10,$I$9:$I$54,0)</x:f>
        <x:v>2</x:v>
      </x:c>
      <x:c r="L10" s="32" t="n">
        <x:f>COUNTIFS('國外委外明細'!$F$4:$F$188,G10,'國外委外明細'!$A$4:$A$188,$B$4,'國外委外明細'!$J$4:$J$188,"&lt;&gt;解約")</x:f>
        <x:v>13</x:v>
      </x:c>
      <x:c r="N10" s="51"/>
      <x:c r="O10" s="50"/>
      <x:c r="P10" t="str">
        <x:f>G15&amp;" "&amp;TEXT(J15,"0.0%")</x:f>
        <x:v>景順 4.2%</x:v>
      </x:c>
      <x:c r="Q10" s="51" t="n">
        <x:f>I15</x:f>
        <x:v>5214617387</x:v>
      </x:c>
      <x:c r="R10" s="50" t="n">
        <x:f>Q10/SUM($Q$4:$Q$14)</x:f>
        <x:v>0.041707268576776396</x:v>
      </x:c>
      <x:c r="S10" t="n">
        <x:f>M10</x:f>
        <x:v>0</x:v>
      </x:c>
      <x:c r="T10" s="50" t="n">
        <x:f>O10</x:f>
        <x:v>0</x:v>
      </x:c>
      <x:c r="V10" t="str">
        <x:f>P10</x:f>
        <x:v>景順 4.2%</x:v>
      </x:c>
      <x:c r="W10" s="50" t="n">
        <x:f>R10</x:f>
        <x:v>0.041707268576776396</x:v>
      </x:c>
    </x:row>
    <x:row r="11">
      <x:c r="A11" s="30" t="str">
        <x:v>國泰</x:v>
      </x:c>
      <x:c r="B11" s="40" t="n">
        <x:f>SUMIFS('國內委外明細'!$G$4:$G$116,'國內委外明細'!$F$4:$F$116,A11,'國內委外明細'!$A$4:$A$116,$B$4)</x:f>
        <x:v>124755806236</x:v>
      </x:c>
      <x:c r="C11" s="40" t="n">
        <x:f>SUMIFS('國內委外明細'!$H$4:$H$116,'國內委外明細'!$F$4:$F$116,A11,'國內委外明細'!$A$4:$A$116,$B$4)</x:f>
        <x:v>257989018744</x:v>
      </x:c>
      <x:c r="D11" s="43" t="n">
        <x:f>IFERROR(C11/SUM($C$9:$C$26),0)</x:f>
        <x:v>0.1205361416035335</x:v>
      </x:c>
      <x:c r="E11" s="31" t="n">
        <x:f>RANK(C11,$C$9:$C$26,0)</x:f>
        <x:v>3</x:v>
      </x:c>
      <x:c r="F11" s="32" t="n">
        <x:f>COUNTIFS('國內委外明細'!$F$4:$F$116,A11,'國內委外明細'!$A$4:$A$116,$B$4,'國內委外明細'!$J$4:$J$116,"&lt;&gt;解約")</x:f>
        <x:v>15</x:v>
      </x:c>
      <x:c r="G11" s="30" t="str">
        <x:v>北美信託</x:v>
      </x:c>
      <x:c r="H11" s="40" t="n">
        <x:f>SUMIFS('國外委外明細'!$G$4:$G$188,'國外委外明細'!$F$4:$F$188,G11,'國外委外明細'!$A$4:$A$188,$B$4)</x:f>
        <x:v>6137221459</x:v>
      </x:c>
      <x:c r="I11" s="40" t="n">
        <x:f>SUMIFS('國外委外明細'!$H$4:$H$188,'國外委外明細'!$F$4:$F$188,G11,'國外委外明細'!$A$4:$A$188,$B$4)</x:f>
        <x:v>8229076099</x:v>
      </x:c>
      <x:c r="J11" s="43" t="n">
        <x:f>IFERROR(I11/SUM($I$9:$I$54),0)</x:f>
        <x:v>0.0658173479525746</x:v>
      </x:c>
      <x:c r="K11" s="31" t="n">
        <x:f>RANK(I11,$I$9:$I$54,0)</x:f>
        <x:v>3</x:v>
      </x:c>
      <x:c r="L11" s="32" t="n">
        <x:f>COUNTIFS('國外委外明細'!$F$4:$F$188,G11,'國外委外明細'!$A$4:$A$188,$B$4,'國外委外明細'!$J$4:$J$188,"&lt;&gt;解約")</x:f>
        <x:v>8</x:v>
      </x:c>
      <x:c r="N11" s="51"/>
      <x:c r="O11" s="50"/>
      <x:c r="P11" t="str">
        <x:f>G16&amp;" "&amp;TEXT(J16,"0.0%")</x:f>
        <x:v>JPMorgan（國外） 3.9%</x:v>
      </x:c>
      <x:c r="Q11" s="51" t="n">
        <x:f>I16</x:f>
        <x:v>4884050215</x:v>
      </x:c>
      <x:c r="R11" s="50" t="n">
        <x:f>Q11/SUM($Q$4:$Q$14)</x:f>
        <x:v>0.0390633442383119</x:v>
      </x:c>
      <x:c r="S11" t="n">
        <x:f>M11</x:f>
        <x:v>0</x:v>
      </x:c>
      <x:c r="T11" s="50" t="n">
        <x:f>O11</x:f>
        <x:v>0</x:v>
      </x:c>
      <x:c r="V11" t="str">
        <x:f>P11</x:f>
        <x:v>JPMorgan（國外） 3.9%</x:v>
      </x:c>
      <x:c r="W11" s="50" t="n">
        <x:f>R11</x:f>
        <x:v>0.0390633442383119</x:v>
      </x:c>
    </x:row>
    <x:row r="12">
      <x:c r="A12" s="30" t="str">
        <x:v>復華</x:v>
      </x:c>
      <x:c r="B12" s="40" t="n">
        <x:f>SUMIFS('國內委外明細'!$G$4:$G$116,'國內委外明細'!$F$4:$F$116,A12,'國內委外明細'!$A$4:$A$116,$B$4)</x:f>
        <x:v>114269363585</x:v>
      </x:c>
      <x:c r="C12" s="40" t="n">
        <x:f>SUMIFS('國內委外明細'!$H$4:$H$116,'國內委外明細'!$F$4:$F$116,A12,'國內委外明細'!$A$4:$A$116,$B$4)</x:f>
        <x:v>238454338248</x:v>
      </x:c>
      <x:c r="D12" s="43" t="n">
        <x:f>IFERROR(C12/SUM($C$9:$C$26),0)</x:f>
        <x:v>0.1114092608319836</x:v>
      </x:c>
      <x:c r="E12" s="31" t="n">
        <x:f>RANK(C12,$C$9:$C$26,0)</x:f>
        <x:v>4</x:v>
      </x:c>
      <x:c r="F12" s="32" t="n">
        <x:f>COUNTIFS('國內委外明細'!$F$4:$F$116,A12,'國內委外明細'!$A$4:$A$116,$B$4,'國內委外明細'!$J$4:$J$116,"&lt;&gt;解約")</x:f>
        <x:v>7</x:v>
      </x:c>
      <x:c r="G12" s="30" t="str">
        <x:v>威靈頓</x:v>
      </x:c>
      <x:c r="H12" s="40" t="n">
        <x:f>SUMIFS('國外委外明細'!$G$4:$G$188,'國外委外明細'!$F$4:$F$188,G12,'國外委外明細'!$A$4:$A$188,$B$4)</x:f>
        <x:v>4625550093</x:v>
      </x:c>
      <x:c r="I12" s="40" t="n">
        <x:f>SUMIFS('國外委外明細'!$H$4:$H$188,'國外委外明細'!$F$4:$F$188,G12,'國外委外明細'!$A$4:$A$188,$B$4)</x:f>
        <x:v>6499168753</x:v>
      </x:c>
      <x:c r="J12" s="43" t="n">
        <x:f>IFERROR(I12/SUM($I$9:$I$54),0)</x:f>
        <x:v>0.05198129730148962</x:v>
      </x:c>
      <x:c r="K12" s="31" t="n">
        <x:f>RANK(I12,$I$9:$I$54,0)</x:f>
        <x:v>4</x:v>
      </x:c>
      <x:c r="L12" s="32" t="n">
        <x:f>COUNTIFS('國外委外明細'!$F$4:$F$188,G12,'國外委外明細'!$A$4:$A$188,$B$4,'國外委外明細'!$J$4:$J$188,"&lt;&gt;解約")</x:f>
        <x:v>9</x:v>
      </x:c>
      <x:c r="N12" s="51"/>
      <x:c r="O12" s="50"/>
      <x:c r="P12" t="str">
        <x:f>G17&amp;" "&amp;TEXT(J17,"0.0%")</x:f>
        <x:v>Geode 3.9%</x:v>
      </x:c>
      <x:c r="Q12" s="51" t="n">
        <x:f>I17</x:f>
        <x:v>4847721016</x:v>
      </x:c>
      <x:c r="R12" s="50" t="n">
        <x:f>Q12/SUM($Q$4:$Q$14)</x:f>
        <x:v>0.03877277801889003</x:v>
      </x:c>
      <x:c r="S12" t="n">
        <x:f>M12</x:f>
        <x:v>0</x:v>
      </x:c>
      <x:c r="T12" s="50" t="n">
        <x:f>O12</x:f>
        <x:v>0</x:v>
      </x:c>
      <x:c r="V12" t="str">
        <x:f>P12</x:f>
        <x:v>Geode 3.9%</x:v>
      </x:c>
      <x:c r="W12" s="50" t="n">
        <x:f>R12</x:f>
        <x:v>0.03877277801889003</x:v>
      </x:c>
    </x:row>
    <x:row r="13">
      <x:c r="A13" s="30" t="str">
        <x:v>統一</x:v>
      </x:c>
      <x:c r="B13" s="40" t="n">
        <x:f>SUMIFS('國內委外明細'!$G$4:$G$116,'國內委外明細'!$F$4:$F$116,A13,'國內委外明細'!$A$4:$A$116,$B$4)</x:f>
        <x:v>118408499183</x:v>
      </x:c>
      <x:c r="C13" s="40" t="n">
        <x:f>SUMIFS('國內委外明細'!$H$4:$H$116,'國內委外明細'!$F$4:$F$116,A13,'國內委外明細'!$A$4:$A$116,$B$4)</x:f>
        <x:v>224360595419</x:v>
      </x:c>
      <x:c r="D13" s="43" t="n">
        <x:f>IFERROR(C13/SUM($C$9:$C$26),0)</x:f>
        <x:v>0.10482446358119117</x:v>
      </x:c>
      <x:c r="E13" s="31" t="n">
        <x:f>RANK(C13,$C$9:$C$26,0)</x:f>
        <x:v>5</x:v>
      </x:c>
      <x:c r="F13" s="32" t="n">
        <x:f>COUNTIFS('國內委外明細'!$F$4:$F$116,A13,'國內委外明細'!$A$4:$A$116,$B$4,'國內委外明細'!$J$4:$J$116,"&lt;&gt;解約")</x:f>
        <x:v>6</x:v>
      </x:c>
      <x:c r="G13" s="30" t="str">
        <x:v>L&amp;G</x:v>
      </x:c>
      <x:c r="H13" s="40" t="n">
        <x:f>SUMIFS('國外委外明細'!$G$4:$G$188,'國外委外明細'!$F$4:$F$188,G13,'國外委外明細'!$A$4:$A$188,$B$4)</x:f>
        <x:v>5097127124</x:v>
      </x:c>
      <x:c r="I13" s="40" t="n">
        <x:f>SUMIFS('國外委外明細'!$H$4:$H$188,'國外委外明細'!$F$4:$F$188,G13,'國外委外明細'!$A$4:$A$188,$B$4)</x:f>
        <x:v>6233333079</x:v>
      </x:c>
      <x:c r="J13" s="43" t="n">
        <x:f>IFERROR(I13/SUM($I$9:$I$54),0)</x:f>
        <x:v>0.04985510490232206</x:v>
      </x:c>
      <x:c r="K13" s="31" t="n">
        <x:f>RANK(I13,$I$9:$I$54,0)</x:f>
        <x:v>5</x:v>
      </x:c>
      <x:c r="L13" s="32" t="n">
        <x:f>COUNTIFS('國外委外明細'!$F$4:$F$188,G13,'國外委外明細'!$A$4:$A$188,$B$4,'國外委外明細'!$J$4:$J$188,"&lt;&gt;解約")</x:f>
        <x:v>6</x:v>
      </x:c>
      <x:c r="N13" s="51"/>
      <x:c r="O13" s="50"/>
      <x:c r="P13" t="str">
        <x:f>G18&amp;" "&amp;TEXT(J18,"0.0%")</x:f>
        <x:v>富達 3.3%</x:v>
      </x:c>
      <x:c r="Q13" s="51" t="n">
        <x:f>I18</x:f>
        <x:v>4082759823</x:v>
      </x:c>
      <x:c r="R13" s="50" t="n">
        <x:f>Q13/SUM($Q$4:$Q$14)</x:f>
        <x:v>0.03265450709707709</x:v>
      </x:c>
      <x:c r="S13" t="n">
        <x:f>M13</x:f>
        <x:v>0</x:v>
      </x:c>
      <x:c r="T13" s="50" t="n">
        <x:f>O13</x:f>
        <x:v>0</x:v>
      </x:c>
      <x:c r="V13" t="str">
        <x:f>P13</x:f>
        <x:v>富達 3.3%</x:v>
      </x:c>
      <x:c r="W13" s="50" t="n">
        <x:f>R13</x:f>
        <x:v>0.03265450709707709</x:v>
      </x:c>
    </x:row>
    <x:row r="14">
      <x:c r="A14" s="30" t="str">
        <x:v>滙豐</x:v>
      </x:c>
      <x:c r="B14" s="40" t="n">
        <x:f>SUMIFS('國內委外明細'!$G$4:$G$116,'國內委外明細'!$F$4:$F$116,A14,'國內委外明細'!$A$4:$A$116,$B$4)</x:f>
        <x:v>47530015104</x:v>
      </x:c>
      <x:c r="C14" s="40" t="n">
        <x:f>SUMIFS('國內委外明細'!$H$4:$H$116,'國內委外明細'!$F$4:$F$116,A14,'國內委外明細'!$A$4:$A$116,$B$4)</x:f>
        <x:v>99143984754</x:v>
      </x:c>
      <x:c r="D14" s="43" t="n">
        <x:f>IFERROR(C14/SUM($C$9:$C$26),0)</x:f>
        <x:v>0.046321480827465025</x:v>
      </x:c>
      <x:c r="E14" s="31" t="n">
        <x:f>RANK(C14,$C$9:$C$26,0)</x:f>
        <x:v>6</x:v>
      </x:c>
      <x:c r="F14" s="32" t="n">
        <x:f>COUNTIFS('國內委外明細'!$F$4:$F$116,A14,'國內委外明細'!$A$4:$A$116,$B$4,'國內委外明細'!$J$4:$J$116,"&lt;&gt;解約")</x:f>
        <x:v>7</x:v>
      </x:c>
      <x:c r="G14" s="30" t="str">
        <x:v>PIMCO</x:v>
      </x:c>
      <x:c r="H14" s="40" t="n">
        <x:f>SUMIFS('國外委外明細'!$G$4:$G$188,'國外委外明細'!$F$4:$F$188,G14,'國外委外明細'!$A$4:$A$188,$B$4)</x:f>
        <x:v>5855623604</x:v>
      </x:c>
      <x:c r="I14" s="40" t="n">
        <x:f>SUMIFS('國外委外明細'!$H$4:$H$188,'國外委外明細'!$F$4:$F$188,G14,'國外委外明細'!$A$4:$A$188,$B$4)</x:f>
        <x:v>5911641695</x:v>
      </x:c>
      <x:c r="J14" s="43" t="n">
        <x:f>IFERROR(I14/SUM($I$9:$I$54),0)</x:f>
        <x:v>0.04728217040768952</x:v>
      </x:c>
      <x:c r="K14" s="31" t="n">
        <x:f>RANK(I14,$I$9:$I$54,0)</x:f>
        <x:v>6</x:v>
      </x:c>
      <x:c r="L14" s="32" t="n">
        <x:f>COUNTIFS('國外委外明細'!$F$4:$F$188,G14,'國外委外明細'!$A$4:$A$188,$B$4,'國外委外明細'!$J$4:$J$188,"&lt;&gt;解約")</x:f>
        <x:v>6</x:v>
      </x:c>
      <x:c r="N14" s="51"/>
      <x:c r="O14" s="50"/>
      <x:c r="P14" t="str">
        <x:v>其他</x:v>
      </x:c>
      <x:c r="Q14" s="51" t="n">
        <x:f>SUM(I19:I54)</x:f>
        <x:v>49028845422</x:v>
      </x:c>
      <x:c r="R14" s="50" t="n">
        <x:f>Q14/SUM($Q$4:$Q$14)</x:f>
        <x:v>0.3921398392761137</x:v>
      </x:c>
      <x:c r="S14" t="n">
        <x:f>M14</x:f>
        <x:v>0</x:v>
      </x:c>
      <x:c r="T14" s="50" t="n">
        <x:f>O14</x:f>
        <x:v>0</x:v>
      </x:c>
      <x:c r="V14" t="str">
        <x:f>P14</x:f>
        <x:v>其他</x:v>
      </x:c>
      <x:c r="W14" s="50" t="n">
        <x:f>R14</x:f>
        <x:v>0.3921398392761137</x:v>
      </x:c>
    </x:row>
    <x:row r="15">
      <x:c r="A15" s="30" t="str">
        <x:v>玉山</x:v>
      </x:c>
      <x:c r="B15" s="40" t="n">
        <x:f>SUMIFS('國內委外明細'!$G$4:$G$116,'國內委外明細'!$F$4:$F$116,A15,'國內委外明細'!$A$4:$A$116,$B$4)</x:f>
        <x:v>49410277565</x:v>
      </x:c>
      <x:c r="C15" s="40" t="n">
        <x:f>SUMIFS('國內委外明細'!$H$4:$H$116,'國內委外明細'!$F$4:$F$116,A15,'國內委外明細'!$A$4:$A$116,$B$4)</x:f>
        <x:v>89457066963</x:v>
      </x:c>
      <x:c r="D15" s="43" t="n">
        <x:f>IFERROR(C15/SUM($C$9:$C$26),0)</x:f>
        <x:v>0.041795614958280936</x:v>
      </x:c>
      <x:c r="E15" s="31" t="n">
        <x:f>RANK(C15,$C$9:$C$26,0)</x:f>
        <x:v>7</x:v>
      </x:c>
      <x:c r="F15" s="32" t="n">
        <x:f>COUNTIFS('國內委外明細'!$F$4:$F$116,A15,'國內委外明細'!$A$4:$A$116,$B$4,'國內委外明細'!$J$4:$J$116,"&lt;&gt;解約")</x:f>
        <x:v>8</x:v>
      </x:c>
      <x:c r="G15" s="30" t="str">
        <x:v>景順</x:v>
      </x:c>
      <x:c r="H15" s="40" t="n">
        <x:f>SUMIFS('國外委外明細'!$G$4:$G$188,'國外委外明細'!$F$4:$F$188,G15,'國外委外明細'!$A$4:$A$188,$B$4)</x:f>
        <x:v>3539309945</x:v>
      </x:c>
      <x:c r="I15" s="40" t="n">
        <x:f>SUMIFS('國外委外明細'!$H$4:$H$188,'國外委外明細'!$F$4:$F$188,G15,'國外委外明細'!$A$4:$A$188,$B$4)</x:f>
        <x:v>5214617387</x:v>
      </x:c>
      <x:c r="J15" s="43" t="n">
        <x:f>IFERROR(I15/SUM($I$9:$I$54),0)</x:f>
        <x:v>0.041707268576776396</x:v>
      </x:c>
      <x:c r="K15" s="31" t="n">
        <x:f>RANK(I15,$I$9:$I$54,0)</x:f>
        <x:v>7</x:v>
      </x:c>
      <x:c r="L15" s="32" t="n">
        <x:f>COUNTIFS('國外委外明細'!$F$4:$F$188,G15,'國外委外明細'!$A$4:$A$188,$B$4,'國外委外明細'!$J$4:$J$188,"&lt;&gt;解約")</x:f>
        <x:v>6</x:v>
      </x:c>
    </x:row>
    <x:row r="16">
      <x:c r="A16" s="30" t="str">
        <x:v>台新</x:v>
      </x:c>
      <x:c r="B16" s="40" t="n">
        <x:f>SUMIFS('國內委外明細'!$G$4:$G$116,'國內委外明細'!$F$4:$F$116,A16,'國內委外明細'!$A$4:$A$116,$B$4)</x:f>
        <x:v>43351455547</x:v>
      </x:c>
      <x:c r="C16" s="40" t="n">
        <x:f>SUMIFS('國內委外明細'!$H$4:$H$116,'國內委外明細'!$F$4:$F$116,A16,'國內委外明細'!$A$4:$A$116,$B$4)</x:f>
        <x:v>87076072516</x:v>
      </x:c>
      <x:c r="D16" s="43" t="n">
        <x:f>IFERROR(C16/SUM($C$9:$C$26),0)</x:f>
        <x:v>0.04068318046313057</x:v>
      </x:c>
      <x:c r="E16" s="31" t="n">
        <x:f>RANK(C16,$C$9:$C$26,0)</x:f>
        <x:v>8</x:v>
      </x:c>
      <x:c r="F16" s="32" t="n">
        <x:f>COUNTIFS('國內委外明細'!$F$4:$F$116,A16,'國內委外明細'!$A$4:$A$116,$B$4,'國內委外明細'!$J$4:$J$116,"&lt;&gt;解約")</x:f>
        <x:v>4</x:v>
      </x:c>
      <x:c r="G16" s="30" t="str">
        <x:v>JPMorgan（國外）</x:v>
      </x:c>
      <x:c r="H16" s="40" t="n">
        <x:f>SUMIFS('國外委外明細'!$G$4:$G$188,'國外委外明細'!$F$4:$F$188,G16,'國外委外明細'!$A$4:$A$188,$B$4)</x:f>
        <x:v>3686298542</x:v>
      </x:c>
      <x:c r="I16" s="40" t="n">
        <x:f>SUMIFS('國外委外明細'!$H$4:$H$188,'國外委外明細'!$F$4:$F$188,G16,'國外委外明細'!$A$4:$A$188,$B$4)</x:f>
        <x:v>4884050215</x:v>
      </x:c>
      <x:c r="J16" s="43" t="n">
        <x:f>IFERROR(I16/SUM($I$9:$I$54),0)</x:f>
        <x:v>0.0390633442383119</x:v>
      </x:c>
      <x:c r="K16" s="31" t="n">
        <x:f>RANK(I16,$I$9:$I$54,0)</x:f>
        <x:v>8</x:v>
      </x:c>
      <x:c r="L16" s="32" t="n">
        <x:f>COUNTIFS('國外委外明細'!$F$4:$F$188,G16,'國外委外明細'!$A$4:$A$188,$B$4,'國外委外明細'!$J$4:$J$188,"&lt;&gt;解約")</x:f>
        <x:v>8</x:v>
      </x:c>
    </x:row>
    <x:row r="17">
      <x:c r="A17" s="30" t="str">
        <x:v>施羅德</x:v>
      </x:c>
      <x:c r="B17" s="40" t="n">
        <x:f>SUMIFS('國內委外明細'!$G$4:$G$116,'國內委外明細'!$F$4:$F$116,A17,'國內委外明細'!$A$4:$A$116,$B$4)</x:f>
        <x:v>42800361947</x:v>
      </x:c>
      <x:c r="C17" s="40" t="n">
        <x:f>SUMIFS('國內委外明細'!$H$4:$H$116,'國內委外明細'!$F$4:$F$116,A17,'國內委外明細'!$A$4:$A$116,$B$4)</x:f>
        <x:v>87006897068</x:v>
      </x:c>
      <x:c r="D17" s="43" t="n">
        <x:f>IFERROR(C17/SUM($C$9:$C$26),0)</x:f>
        <x:v>0.040650860709227056</x:v>
      </x:c>
      <x:c r="E17" s="31" t="n">
        <x:f>RANK(C17,$C$9:$C$26,0)</x:f>
        <x:v>9</x:v>
      </x:c>
      <x:c r="F17" s="32" t="n">
        <x:f>COUNTIFS('國內委外明細'!$F$4:$F$116,A17,'國內委外明細'!$A$4:$A$116,$B$4,'國內委外明細'!$J$4:$J$116,"&lt;&gt;解約")</x:f>
        <x:v>7</x:v>
      </x:c>
      <x:c r="G17" s="30" t="str">
        <x:v>Geode</x:v>
      </x:c>
      <x:c r="H17" s="40" t="n">
        <x:f>SUMIFS('國外委外明細'!$G$4:$G$188,'國外委外明細'!$F$4:$F$188,G17,'國外委外明細'!$A$4:$A$188,$B$4)</x:f>
        <x:v>4011738367</x:v>
      </x:c>
      <x:c r="I17" s="40" t="n">
        <x:f>SUMIFS('國外委外明細'!$H$4:$H$188,'國外委外明細'!$F$4:$F$188,G17,'國外委外明細'!$A$4:$A$188,$B$4)</x:f>
        <x:v>4847721016</x:v>
      </x:c>
      <x:c r="J17" s="43" t="n">
        <x:f>IFERROR(I17/SUM($I$9:$I$54),0)</x:f>
        <x:v>0.03877277801889003</x:v>
      </x:c>
      <x:c r="K17" s="31" t="n">
        <x:f>RANK(I17,$I$9:$I$54,0)</x:f>
        <x:v>9</x:v>
      </x:c>
      <x:c r="L17" s="32" t="n">
        <x:f>COUNTIFS('國外委外明細'!$F$4:$F$188,G17,'國外委外明細'!$A$4:$A$188,$B$4,'國外委外明細'!$J$4:$J$188,"&lt;&gt;解約")</x:f>
        <x:v>2</x:v>
      </x:c>
    </x:row>
    <x:row r="18">
      <x:c r="A18" s="30" t="str">
        <x:v>富邦</x:v>
      </x:c>
      <x:c r="B18" s="40" t="n">
        <x:f>SUMIFS('國內委外明細'!$G$4:$G$116,'國內委外明細'!$F$4:$F$116,A18,'國內委外明細'!$A$4:$A$116,$B$4)</x:f>
        <x:v>27603507854</x:v>
      </x:c>
      <x:c r="C18" s="40" t="n">
        <x:f>SUMIFS('國內委外明細'!$H$4:$H$116,'國內委外明細'!$F$4:$F$116,A18,'國內委外明細'!$A$4:$A$116,$B$4)</x:f>
        <x:v>62667291388</x:v>
      </x:c>
      <x:c r="D18" s="43" t="n">
        <x:f>IFERROR(C18/SUM($C$9:$C$26),0)</x:f>
        <x:v>0.029279050501561463</x:v>
      </x:c>
      <x:c r="E18" s="31" t="n">
        <x:f>RANK(C18,$C$9:$C$26,0)</x:f>
        <x:v>10</x:v>
      </x:c>
      <x:c r="F18" s="32" t="n">
        <x:f>COUNTIFS('國內委外明細'!$F$4:$F$116,A18,'國內委外明細'!$A$4:$A$116,$B$4,'國內委外明細'!$J$4:$J$116,"&lt;&gt;解約")</x:f>
        <x:v>4</x:v>
      </x:c>
      <x:c r="G18" s="30" t="str">
        <x:v>富達</x:v>
      </x:c>
      <x:c r="H18" s="40" t="n">
        <x:f>SUMIFS('國外委外明細'!$G$4:$G$188,'國外委外明細'!$F$4:$F$188,G18,'國外委外明細'!$A$4:$A$188,$B$4)</x:f>
        <x:v>3190338807</x:v>
      </x:c>
      <x:c r="I18" s="40" t="n">
        <x:f>SUMIFS('國外委外明細'!$H$4:$H$188,'國外委外明細'!$F$4:$F$188,G18,'國外委外明細'!$A$4:$A$188,$B$4)</x:f>
        <x:v>4082759823</x:v>
      </x:c>
      <x:c r="J18" s="43" t="n">
        <x:f>IFERROR(I18/SUM($I$9:$I$54),0)</x:f>
        <x:v>0.03265450709707709</x:v>
      </x:c>
      <x:c r="K18" s="31" t="n">
        <x:f>RANK(I18,$I$9:$I$54,0)</x:f>
        <x:v>10</x:v>
      </x:c>
      <x:c r="L18" s="32" t="n">
        <x:f>COUNTIFS('國外委外明細'!$F$4:$F$188,G18,'國外委外明細'!$A$4:$A$188,$B$4,'國外委外明細'!$J$4:$J$188,"&lt;&gt;解約")</x:f>
        <x:v>8</x:v>
      </x:c>
    </x:row>
    <x:row r="19">
      <x:c r="A19" s="30" t="str">
        <x:v>群益</x:v>
      </x:c>
      <x:c r="B19" s="40" t="n">
        <x:f>SUMIFS('國內委外明細'!$G$4:$G$116,'國內委外明細'!$F$4:$F$116,A19,'國內委外明細'!$A$4:$A$116,$B$4)</x:f>
        <x:v>16685437018</x:v>
      </x:c>
      <x:c r="C19" s="40" t="n">
        <x:f>SUMIFS('國內委外明細'!$H$4:$H$116,'國內委外明細'!$F$4:$F$116,A19,'國內委外明細'!$A$4:$A$116,$B$4)</x:f>
        <x:v>42687730952</x:v>
      </x:c>
      <x:c r="D19" s="43" t="n">
        <x:f>IFERROR(C19/SUM($C$9:$C$26),0)</x:f>
        <x:v>0.01994431548991454</x:v>
      </x:c>
      <x:c r="E19" s="31" t="n">
        <x:f>RANK(C19,$C$9:$C$26,0)</x:f>
        <x:v>11</x:v>
      </x:c>
      <x:c r="F19" s="32" t="n">
        <x:f>COUNTIFS('國內委外明細'!$F$4:$F$116,A19,'國內委外明細'!$A$4:$A$116,$B$4,'國內委外明細'!$J$4:$J$116,"&lt;&gt;解約")</x:f>
        <x:v>4</x:v>
      </x:c>
      <x:c r="G19" s="30" t="str">
        <x:v>MFS</x:v>
      </x:c>
      <x:c r="H19" s="40" t="n">
        <x:f>SUMIFS('國外委外明細'!$G$4:$G$188,'國外委外明細'!$F$4:$F$188,G19,'國外委外明細'!$A$4:$A$188,$B$4)</x:f>
        <x:v>2425862154</x:v>
      </x:c>
      <x:c r="I19" s="40" t="n">
        <x:f>SUMIFS('國外委外明細'!$H$4:$H$188,'國外委外明細'!$F$4:$F$188,G19,'國外委外明細'!$A$4:$A$188,$B$4)</x:f>
        <x:v>3525432785</x:v>
      </x:c>
      <x:c r="J19" s="43" t="n">
        <x:f>IFERROR(I19/SUM($I$9:$I$54),0)</x:f>
        <x:v>0.028196924357274576</x:v>
      </x:c>
      <x:c r="K19" s="31" t="n">
        <x:f>RANK(I19,$I$9:$I$54,0)</x:f>
        <x:v>11</x:v>
      </x:c>
      <x:c r="L19" s="32" t="n">
        <x:f>COUNTIFS('國外委外明細'!$F$4:$F$188,G19,'國外委外明細'!$A$4:$A$188,$B$4,'國外委外明細'!$J$4:$J$188,"&lt;&gt;解約")</x:f>
        <x:v>3</x:v>
      </x:c>
    </x:row>
    <x:row r="20">
      <x:c r="A20" s="30" t="str">
        <x:v>第一金</x:v>
      </x:c>
      <x:c r="B20" s="40" t="n">
        <x:f>SUMIFS('國內委外明細'!$G$4:$G$116,'國內委外明細'!$F$4:$F$116,A20,'國內委外明細'!$A$4:$A$116,$B$4)</x:f>
        <x:v>18000000000</x:v>
      </x:c>
      <x:c r="C20" s="40" t="n">
        <x:f>SUMIFS('國內委外明細'!$H$4:$H$116,'國內委外明細'!$F$4:$F$116,A20,'國內委外明細'!$A$4:$A$116,$B$4)</x:f>
        <x:v>38733491841</x:v>
      </x:c>
      <x:c r="D20" s="43" t="n">
        <x:f>IFERROR(C20/SUM($C$9:$C$26),0)</x:f>
        <x:v>0.018096838695211583</x:v>
      </x:c>
      <x:c r="E20" s="31" t="n">
        <x:f>RANK(C20,$C$9:$C$26,0)</x:f>
        <x:v>12</x:v>
      </x:c>
      <x:c r="F20" s="32" t="n">
        <x:f>COUNTIFS('國內委外明細'!$F$4:$F$116,A20,'國內委外明細'!$A$4:$A$116,$B$4,'國內委外明細'!$J$4:$J$116,"&lt;&gt;解約")</x:f>
        <x:v>3</x:v>
      </x:c>
      <x:c r="G20" s="30" t="str">
        <x:v>RREEF</x:v>
      </x:c>
      <x:c r="H20" s="40" t="n">
        <x:f>SUMIFS('國外委外明細'!$G$4:$G$188,'國外委外明細'!$F$4:$F$188,G20,'國外委外明細'!$A$4:$A$188,$B$4)</x:f>
        <x:v>3022950104</x:v>
      </x:c>
      <x:c r="I20" s="40" t="n">
        <x:f>SUMIFS('國外委外明細'!$H$4:$H$188,'國外委外明細'!$F$4:$F$188,G20,'國外委外明細'!$A$4:$A$188,$B$4)</x:f>
        <x:v>3467884297</x:v>
      </x:c>
      <x:c r="J20" s="43" t="n">
        <x:f>IFERROR(I20/SUM($I$9:$I$54),0)</x:f>
        <x:v>0.02773664317707005</x:v>
      </x:c>
      <x:c r="K20" s="31" t="n">
        <x:f>RANK(I20,$I$9:$I$54,0)</x:f>
        <x:v>12</x:v>
      </x:c>
      <x:c r="L20" s="32" t="n">
        <x:f>COUNTIFS('國外委外明細'!$F$4:$F$188,G20,'國外委外明細'!$A$4:$A$188,$B$4,'國外委外明細'!$J$4:$J$188,"&lt;&gt;解約")</x:f>
        <x:v>5</x:v>
      </x:c>
    </x:row>
    <x:row r="21">
      <x:c r="A21" s="30" t="str">
        <x:v>JPMorgan（國內）</x:v>
      </x:c>
      <x:c r="B21" s="40" t="n">
        <x:f>SUMIFS('國內委外明細'!$G$4:$G$116,'國內委外明細'!$F$4:$F$116,A21,'國內委外明細'!$A$4:$A$116,$B$4)</x:f>
        <x:v>18000000000</x:v>
      </x:c>
      <x:c r="C21" s="40" t="n">
        <x:f>SUMIFS('國內委外明細'!$H$4:$H$116,'國內委外明細'!$F$4:$F$116,A21,'國內委外明細'!$A$4:$A$116,$B$4)</x:f>
        <x:v>25946046351</x:v>
      </x:c>
      <x:c r="D21" s="43" t="n">
        <x:f>IFERROR(C21/SUM($C$9:$C$26),0)</x:f>
        <x:v>0.012122362154178758</x:v>
      </x:c>
      <x:c r="E21" s="31" t="n">
        <x:f>RANK(C21,$C$9:$C$26,0)</x:f>
        <x:v>13</x:v>
      </x:c>
      <x:c r="F21" s="32" t="n">
        <x:f>COUNTIFS('國內委外明細'!$F$4:$F$116,A21,'國內委外明細'!$A$4:$A$116,$B$4,'國內委外明細'!$J$4:$J$116,"&lt;&gt;解約")</x:f>
        <x:v>2</x:v>
      </x:c>
      <x:c r="G21" s="30" t="str">
        <x:v>盧米斯</x:v>
      </x:c>
      <x:c r="H21" s="40" t="n">
        <x:f>SUMIFS('國外委外明細'!$G$4:$G$188,'國外委外明細'!$F$4:$F$188,G21,'國外委外明細'!$A$4:$A$188,$B$4)</x:f>
        <x:v>2899337139</x:v>
      </x:c>
      <x:c r="I21" s="40" t="n">
        <x:f>SUMIFS('國外委外明細'!$H$4:$H$188,'國外委外明細'!$F$4:$F$188,G21,'國外委外明細'!$A$4:$A$188,$B$4)</x:f>
        <x:v>3039287910</x:v>
      </x:c>
      <x:c r="J21" s="43" t="n">
        <x:f>IFERROR(I21/SUM($I$9:$I$54),0)</x:f>
        <x:v>0.024308666913996812</x:v>
      </x:c>
      <x:c r="K21" s="31" t="n">
        <x:f>RANK(I21,$I$9:$I$54,0)</x:f>
        <x:v>13</x:v>
      </x:c>
      <x:c r="L21" s="32" t="n">
        <x:f>COUNTIFS('國外委外明細'!$F$4:$F$188,G21,'國外委外明細'!$A$4:$A$188,$B$4,'國外委外明細'!$J$4:$J$188,"&lt;&gt;解約")</x:f>
        <x:v>4</x:v>
      </x:c>
    </x:row>
    <x:row r="22">
      <x:c r="A22" s="30" t="str">
        <x:v>華南永昌</x:v>
      </x:c>
      <x:c r="B22" s="40" t="n">
        <x:f>SUMIFS('國內委外明細'!$G$4:$G$116,'國內委外明細'!$F$4:$F$116,A22,'國內委外明細'!$A$4:$A$116,$B$4)</x:f>
        <x:v>10000000000</x:v>
      </x:c>
      <x:c r="C22" s="40" t="n">
        <x:f>SUMIFS('國內委外明細'!$H$4:$H$116,'國內委外明細'!$F$4:$F$116,A22,'國內委外明細'!$A$4:$A$116,$B$4)</x:f>
        <x:v>13087966936</x:v>
      </x:c>
      <x:c r="D22" s="43" t="n">
        <x:f>IFERROR(C22/SUM($C$9:$C$26),0)</x:f>
        <x:v>0.006114884438029011</x:v>
      </x:c>
      <x:c r="E22" s="31" t="n">
        <x:f>RANK(C22,$C$9:$C$26,0)</x:f>
        <x:v>14</x:v>
      </x:c>
      <x:c r="F22" s="32" t="n">
        <x:f>COUNTIFS('國內委外明細'!$F$4:$F$116,A22,'國內委外明細'!$A$4:$A$116,$B$4,'國內委外明細'!$J$4:$J$116,"&lt;&gt;解約")</x:f>
        <x:v>2</x:v>
      </x:c>
      <x:c r="G22" s="30" t="str">
        <x:v>DWS</x:v>
      </x:c>
      <x:c r="H22" s="40" t="n">
        <x:f>SUMIFS('國外委外明細'!$G$4:$G$188,'國外委外明細'!$F$4:$F$188,G22,'國外委外明細'!$A$4:$A$188,$B$4)</x:f>
        <x:v>2060974928</x:v>
      </x:c>
      <x:c r="I22" s="40" t="n">
        <x:f>SUMIFS('國外委外明細'!$H$4:$H$188,'國外委外明細'!$F$4:$F$188,G22,'國外委外明細'!$A$4:$A$188,$B$4)</x:f>
        <x:v>3033228329</x:v>
      </x:c>
      <x:c r="J22" s="43" t="n">
        <x:f>IFERROR(I22/SUM($I$9:$I$54),0)</x:f>
        <x:v>0.024260201503502884</x:v>
      </x:c>
      <x:c r="K22" s="31" t="n">
        <x:f>RANK(I22,$I$9:$I$54,0)</x:f>
        <x:v>14</x:v>
      </x:c>
      <x:c r="L22" s="32" t="n">
        <x:f>COUNTIFS('國外委外明細'!$F$4:$F$188,G22,'國外委外明細'!$A$4:$A$188,$B$4,'國外委外明細'!$J$4:$J$188,"&lt;&gt;解約")</x:f>
        <x:v>5</x:v>
      </x:c>
    </x:row>
    <x:row r="23">
      <x:c r="A23" s="30" t="str">
        <x:v>貝萊德</x:v>
      </x:c>
      <x:c r="B23" s="40" t="n">
        <x:f>SUMIFS('國內委外明細'!$G$4:$G$116,'國內委外明細'!$F$4:$F$116,A23,'國內委外明細'!$A$4:$A$116,$B$4)</x:f>
        <x:v>9000000000</x:v>
      </x:c>
      <x:c r="C23" s="40" t="n">
        <x:f>SUMIFS('國內委外明細'!$H$4:$H$116,'國內委外明細'!$F$4:$F$116,A23,'國內委外明細'!$A$4:$A$116,$B$4)</x:f>
        <x:v>13053425511</x:v>
      </x:c>
      <x:c r="D23" s="43" t="n">
        <x:f>IFERROR(C23/SUM($C$9:$C$26),0)</x:f>
        <x:v>0.006098746192629042</x:v>
      </x:c>
      <x:c r="E23" s="31" t="n">
        <x:f>RANK(C23,$C$9:$C$26,0)</x:f>
        <x:v>15</x:v>
      </x:c>
      <x:c r="F23" s="32" t="n">
        <x:f>COUNTIFS('國內委外明細'!$F$4:$F$116,A23,'國內委外明細'!$A$4:$A$116,$B$4,'國內委外明細'!$J$4:$J$116,"&lt;&gt;解約")</x:f>
        <x:v>1</x:v>
      </x:c>
      <x:c r="G23" s="30" t="str">
        <x:v>Cohen &amp;Steers</x:v>
      </x:c>
      <x:c r="H23" s="40" t="n">
        <x:f>SUMIFS('國外委外明細'!$G$4:$G$188,'國外委外明細'!$F$4:$F$188,G23,'國外委外明細'!$A$4:$A$188,$B$4)</x:f>
        <x:v>2555932432</x:v>
      </x:c>
      <x:c r="I23" s="40" t="n">
        <x:f>SUMIFS('國外委外明細'!$H$4:$H$188,'國外委外明細'!$F$4:$F$188,G23,'國外委外明細'!$A$4:$A$188,$B$4)</x:f>
        <x:v>2941839542</x:v>
      </x:c>
      <x:c r="J23" s="43" t="n">
        <x:f>IFERROR(I23/SUM($I$9:$I$54),0)</x:f>
        <x:v>0.023529260688206054</x:v>
      </x:c>
      <x:c r="K23" s="31" t="n">
        <x:f>RANK(I23,$I$9:$I$54,0)</x:f>
        <x:v>15</x:v>
      </x:c>
      <x:c r="L23" s="32" t="n">
        <x:f>COUNTIFS('國外委外明細'!$F$4:$F$188,G23,'國外委外明細'!$A$4:$A$188,$B$4,'國外委外明細'!$J$4:$J$188,"&lt;&gt;解約")</x:f>
        <x:v>1</x:v>
      </x:c>
    </x:row>
    <x:row r="24">
      <x:c r="A24" s="30" t="str">
        <x:v>宏利</x:v>
      </x:c>
      <x:c r="B24" s="40" t="n">
        <x:f>SUMIFS('國內委外明細'!$G$4:$G$116,'國內委外明細'!$F$4:$F$116,A24,'國內委外明細'!$A$4:$A$116,$B$4)</x:f>
        <x:v>9000000000</x:v>
      </x:c>
      <x:c r="C24" s="40" t="n">
        <x:f>SUMIFS('國內委外明細'!$H$4:$H$116,'國內委外明細'!$F$4:$F$116,A24,'國內委外明細'!$A$4:$A$116,$B$4)</x:f>
        <x:v>13017408018</x:v>
      </x:c>
      <x:c r="D24" s="43" t="n">
        <x:f>IFERROR(C24/SUM($C$9:$C$26),0)</x:f>
        <x:v>0.00608191830725009</x:v>
      </x:c>
      <x:c r="E24" s="31" t="n">
        <x:f>RANK(C24,$C$9:$C$26,0)</x:f>
        <x:v>16</x:v>
      </x:c>
      <x:c r="F24" s="32" t="n">
        <x:f>COUNTIFS('國內委外明細'!$F$4:$F$116,A24,'國內委外明細'!$A$4:$A$116,$B$4,'國內委外明細'!$J$4:$J$116,"&lt;&gt;解約")</x:f>
        <x:v>1</x:v>
      </x:c>
      <x:c r="G24" s="30" t="str">
        <x:v>瑞萬通博</x:v>
      </x:c>
      <x:c r="H24" s="40" t="n">
        <x:f>SUMIFS('國外委外明細'!$G$4:$G$188,'國外委外明細'!$F$4:$F$188,G24,'國外委外明細'!$A$4:$A$188,$B$4)</x:f>
        <x:v>2210056902</x:v>
      </x:c>
      <x:c r="I24" s="40" t="n">
        <x:f>SUMIFS('國外委外明細'!$H$4:$H$188,'國外委外明細'!$F$4:$F$188,G24,'國外委外明細'!$A$4:$A$188,$B$4)</x:f>
        <x:v>2584189383</x:v>
      </x:c>
      <x:c r="J24" s="43" t="n">
        <x:f>IFERROR(I24/SUM($I$9:$I$54),0)</x:f>
        <x:v>0.02066872267919953</x:v>
      </x:c>
      <x:c r="K24" s="31" t="n">
        <x:f>RANK(I24,$I$9:$I$54,0)</x:f>
        <x:v>16</x:v>
      </x:c>
      <x:c r="L24" s="32" t="n">
        <x:f>COUNTIFS('國外委外明細'!$F$4:$F$188,G24,'國外委外明細'!$A$4:$A$188,$B$4,'國外委外明細'!$J$4:$J$188,"&lt;&gt;解約")</x:f>
        <x:v>2</x:v>
      </x:c>
    </x:row>
    <x:row r="25">
      <x:c r="A25" s="30" t="str">
        <x:v>兆豐國際</x:v>
      </x:c>
      <x:c r="B25" s="40" t="n">
        <x:f>SUMIFS('國內委外明細'!$G$4:$G$116,'國內委外明細'!$F$4:$F$116,A25,'國內委外明細'!$A$4:$A$116,$B$4)</x:f>
        <x:v>9000000000</x:v>
      </x:c>
      <x:c r="C25" s="40" t="n">
        <x:f>SUMIFS('國內委外明細'!$H$4:$H$116,'國內委外明細'!$F$4:$F$116,A25,'國內委外明細'!$A$4:$A$116,$B$4)</x:f>
        <x:v>12874751853</x:v>
      </x:c>
      <x:c r="D25" s="43" t="n">
        <x:f>IFERROR(C25/SUM($C$9:$C$26),0)</x:f>
        <x:v>0.006015267316487884</x:v>
      </x:c>
      <x:c r="E25" s="31" t="n">
        <x:f>RANK(C25,$C$9:$C$26,0)</x:f>
        <x:v>17</x:v>
      </x:c>
      <x:c r="F25" s="32" t="n">
        <x:f>COUNTIFS('國內委外明細'!$F$4:$F$116,A25,'國內委外明細'!$A$4:$A$116,$B$4,'國內委外明細'!$J$4:$J$116,"&lt;&gt;解約")</x:f>
        <x:v>1</x:v>
      </x:c>
      <x:c r="G25" s="30" t="str">
        <x:v>Magellan</x:v>
      </x:c>
      <x:c r="H25" s="40" t="n">
        <x:f>SUMIFS('國外委外明細'!$G$4:$G$188,'國外委外明細'!$F$4:$F$188,G25,'國外委外明細'!$A$4:$A$188,$B$4)</x:f>
        <x:v>2077876409</x:v>
      </x:c>
      <x:c r="I25" s="40" t="n">
        <x:f>SUMIFS('國外委外明細'!$H$4:$H$188,'國外委外明細'!$F$4:$F$188,G25,'國外委外明細'!$A$4:$A$188,$B$4)</x:f>
        <x:v>2458832253</x:v>
      </x:c>
      <x:c r="J25" s="43" t="n">
        <x:f>IFERROR(I25/SUM($I$9:$I$54),0)</x:f>
        <x:v>0.019666098114268265</x:v>
      </x:c>
      <x:c r="K25" s="31" t="n">
        <x:f>RANK(I25,$I$9:$I$54,0)</x:f>
        <x:v>17</x:v>
      </x:c>
      <x:c r="L25" s="32" t="n">
        <x:f>COUNTIFS('國外委外明細'!$F$4:$F$188,G25,'國外委外明細'!$A$4:$A$188,$B$4,'國外委外明細'!$J$4:$J$188,"&lt;&gt;解約")</x:f>
        <x:v>4</x:v>
      </x:c>
    </x:row>
    <x:row r="26">
      <x:c r="A26" s="33" t="str">
        <x:v>元大</x:v>
      </x:c>
      <x:c r="B26" s="41" t="n">
        <x:f>SUMIFS('國內委外明細'!$G$4:$G$116,'國內委外明細'!$F$4:$F$116,A26,'國內委外明細'!$A$4:$A$116,$B$4)</x:f>
        <x:v>5400000000</x:v>
      </x:c>
      <x:c r="C26" s="41" t="n">
        <x:f>SUMIFS('國內委外明細'!$H$4:$H$116,'國內委外明細'!$F$4:$F$116,A26,'國內委外明細'!$A$4:$A$116,$B$4)</x:f>
        <x:v>5283427818</x:v>
      </x:c>
      <x:c r="D26" s="44" t="n">
        <x:f>IFERROR(C26/SUM($C$9:$C$26),0)</x:f>
        <x:v>0.0024684926774128715</x:v>
      </x:c>
      <x:c r="E26" s="34" t="n">
        <x:f>RANK(C26,$C$9:$C$26,0)</x:f>
        <x:v>18</x:v>
      </x:c>
      <x:c r="F26" s="35" t="n">
        <x:f>COUNTIFS('國內委外明細'!$F$4:$F$116,A26,'國內委外明細'!$A$4:$A$116,$B$4,'國內委外明細'!$J$4:$J$116,"&lt;&gt;解約")</x:f>
        <x:v>2</x:v>
      </x:c>
      <x:c r="G26" s="30" t="str">
        <x:v>TCW</x:v>
      </x:c>
      <x:c r="H26" s="40" t="n">
        <x:f>SUMIFS('國外委外明細'!$G$4:$G$188,'國外委外明細'!$F$4:$F$188,G26,'國外委外明細'!$A$4:$A$188,$B$4)</x:f>
        <x:v>1923959035</x:v>
      </x:c>
      <x:c r="I26" s="40" t="n">
        <x:f>SUMIFS('國外委外明細'!$H$4:$H$188,'國外委外明細'!$F$4:$F$188,G26,'國外委外明細'!$A$4:$A$188,$B$4)</x:f>
        <x:v>2389413786</x:v>
      </x:c>
      <x:c r="J26" s="43" t="n">
        <x:f>IFERROR(I26/SUM($I$9:$I$54),0)</x:f>
        <x:v>0.019110879114965472</x:v>
      </x:c>
      <x:c r="K26" s="31" t="n">
        <x:f>RANK(I26,$I$9:$I$54,0)</x:f>
        <x:v>18</x:v>
      </x:c>
      <x:c r="L26" s="32" t="n">
        <x:f>COUNTIFS('國外委外明細'!$F$4:$F$188,G26,'國外委外明細'!$A$4:$A$188,$B$4,'國外委外明細'!$J$4:$J$188,"&lt;&gt;解約")</x:f>
        <x:v>4</x:v>
      </x:c>
    </x:row>
    <x:row r="27">
      <x:c r="G27" s="30" t="str">
        <x:v>CBRE</x:v>
      </x:c>
      <x:c r="H27" s="40" t="n">
        <x:f>SUMIFS('國外委外明細'!$G$4:$G$188,'國外委外明細'!$F$4:$F$188,G27,'國外委外明細'!$A$4:$A$188,$B$4)</x:f>
        <x:v>1495926365</x:v>
      </x:c>
      <x:c r="I27" s="40" t="n">
        <x:f>SUMIFS('國外委外明細'!$H$4:$H$188,'國外委外明細'!$F$4:$F$188,G27,'國外委外明細'!$A$4:$A$188,$B$4)</x:f>
        <x:v>1806278590</x:v>
      </x:c>
      <x:c r="J27" s="43" t="n">
        <x:f>IFERROR(I27/SUM($I$9:$I$54),0)</x:f>
        <x:v>0.014446878972447797</x:v>
      </x:c>
      <x:c r="K27" s="31" t="n">
        <x:f>RANK(I27,$I$9:$I$54,0)</x:f>
        <x:v>19</x:v>
      </x:c>
      <x:c r="L27" s="32" t="n">
        <x:f>COUNTIFS('國外委外明細'!$F$4:$F$188,G27,'國外委外明細'!$A$4:$A$188,$B$4,'國外委外明細'!$J$4:$J$188,"&lt;&gt;解約")</x:f>
        <x:v>4</x:v>
      </x:c>
    </x:row>
    <x:row r="28">
      <x:c r="G28" s="30" t="str">
        <x:v>CPR</x:v>
      </x:c>
      <x:c r="H28" s="40" t="n">
        <x:f>SUMIFS('國外委外明細'!$G$4:$G$188,'國外委外明細'!$F$4:$F$188,G28,'國外委外明細'!$A$4:$A$188,$B$4)</x:f>
        <x:v>1215115365</x:v>
      </x:c>
      <x:c r="I28" s="40" t="n">
        <x:f>SUMIFS('國外委外明細'!$H$4:$H$188,'國外委外明細'!$F$4:$F$188,G28,'國外委外明細'!$A$4:$A$188,$B$4)</x:f>
        <x:v>1719232558</x:v>
      </x:c>
      <x:c r="J28" s="43" t="n">
        <x:f>IFERROR(I28/SUM($I$9:$I$54),0)</x:f>
        <x:v>0.013750672143502425</x:v>
      </x:c>
      <x:c r="K28" s="31" t="n">
        <x:f>RANK(I28,$I$9:$I$54,0)</x:f>
        <x:v>20</x:v>
      </x:c>
      <x:c r="L28" s="32" t="n">
        <x:f>COUNTIFS('國外委外明細'!$F$4:$F$188,G28,'國外委外明細'!$A$4:$A$188,$B$4,'國外委外明細'!$J$4:$J$188,"&lt;&gt;解約")</x:f>
        <x:v>3</x:v>
      </x:c>
    </x:row>
    <x:row r="29">
      <x:c r="G29" s="30" t="str">
        <x:v>富蘭克林坦伯頓</x:v>
      </x:c>
      <x:c r="H29" s="40" t="n">
        <x:f>SUMIFS('國外委外明細'!$G$4:$G$188,'國外委外明細'!$F$4:$F$188,G29,'國外委外明細'!$A$4:$A$188,$B$4)</x:f>
        <x:v>1612981102</x:v>
      </x:c>
      <x:c r="I29" s="40" t="n">
        <x:f>SUMIFS('國外委外明細'!$H$4:$H$188,'國外委外明細'!$F$4:$F$188,G29,'國外委外明細'!$A$4:$A$188,$B$4)</x:f>
        <x:v>1709168484</x:v>
      </x:c>
      <x:c r="J29" s="43" t="n">
        <x:f>IFERROR(I29/SUM($I$9:$I$54),0)</x:f>
        <x:v>0.013670178215349427</x:v>
      </x:c>
      <x:c r="K29" s="31" t="n">
        <x:f>RANK(I29,$I$9:$I$54,0)</x:f>
        <x:v>21</x:v>
      </x:c>
      <x:c r="L29" s="32" t="n">
        <x:f>COUNTIFS('國外委外明細'!$F$4:$F$188,G29,'國外委外明細'!$A$4:$A$188,$B$4,'國外委外明細'!$J$4:$J$188,"&lt;&gt;解約")</x:f>
        <x:v>2</x:v>
      </x:c>
    </x:row>
    <x:row r="30">
      <x:c r="G30" s="30" t="str">
        <x:v>Nomura</x:v>
      </x:c>
      <x:c r="H30" s="40" t="n">
        <x:f>SUMIFS('國外委外明細'!$G$4:$G$188,'國外委外明細'!$F$4:$F$188,G30,'國外委外明細'!$A$4:$A$188,$B$4)</x:f>
        <x:v>1391034581</x:v>
      </x:c>
      <x:c r="I30" s="40" t="n">
        <x:f>SUMIFS('國外委外明細'!$H$4:$H$188,'國外委外明細'!$F$4:$F$188,G30,'國外委外明細'!$A$4:$A$188,$B$4)</x:f>
        <x:v>1679948361</x:v>
      </x:c>
      <x:c r="J30" s="43" t="n">
        <x:f>IFERROR(I30/SUM($I$9:$I$54),0)</x:f>
        <x:v>0.013436471420130734</x:v>
      </x:c>
      <x:c r="K30" s="31" t="n">
        <x:f>RANK(I30,$I$9:$I$54,0)</x:f>
        <x:v>22</x:v>
      </x:c>
      <x:c r="L30" s="32" t="n">
        <x:f>COUNTIFS('國外委外明細'!$F$4:$F$188,G30,'國外委外明細'!$A$4:$A$188,$B$4,'國外委外明細'!$J$4:$J$188,"&lt;&gt;解約")</x:f>
        <x:v>3</x:v>
      </x:c>
    </x:row>
    <x:row r="31">
      <x:c r="G31" s="30" t="str">
        <x:v>Lazard</x:v>
      </x:c>
      <x:c r="H31" s="40" t="n">
        <x:f>SUMIFS('國外委外明細'!$G$4:$G$188,'國外委外明細'!$F$4:$F$188,G31,'國外委外明細'!$A$4:$A$188,$B$4)</x:f>
        <x:v>954418976</x:v>
      </x:c>
      <x:c r="I31" s="40" t="n">
        <x:f>SUMIFS('國外委外明細'!$H$4:$H$188,'國外委外明細'!$F$4:$F$188,G31,'國外委外明細'!$A$4:$A$188,$B$4)</x:f>
        <x:v>1388520134</x:v>
      </x:c>
      <x:c r="J31" s="43" t="n">
        <x:f>IFERROR(I31/SUM($I$9:$I$54),0)</x:f>
        <x:v>0.011105586058408076</x:v>
      </x:c>
      <x:c r="K31" s="31" t="n">
        <x:f>RANK(I31,$I$9:$I$54,0)</x:f>
        <x:v>23</x:v>
      </x:c>
      <x:c r="L31" s="32" t="n">
        <x:f>COUNTIFS('國外委外明細'!$F$4:$F$188,G31,'國外委外明細'!$A$4:$A$188,$B$4,'國外委外明細'!$J$4:$J$188,"&lt;&gt;解約")</x:f>
        <x:v>1</x:v>
      </x:c>
    </x:row>
    <x:row r="32">
      <x:c r="G32" s="30" t="str">
        <x:v>RBC</x:v>
      </x:c>
      <x:c r="H32" s="40" t="n">
        <x:f>SUMIFS('國外委外明細'!$G$4:$G$188,'國外委外明細'!$F$4:$F$188,G32,'國外委外明細'!$A$4:$A$188,$B$4)</x:f>
        <x:v>1186559371</x:v>
      </x:c>
      <x:c r="I32" s="40" t="n">
        <x:f>SUMIFS('國外委外明細'!$H$4:$H$188,'國外委外明細'!$F$4:$F$188,G32,'國外委外明細'!$A$4:$A$188,$B$4)</x:f>
        <x:v>1352096519</x:v>
      </x:c>
      <x:c r="J32" s="43" t="n">
        <x:f>IFERROR(I32/SUM($I$9:$I$54),0)</x:f>
        <x:v>0.01081426468608088</x:v>
      </x:c>
      <x:c r="K32" s="31" t="n">
        <x:f>RANK(I32,$I$9:$I$54,0)</x:f>
        <x:v>24</x:v>
      </x:c>
      <x:c r="L32" s="32" t="n">
        <x:f>COUNTIFS('國外委外明細'!$F$4:$F$188,G32,'國外委外明細'!$A$4:$A$188,$B$4,'國外委外明細'!$J$4:$J$188,"&lt;&gt;解約")</x:f>
        <x:v>1</x:v>
      </x:c>
    </x:row>
    <x:row r="33">
      <x:c r="G33" s="30" t="str">
        <x:v>Schroders</x:v>
      </x:c>
      <x:c r="H33" s="40" t="n">
        <x:f>SUMIFS('國外委外明細'!$G$4:$G$188,'國外委外明細'!$F$4:$F$188,G33,'國外委外明細'!$A$4:$A$188,$B$4)</x:f>
        <x:v>960000000</x:v>
      </x:c>
      <x:c r="I33" s="40" t="n">
        <x:f>SUMIFS('國外委外明細'!$H$4:$H$188,'國外委外明細'!$F$4:$F$188,G33,'國外委外明細'!$A$4:$A$188,$B$4)</x:f>
        <x:v>1337309953</x:v>
      </x:c>
      <x:c r="J33" s="43" t="n">
        <x:f>IFERROR(I33/SUM($I$9:$I$54),0)</x:f>
        <x:v>0.01069599957979951</x:v>
      </x:c>
      <x:c r="K33" s="31" t="n">
        <x:f>RANK(I33,$I$9:$I$54,0)</x:f>
        <x:v>25</x:v>
      </x:c>
      <x:c r="L33" s="32" t="n">
        <x:f>COUNTIFS('國外委外明細'!$F$4:$F$188,G33,'國外委外明細'!$A$4:$A$188,$B$4,'國外委外明細'!$J$4:$J$188,"&lt;&gt;解約")</x:f>
        <x:v>4</x:v>
      </x:c>
    </x:row>
    <x:row r="34">
      <x:c r="G34" s="30" t="str">
        <x:v>信安</x:v>
      </x:c>
      <x:c r="H34" s="40" t="n">
        <x:f>SUMIFS('國外委外明細'!$G$4:$G$188,'國外委外明細'!$F$4:$F$188,G34,'國外委外明細'!$A$4:$A$188,$B$4)</x:f>
        <x:v>1133980105</x:v>
      </x:c>
      <x:c r="I34" s="40" t="n">
        <x:f>SUMIFS('國外委外明細'!$H$4:$H$188,'國外委外明細'!$F$4:$F$188,G34,'國外委外明細'!$A$4:$A$188,$B$4)</x:f>
        <x:v>1279212590</x:v>
      </x:c>
      <x:c r="J34" s="43" t="n">
        <x:f>IFERROR(I34/SUM($I$9:$I$54),0)</x:f>
        <x:v>0.01023132841748486</x:v>
      </x:c>
      <x:c r="K34" s="31" t="n">
        <x:f>RANK(I34,$I$9:$I$54,0)</x:f>
        <x:v>26</x:v>
      </x:c>
      <x:c r="L34" s="32" t="n">
        <x:f>COUNTIFS('國外委外明細'!$F$4:$F$188,G34,'國外委外明細'!$A$4:$A$188,$B$4,'國外委外明細'!$J$4:$J$188,"&lt;&gt;解約")</x:f>
        <x:v>2</x:v>
      </x:c>
    </x:row>
    <x:row r="35">
      <x:c r="G35" s="30" t="str">
        <x:v>Insight</x:v>
      </x:c>
      <x:c r="H35" s="40" t="n">
        <x:f>SUMIFS('國外委外明細'!$G$4:$G$188,'國外委外明細'!$F$4:$F$188,G35,'國外委外明細'!$A$4:$A$188,$B$4)</x:f>
        <x:v>1229834121</x:v>
      </x:c>
      <x:c r="I35" s="40" t="n">
        <x:f>SUMIFS('國外委外明細'!$H$4:$H$188,'國外委外明細'!$F$4:$F$188,G35,'國外委外明細'!$A$4:$A$188,$B$4)</x:f>
        <x:v>1218224544</x:v>
      </x:c>
      <x:c r="J35" s="43" t="n">
        <x:f>IFERROR(I35/SUM($I$9:$I$54),0)</x:f>
        <x:v>0.009743537151948088</x:v>
      </x:c>
      <x:c r="K35" s="31" t="n">
        <x:f>RANK(I35,$I$9:$I$54,0)</x:f>
        <x:v>27</x:v>
      </x:c>
      <x:c r="L35" s="32" t="n">
        <x:f>COUNTIFS('國外委外明細'!$F$4:$F$188,G35,'國外委外明細'!$A$4:$A$188,$B$4,'國外委外明細'!$J$4:$J$188,"&lt;&gt;解約")</x:f>
        <x:v>2</x:v>
      </x:c>
    </x:row>
    <x:row r="36">
      <x:c r="G36" s="30" t="str">
        <x:v>American Century</x:v>
      </x:c>
      <x:c r="H36" s="40" t="n">
        <x:f>SUMIFS('國外委外明細'!$G$4:$G$188,'國外委外明細'!$F$4:$F$188,G36,'國外委外明細'!$A$4:$A$188,$B$4)</x:f>
        <x:v>959838014</x:v>
      </x:c>
      <x:c r="I36" s="40" t="n">
        <x:f>SUMIFS('國外委外明細'!$H$4:$H$188,'國外委外明細'!$F$4:$F$188,G36,'國外委外明細'!$A$4:$A$188,$B$4)</x:f>
        <x:v>1175399124</x:v>
      </x:c>
      <x:c r="J36" s="43" t="n">
        <x:f>IFERROR(I36/SUM($I$9:$I$54),0)</x:f>
        <x:v>0.00940101321178211</x:v>
      </x:c>
      <x:c r="K36" s="31" t="n">
        <x:f>RANK(I36,$I$9:$I$54,0)</x:f>
        <x:v>28</x:v>
      </x:c>
      <x:c r="L36" s="32" t="n">
        <x:f>COUNTIFS('國外委外明細'!$F$4:$F$188,G36,'國外委外明細'!$A$4:$A$188,$B$4,'國外委外明細'!$J$4:$J$188,"&lt;&gt;解約")</x:f>
        <x:v>4</x:v>
      </x:c>
    </x:row>
    <x:row r="37">
      <x:c r="G37" s="30" t="str">
        <x:v>T. Rowe Price</x:v>
      </x:c>
      <x:c r="H37" s="40" t="n">
        <x:f>SUMIFS('國外委外明細'!$G$4:$G$188,'國外委外明細'!$F$4:$F$188,G37,'國外委外明細'!$A$4:$A$188,$B$4)</x:f>
        <x:v>960000000</x:v>
      </x:c>
      <x:c r="I37" s="40" t="n">
        <x:f>SUMIFS('國外委外明細'!$H$4:$H$188,'國外委外明細'!$F$4:$F$188,G37,'國外委外明細'!$A$4:$A$188,$B$4)</x:f>
        <x:v>1142513053</x:v>
      </x:c>
      <x:c r="J37" s="43" t="n">
        <x:f>IFERROR(I37/SUM($I$9:$I$54),0)</x:f>
        <x:v>0.009137985631071913</x:v>
      </x:c>
      <x:c r="K37" s="31" t="n">
        <x:f>RANK(I37,$I$9:$I$54,0)</x:f>
        <x:v>29</x:v>
      </x:c>
      <x:c r="L37" s="32" t="n">
        <x:f>COUNTIFS('國外委外明細'!$F$4:$F$188,G37,'國外委外明細'!$A$4:$A$188,$B$4,'國外委外明細'!$J$4:$J$188,"&lt;&gt;解約")</x:f>
        <x:v>3</x:v>
      </x:c>
    </x:row>
    <x:row r="38">
      <x:c r="G38" s="30" t="str">
        <x:v>Ninety One</x:v>
      </x:c>
      <x:c r="H38" s="40" t="n">
        <x:f>SUMIFS('國外委外明細'!$G$4:$G$188,'國外委外明細'!$F$4:$F$188,G38,'國外委外明細'!$A$4:$A$188,$B$4)</x:f>
        <x:v>900000000</x:v>
      </x:c>
      <x:c r="I38" s="40" t="n">
        <x:f>SUMIFS('國外委外明細'!$H$4:$H$188,'國外委外明細'!$F$4:$F$188,G38,'國外委外明細'!$A$4:$A$188,$B$4)</x:f>
        <x:v>1077267573</x:v>
      </x:c>
      <x:c r="J38" s="43" t="n">
        <x:f>IFERROR(I38/SUM($I$9:$I$54),0)</x:f>
        <x:v>0.008616142788955701</x:v>
      </x:c>
      <x:c r="K38" s="31" t="n">
        <x:f>RANK(I38,$I$9:$I$54,0)</x:f>
        <x:v>30</x:v>
      </x:c>
      <x:c r="L38" s="32" t="n">
        <x:f>COUNTIFS('國外委外明細'!$F$4:$F$188,G38,'國外委外明細'!$A$4:$A$188,$B$4,'國外委外明細'!$J$4:$J$188,"&lt;&gt;解約")</x:f>
        <x:v>2</x:v>
      </x:c>
    </x:row>
    <x:row r="39">
      <x:c r="G39" s="30" t="str">
        <x:v>ClearBridge</x:v>
      </x:c>
      <x:c r="H39" s="40" t="n">
        <x:f>SUMIFS('國外委外明細'!$G$4:$G$188,'國外委外明細'!$F$4:$F$188,G39,'國外委外明細'!$A$4:$A$188,$B$4)</x:f>
        <x:v>760000000</x:v>
      </x:c>
      <x:c r="I39" s="40" t="n">
        <x:f>SUMIFS('國外委外明細'!$H$4:$H$188,'國外委外明細'!$F$4:$F$188,G39,'國外委外明細'!$A$4:$A$188,$B$4)</x:f>
        <x:v>1047858894</x:v>
      </x:c>
      <x:c r="J39" s="43" t="n">
        <x:f>IFERROR(I39/SUM($I$9:$I$54),0)</x:f>
        <x:v>0.00838092789541452</x:v>
      </x:c>
      <x:c r="K39" s="31" t="n">
        <x:f>RANK(I39,$I$9:$I$54,0)</x:f>
        <x:v>31</x:v>
      </x:c>
      <x:c r="L39" s="32" t="n">
        <x:f>COUNTIFS('國外委外明細'!$F$4:$F$188,G39,'國外委外明細'!$A$4:$A$188,$B$4,'國外委外明細'!$J$4:$J$188,"&lt;&gt;解約")</x:f>
        <x:v>2</x:v>
      </x:c>
    </x:row>
    <x:row r="40">
      <x:c r="G40" s="30" t="str">
        <x:v>聯博</x:v>
      </x:c>
      <x:c r="H40" s="40" t="n">
        <x:f>SUMIFS('國外委外明細'!$G$4:$G$188,'國外委外明細'!$F$4:$F$188,G40,'國外委外明細'!$A$4:$A$188,$B$4)</x:f>
        <x:v>900495639</x:v>
      </x:c>
      <x:c r="I40" s="40" t="n">
        <x:f>SUMIFS('國外委外明細'!$H$4:$H$188,'國外委外明細'!$F$4:$F$188,G40,'國外委外明細'!$A$4:$A$188,$B$4)</x:f>
        <x:v>897752897</x:v>
      </x:c>
      <x:c r="J40" s="43" t="n">
        <x:f>IFERROR(I40/SUM($I$9:$I$54),0)</x:f>
        <x:v>0.007180358291310641</x:v>
      </x:c>
      <x:c r="K40" s="31" t="n">
        <x:f>RANK(I40,$I$9:$I$54,0)</x:f>
        <x:v>32</x:v>
      </x:c>
      <x:c r="L40" s="32" t="n">
        <x:f>COUNTIFS('國外委外明細'!$F$4:$F$188,G40,'國外委外明細'!$A$4:$A$188,$B$4,'國外委外明細'!$J$4:$J$188,"&lt;&gt;解約")</x:f>
        <x:v>1</x:v>
      </x:c>
    </x:row>
    <x:row r="41">
      <x:c r="G41" s="30" t="str">
        <x:v>UBS</x:v>
      </x:c>
      <x:c r="H41" s="40" t="n">
        <x:f>SUMIFS('國外委外明細'!$G$4:$G$188,'國外委外明細'!$F$4:$F$188,G41,'國外委外明細'!$A$4:$A$188,$B$4)</x:f>
        <x:v>761201485</x:v>
      </x:c>
      <x:c r="I41" s="40" t="n">
        <x:f>SUMIFS('國外委外明細'!$H$4:$H$188,'國外委外明細'!$F$4:$F$188,G41,'國外委外明細'!$A$4:$A$188,$B$4)</x:f>
        <x:v>789561325</x:v>
      </x:c>
      <x:c r="J41" s="43" t="n">
        <x:f>IFERROR(I41/SUM($I$9:$I$54),0)</x:f>
        <x:v>0.0063150263568149375</x:v>
      </x:c>
      <x:c r="K41" s="31" t="n">
        <x:f>RANK(I41,$I$9:$I$54,0)</x:f>
        <x:v>33</x:v>
      </x:c>
      <x:c r="L41" s="32" t="n">
        <x:f>COUNTIFS('國外委外明細'!$F$4:$F$188,G41,'國外委外明細'!$A$4:$A$188,$B$4,'國外委外明細'!$J$4:$J$188,"&lt;&gt;解約")</x:f>
        <x:v>2</x:v>
      </x:c>
    </x:row>
    <x:row r="42">
      <x:c r="G42" s="30" t="str">
        <x:v>Pictet</x:v>
      </x:c>
      <x:c r="H42" s="40" t="n">
        <x:f>SUMIFS('國外委外明細'!$G$4:$G$188,'國外委外明細'!$F$4:$F$188,G42,'國外委外明細'!$A$4:$A$188,$B$4)</x:f>
        <x:v>618843493</x:v>
      </x:c>
      <x:c r="I42" s="40" t="n">
        <x:f>SUMIFS('國外委外明細'!$H$4:$H$188,'國外委外明細'!$F$4:$F$188,G42,'國外委外明細'!$A$4:$A$188,$B$4)</x:f>
        <x:v>769778438</x:v>
      </x:c>
      <x:c r="J42" s="43" t="n">
        <x:f>IFERROR(I42/SUM($I$9:$I$54),0)</x:f>
        <x:v>0.00615679994822167</x:v>
      </x:c>
      <x:c r="K42" s="31" t="n">
        <x:f>RANK(I42,$I$9:$I$54,0)</x:f>
        <x:v>34</x:v>
      </x:c>
      <x:c r="L42" s="32" t="n">
        <x:f>COUNTIFS('國外委外明細'!$F$4:$F$188,G42,'國外委外明細'!$A$4:$A$188,$B$4,'國外委外明細'!$J$4:$J$188,"&lt;&gt;解約")</x:f>
        <x:v>1</x:v>
      </x:c>
    </x:row>
    <x:row r="43">
      <x:c r="G43" s="30" t="str">
        <x:v>滙豐</x:v>
      </x:c>
      <x:c r="H43" s="40" t="n">
        <x:f>SUMIFS('國外委外明細'!$G$4:$G$188,'國外委外明細'!$F$4:$F$188,G43,'國外委外明細'!$A$4:$A$188,$B$4)</x:f>
        <x:v>460000000</x:v>
      </x:c>
      <x:c r="I43" s="40" t="n">
        <x:f>SUMIFS('國外委外明細'!$H$4:$H$188,'國外委外明細'!$F$4:$F$188,G43,'國外委外明細'!$A$4:$A$188,$B$4)</x:f>
        <x:v>706462588</x:v>
      </x:c>
      <x:c r="J43" s="43" t="n">
        <x:f>IFERROR(I43/SUM($I$9:$I$54),0)</x:f>
        <x:v>0.005650390567602449</x:v>
      </x:c>
      <x:c r="K43" s="31" t="n">
        <x:f>RANK(I43,$I$9:$I$54,0)</x:f>
        <x:v>35</x:v>
      </x:c>
      <x:c r="L43" s="32" t="n">
        <x:f>COUNTIFS('國外委外明細'!$F$4:$F$188,G43,'國外委外明細'!$A$4:$A$188,$B$4,'國外委外明細'!$J$4:$J$188,"&lt;&gt;解約")</x:f>
        <x:v>2</x:v>
      </x:c>
    </x:row>
    <x:row r="44">
      <x:c r="G44" s="30" t="str">
        <x:v>荷寶</x:v>
      </x:c>
      <x:c r="H44" s="40" t="n">
        <x:f>SUMIFS('國外委外明細'!$G$4:$G$188,'國外委外明細'!$F$4:$F$188,G44,'國外委外明細'!$A$4:$A$188,$B$4)</x:f>
        <x:v>506416368</x:v>
      </x:c>
      <x:c r="I44" s="40" t="n">
        <x:f>SUMIFS('國外委外明細'!$H$4:$H$188,'國外委外明細'!$F$4:$F$188,G44,'國外委外明細'!$A$4:$A$188,$B$4)</x:f>
        <x:v>697308846</x:v>
      </x:c>
      <x:c r="J44" s="43" t="n">
        <x:f>IFERROR(I44/SUM($I$9:$I$54),0)</x:f>
        <x:v>0.005577177607236788</x:v>
      </x:c>
      <x:c r="K44" s="31" t="n">
        <x:f>RANK(I44,$I$9:$I$54,0)</x:f>
        <x:v>36</x:v>
      </x:c>
      <x:c r="L44" s="32" t="n">
        <x:f>COUNTIFS('國外委外明細'!$F$4:$F$188,G44,'國外委外明細'!$A$4:$A$188,$B$4,'國外委外明細'!$J$4:$J$188,"&lt;&gt;解約")</x:f>
        <x:v>1</x:v>
      </x:c>
    </x:row>
    <x:row r="45">
      <x:c r="G45" s="30" t="str">
        <x:v>摩根士丹利</x:v>
      </x:c>
      <x:c r="H45" s="40" t="n">
        <x:f>SUMIFS('國外委外明細'!$G$4:$G$188,'國外委外明細'!$F$4:$F$188,G45,'國外委外明細'!$A$4:$A$188,$B$4)</x:f>
        <x:v>460000000</x:v>
      </x:c>
      <x:c r="I45" s="40" t="n">
        <x:f>SUMIFS('國外委外明細'!$H$4:$H$188,'國外委外明細'!$F$4:$F$188,G45,'國外委外明細'!$A$4:$A$188,$B$4)</x:f>
        <x:v>690570828</x:v>
      </x:c>
      <x:c r="J45" s="43" t="n">
        <x:f>IFERROR(I45/SUM($I$9:$I$54),0)</x:f>
        <x:v>0.005523285958905744</x:v>
      </x:c>
      <x:c r="K45" s="31" t="n">
        <x:f>RANK(I45,$I$9:$I$54,0)</x:f>
        <x:v>37</x:v>
      </x:c>
      <x:c r="L45" s="32" t="n">
        <x:f>COUNTIFS('國外委外明細'!$F$4:$F$188,G45,'國外委外明細'!$A$4:$A$188,$B$4,'國外委外明細'!$J$4:$J$188,"&lt;&gt;解約")</x:f>
        <x:v>2</x:v>
      </x:c>
    </x:row>
    <x:row r="46">
      <x:c r="G46" s="30" t="str">
        <x:v>PGIM</x:v>
      </x:c>
      <x:c r="H46" s="40" t="n">
        <x:f>SUMIFS('國外委外明細'!$G$4:$G$188,'國外委外明細'!$F$4:$F$188,G46,'國外委外明細'!$A$4:$A$188,$B$4)</x:f>
        <x:v>600000000</x:v>
      </x:c>
      <x:c r="I46" s="40" t="n">
        <x:f>SUMIFS('國外委外明細'!$H$4:$H$188,'國外委外明細'!$F$4:$F$188,G46,'國外委外明細'!$A$4:$A$188,$B$4)</x:f>
        <x:v>688857784</x:v>
      </x:c>
      <x:c r="J46" s="43" t="n">
        <x:f>IFERROR(I46/SUM($I$9:$I$54),0)</x:f>
        <x:v>0.005509584783749547</x:v>
      </x:c>
      <x:c r="K46" s="31" t="n">
        <x:f>RANK(I46,$I$9:$I$54,0)</x:f>
        <x:v>38</x:v>
      </x:c>
      <x:c r="L46" s="32" t="n">
        <x:f>COUNTIFS('國外委外明細'!$F$4:$F$188,G46,'國外委外明細'!$A$4:$A$188,$B$4,'國外委外明細'!$J$4:$J$188,"&lt;&gt;解約")</x:f>
        <x:v>1</x:v>
      </x:c>
    </x:row>
    <x:row r="47">
      <x:c r="G47" s="30" t="str">
        <x:v>Amundi</x:v>
      </x:c>
      <x:c r="H47" s="40" t="n">
        <x:f>SUMIFS('國外委外明細'!$G$4:$G$188,'國外委外明細'!$F$4:$F$188,G47,'國外委外明細'!$A$4:$A$188,$B$4)</x:f>
        <x:v>500000000</x:v>
      </x:c>
      <x:c r="I47" s="40" t="n">
        <x:f>SUMIFS('國外委外明細'!$H$4:$H$188,'國外委外明細'!$F$4:$F$188,G47,'國外委外明細'!$A$4:$A$188,$B$4)</x:f>
        <x:v>666575819</x:v>
      </x:c>
      <x:c r="J47" s="43" t="n">
        <x:f>IFERROR(I47/SUM($I$9:$I$54),0)</x:f>
        <x:v>0.005331370385701836</x:v>
      </x:c>
      <x:c r="K47" s="31" t="n">
        <x:f>RANK(I47,$I$9:$I$54,0)</x:f>
        <x:v>39</x:v>
      </x:c>
      <x:c r="L47" s="32" t="n">
        <x:f>COUNTIFS('國外委外明細'!$F$4:$F$188,G47,'國外委外明細'!$A$4:$A$188,$B$4,'國外委外明細'!$J$4:$J$188,"&lt;&gt;解約")</x:f>
        <x:v>2</x:v>
      </x:c>
    </x:row>
    <x:row r="48">
      <x:c r="G48" s="30" t="str">
        <x:v>LGIM</x:v>
      </x:c>
      <x:c r="H48" s="40" t="n">
        <x:f>SUMIFS('國外委外明細'!$G$4:$G$188,'國外委外明細'!$F$4:$F$188,G48,'國外委外明細'!$A$4:$A$188,$B$4)</x:f>
        <x:v>400000000</x:v>
      </x:c>
      <x:c r="I48" s="40" t="n">
        <x:f>SUMIFS('國外委外明細'!$H$4:$H$188,'國外委外明細'!$F$4:$F$188,G48,'國外委外明細'!$A$4:$A$188,$B$4)</x:f>
        <x:v>593041556</x:v>
      </x:c>
      <x:c r="J48" s="43" t="n">
        <x:f>IFERROR(I48/SUM($I$9:$I$54),0)</x:f>
        <x:v>0.004743232651151627</x:v>
      </x:c>
      <x:c r="K48" s="31" t="n">
        <x:f>RANK(I48,$I$9:$I$54,0)</x:f>
        <x:v>40</x:v>
      </x:c>
      <x:c r="L48" s="32" t="n">
        <x:f>COUNTIFS('國外委外明細'!$F$4:$F$188,G48,'國外委外明細'!$A$4:$A$188,$B$4,'國外委外明細'!$J$4:$J$188,"&lt;&gt;解約")</x:f>
        <x:v>1</x:v>
      </x:c>
    </x:row>
    <x:row r="49">
      <x:c r="G49" s="30" t="str">
        <x:v>Center Square</x:v>
      </x:c>
      <x:c r="H49" s="40" t="n">
        <x:f>SUMIFS('國外委外明細'!$G$4:$G$188,'國外委外明細'!$F$4:$F$188,G49,'國外委外明細'!$A$4:$A$188,$B$4)</x:f>
        <x:v>400000000</x:v>
      </x:c>
      <x:c r="I49" s="40" t="n">
        <x:f>SUMIFS('國外委外明細'!$H$4:$H$188,'國外委外明細'!$F$4:$F$188,G49,'國外委外明細'!$A$4:$A$188,$B$4)</x:f>
        <x:v>458409894</x:v>
      </x:c>
      <x:c r="J49" s="43" t="n">
        <x:f>IFERROR(I49/SUM($I$9:$I$54),0)</x:f>
        <x:v>0.0036664290298600195</x:v>
      </x:c>
      <x:c r="K49" s="31" t="n">
        <x:f>RANK(I49,$I$9:$I$54,0)</x:f>
        <x:v>41</x:v>
      </x:c>
      <x:c r="L49" s="32" t="n">
        <x:f>COUNTIFS('國外委外明細'!$F$4:$F$188,G49,'國外委外明細'!$A$4:$A$188,$B$4,'國外委外明細'!$J$4:$J$188,"&lt;&gt;解約")</x:f>
        <x:v>1</x:v>
      </x:c>
    </x:row>
    <x:row r="50">
      <x:c r="G50" s="30" t="str">
        <x:v>HSBC</x:v>
      </x:c>
      <x:c r="H50" s="40" t="n">
        <x:f>SUMIFS('國外委外明細'!$G$4:$G$188,'國外委外明細'!$F$4:$F$188,G50,'國外委外明細'!$A$4:$A$188,$B$4)</x:f>
        <x:v>400000000</x:v>
      </x:c>
      <x:c r="I50" s="40" t="n">
        <x:f>SUMIFS('國外委外明細'!$H$4:$H$188,'國外委外明細'!$F$4:$F$188,G50,'國外委外明細'!$A$4:$A$188,$B$4)</x:f>
        <x:v>421747465</x:v>
      </x:c>
      <x:c r="J50" s="43" t="n">
        <x:f>IFERROR(I50/SUM($I$9:$I$54),0)</x:f>
        <x:v>0.003373197588413902</x:v>
      </x:c>
      <x:c r="K50" s="31" t="n">
        <x:f>RANK(I50,$I$9:$I$54,0)</x:f>
        <x:v>42</x:v>
      </x:c>
      <x:c r="L50" s="32" t="n">
        <x:f>COUNTIFS('國外委外明細'!$F$4:$F$188,G50,'國外委外明細'!$A$4:$A$188,$B$4,'國外委外明細'!$J$4:$J$188,"&lt;&gt;解約")</x:f>
        <x:v>1</x:v>
      </x:c>
    </x:row>
    <x:row r="51">
      <x:c r="G51" s="30" t="str">
        <x:v>Allianz</x:v>
      </x:c>
      <x:c r="H51" s="40" t="n">
        <x:f>SUMIFS('國外委外明細'!$G$4:$G$188,'國外委外明細'!$F$4:$F$188,G51,'國外委外明細'!$A$4:$A$188,$B$4)</x:f>
        <x:v>275923278</x:v>
      </x:c>
      <x:c r="I51" s="40" t="n">
        <x:f>SUMIFS('國外委外明細'!$H$4:$H$188,'國外委外明細'!$F$4:$F$188,G51,'國外委外明細'!$A$4:$A$188,$B$4)</x:f>
        <x:v>275639320</x:v>
      </x:c>
      <x:c r="J51" s="43" t="n">
        <x:f>IFERROR(I51/SUM($I$9:$I$54),0)</x:f>
        <x:v>0.002204603386284842</x:v>
      </x:c>
      <x:c r="K51" s="31" t="n">
        <x:f>RANK(I51,$I$9:$I$54,0)</x:f>
        <x:v>43</x:v>
      </x:c>
      <x:c r="L51" s="32" t="n">
        <x:f>COUNTIFS('國外委外明細'!$F$4:$F$188,G51,'國外委外明細'!$A$4:$A$188,$B$4,'國外委外明細'!$J$4:$J$188,"&lt;&gt;解約")</x:f>
        <x:v>1</x:v>
      </x:c>
    </x:row>
    <x:row r="52">
      <x:c r="G52" s="30" t="str">
        <x:v>柏瑞</x:v>
      </x:c>
      <x:c r="H52" s="40" t="n">
        <x:f>SUMIFS('國外委外明細'!$G$4:$G$188,'國外委外明細'!$F$4:$F$188,G52,'國外委外明細'!$A$4:$A$188,$B$4)</x:f>
        <x:v>0</x:v>
      </x:c>
      <x:c r="I52" s="40" t="n">
        <x:f>SUMIFS('國外委外明細'!$H$4:$H$188,'國外委外明細'!$F$4:$F$188,G52,'國外委外明細'!$A$4:$A$188,$B$4)</x:f>
        <x:v>0</x:v>
      </x:c>
      <x:c r="J52" s="43" t="n">
        <x:f>IFERROR(I52/SUM($I$9:$I$54),0)</x:f>
        <x:v>0</x:v>
      </x:c>
      <x:c r="K52" s="31" t="n">
        <x:f>RANK(I52,$I$9:$I$54,0)</x:f>
        <x:v>44</x:v>
      </x:c>
      <x:c r="L52" s="32" t="n">
        <x:f>COUNTIFS('國外委外明細'!$F$4:$F$188,G52,'國外委外明細'!$A$4:$A$188,$B$4,'國外委外明細'!$J$4:$J$188,"&lt;&gt;解約")</x:f>
        <x:v>0</x:v>
      </x:c>
    </x:row>
    <x:row r="53">
      <x:c r="G53" s="30" t="str">
        <x:v>玉山</x:v>
      </x:c>
      <x:c r="H53" s="40" t="n">
        <x:f>SUMIFS('國外委外明細'!$G$4:$G$188,'國外委外明細'!$F$4:$F$188,G53,'國外委外明細'!$A$4:$A$188,$B$4)</x:f>
        <x:v>0</x:v>
      </x:c>
      <x:c r="I53" s="40" t="n">
        <x:f>SUMIFS('國外委外明細'!$H$4:$H$188,'國外委外明細'!$F$4:$F$188,G53,'國外委外明細'!$A$4:$A$188,$B$4)</x:f>
        <x:v>0</x:v>
      </x:c>
      <x:c r="J53" s="43" t="n">
        <x:f>IFERROR(I53/SUM($I$9:$I$54),0)</x:f>
        <x:v>0</x:v>
      </x:c>
      <x:c r="K53" s="31" t="n">
        <x:f>RANK(I53,$I$9:$I$54,0)</x:f>
        <x:v>44</x:v>
      </x:c>
      <x:c r="L53" s="32" t="n">
        <x:f>COUNTIFS('國外委外明細'!$F$4:$F$188,G53,'國外委外明細'!$A$4:$A$188,$B$4,'國外委外明細'!$J$4:$J$188,"&lt;&gt;解約")</x:f>
        <x:v>0</x:v>
      </x:c>
    </x:row>
    <x:row r="54">
      <x:c r="G54" s="33" t="str">
        <x:v>國泰</x:v>
      </x:c>
      <x:c r="H54" s="41" t="n">
        <x:f>SUMIFS('國外委外明細'!$G$4:$G$188,'國外委外明細'!$F$4:$F$188,G54,'國外委外明細'!$A$4:$A$188,$B$4)</x:f>
        <x:v>0</x:v>
      </x:c>
      <x:c r="I54" s="41" t="n">
        <x:f>SUMIFS('國外委外明細'!$H$4:$H$188,'國外委外明細'!$F$4:$F$188,G54,'國外委外明細'!$A$4:$A$188,$B$4)</x:f>
        <x:v>0</x:v>
      </x:c>
      <x:c r="J54" s="44" t="n">
        <x:f>IFERROR(I54/SUM($I$9:$I$54),0)</x:f>
        <x:v>0</x:v>
      </x:c>
      <x:c r="K54" s="34" t="n">
        <x:f>RANK(I54,$I$9:$I$54,0)</x:f>
        <x:v>44</x:v>
      </x:c>
      <x:c r="L54" s="35" t="n">
        <x:f>COUNTIFS('國外委外明細'!$F$4:$F$188,G54,'國外委外明細'!$A$4:$A$188,$B$4,'國外委外明細'!$J$4:$J$188,"&lt;&gt;解約")</x:f>
        <x:v>0</x:v>
      </x:c>
    </x:row>
  </x:sheetData>
  <x:mergeCells>
    <x:mergeCell ref="A1:AB1"/>
  </x:mergeCells>
  <x:pageMargins left="0.7" right="0.7" top="0.75" bottom="0.75" header="0.3" footer="0.3"/>
  <x:drawing xmlns:r="http://schemas.openxmlformats.org/officeDocument/2006/relationships" r:id="Rbbea229a22f14f00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.779998779296875" hidden="0" customWidth="1"/>
    <x:col min="2" max="2" width="10.220000267028809" hidden="0" customWidth="1"/>
    <x:col min="3" max="3" width="28" hidden="0" customWidth="1"/>
    <x:col min="4" max="4" width="38" hidden="0" customWidth="1"/>
    <x:col min="5" max="5" width="26" hidden="0" customWidth="1"/>
    <x:col min="6" max="6" width="15.109999656677246" hidden="0" customWidth="1"/>
    <x:col min="7" max="7" width="48" hidden="0" customWidth="1"/>
  </x:cols>
  <x:sheetData>
    <x:row r="1" ht="30" customHeight="1">
      <x:c r="A1" s="4" t="str">
        <x:v>更新說明｜每月新增 PDF 的標準作業</x:v>
      </x:c>
      <x:c r="B1" s="4"/>
      <x:c r="C1" s="4"/>
      <x:c r="D1" s="4"/>
      <x:c r="E1" s="4"/>
      <x:c r="F1" s="4"/>
      <x:c r="G1" s="4"/>
    </x:row>
    <x:row r="3">
      <x:c r="A3" s="15" t="str">
        <x:v>步驟</x:v>
      </x:c>
      <x:c r="B3" s="16" t="str">
        <x:v>工作表</x:v>
      </x:c>
      <x:c r="C3" s="16" t="str">
        <x:v>要新增的資料</x:v>
      </x:c>
      <x:c r="D3" s="16" t="str">
        <x:v>必填欄位</x:v>
      </x:c>
      <x:c r="E3" s="16" t="str">
        <x:v>來源位置</x:v>
      </x:c>
      <x:c r="F3" s="16" t="str">
        <x:v>圖表影響</x:v>
      </x:c>
      <x:c r="G3" s="17" t="str">
        <x:v>說明</x:v>
      </x:c>
    </x:row>
    <x:row r="4">
      <x:c r="A4" s="96" t="str">
        <x:v>1</x:v>
      </x:c>
      <x:c r="B4" s="97" t="str">
        <x:v>月度資產配置</x:v>
      </x:c>
      <x:c r="C4" s="97" t="str">
        <x:v>四大基金各資產配置列</x:v>
      </x:c>
      <x:c r="D4" s="97" t="str">
        <x:v>日期、基金、項目、金額、比率、來源</x:v>
      </x:c>
      <x:c r="E4" s="97" t="str">
        <x:v>PDF「資產配置」</x:v>
      </x:c>
      <x:c r="F4" s="97" t="str">
        <x:v>最新配置與合計圖</x:v>
      </x:c>
      <x:c r="G4" s="98" t="str">
        <x:v>完整保留自行運用、轉存金融機構、短期票券、債券、貸款、股票、國外投資及委託經營；國內委託經營歸入委託經營-權益證券</x:v>
      </x:c>
    </x:row>
    <x:row r="5">
      <x:c r="A5" s="99" t="str">
        <x:v>2</x:v>
      </x:c>
      <x:c r="B5" s="100" t="str">
        <x:v>國內委外明細</x:v>
      </x:c>
      <x:c r="C5" s="100" t="str">
        <x:v>各批次／業者一列，含當期加/減與帳戶狀態</x:v>
      </x:c>
      <x:c r="D5" s="100" t="str">
        <x:v>日期、基金、批次、業者、金額、淨資產、當期加/減、帳戶狀態、兩種報酬率</x:v>
      </x:c>
      <x:c r="E5" s="100" t="str">
        <x:v>PDF「國內委外投資概況」</x:v>
      </x:c>
      <x:c r="F5" s="100" t="str">
        <x:v>國內業者彙總</x:v>
      </x:c>
      <x:c r="G5" s="101" t="str">
        <x:v>新增帳戶標記「新增」；既有帳戶標記「持續」；本月消失帳戶補列並標記「解約」，當期加/減以淨資產差額計算</x:v>
      </x:c>
    </x:row>
    <x:row r="6">
      <x:c r="A6" s="99" t="str">
        <x:v>3</x:v>
      </x:c>
      <x:c r="B6" s="100" t="str">
        <x:v>國外委外明細</x:v>
      </x:c>
      <x:c r="C6" s="100" t="str">
        <x:v>各批次／業者一列，含當期加/減與帳戶狀態</x:v>
      </x:c>
      <x:c r="D6" s="100" t="str">
        <x:v>日期、基金、批次、業者、金額、淨資產、當期加/減、帳戶狀態、兩種報酬率、單位</x:v>
      </x:c>
      <x:c r="E6" s="100" t="str">
        <x:v>PDF「國外委外投資概況」</x:v>
      </x:c>
      <x:c r="F6" s="100" t="str">
        <x:v>國外業者彙總</x:v>
      </x:c>
      <x:c r="G6" s="101" t="str">
        <x:v>新增／持續／解約判定同國內；美元及其他原始幣別不自行換匯</x:v>
      </x:c>
    </x:row>
    <x:row r="7">
      <x:c r="A7" s="99" t="str">
        <x:v>4</x:v>
      </x:c>
      <x:c r="B7" s="100" t="str">
        <x:v>業者彙總</x:v>
      </x:c>
      <x:c r="C7" s="100" t="str">
        <x:v>不需手動新增</x:v>
      </x:c>
      <x:c r="D7" s="100" t="str">
        <x:v>調整控制項日期／基金</x:v>
      </x:c>
      <x:c r="E7" s="100" t="str">
        <x:v>工作表上方 B4、B5</x:v>
      </x:c>
      <x:c r="F7" s="100" t="str">
        <x:v>市占與排名、帳戶數</x:v>
      </x:c>
      <x:c r="G7" s="101" t="str">
        <x:v>所有業者依目前淨資產排序；市占率以目前淨資產計算；帳戶數以每批次出現一次計數</x:v>
      </x:c>
    </x:row>
    <x:row r="8">
      <x:c r="A8" s="102" t="str">
        <x:v>5</x:v>
      </x:c>
      <x:c r="B8" s="103" t="str">
        <x:v>資料品質檢核</x:v>
      </x:c>
      <x:c r="C8" s="103" t="str">
        <x:v>不需手動新增</x:v>
      </x:c>
      <x:c r="D8" s="103" t="str">
        <x:v>確認狀態為 OK</x:v>
      </x:c>
      <x:c r="E8" s="103" t="str">
        <x:v>檢核頁</x:v>
      </x:c>
      <x:c r="F8" s="103" t="str">
        <x:v>驗證來源與總額</x:v>
      </x:c>
      <x:c r="G8" s="104" t="str">
        <x:v>若有缺值或合計差異，先修正明細資料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88999938964844" hidden="0" customWidth="1"/>
    <x:col min="2" max="2" width="14.109999656677246" hidden="0" customWidth="1"/>
    <x:col min="3" max="3" width="14.109999656677246" hidden="0" customWidth="1"/>
    <x:col min="4" max="4" width="3.7799999713897705" hidden="0" customWidth="1"/>
    <x:col min="5" max="5" width="5.329999923706055" hidden="0" customWidth="1"/>
    <x:col min="6" max="6" width="3.7799999713897705" hidden="0" customWidth="1"/>
    <x:col min="7" max="7" width="34" hidden="0" customWidth="1"/>
  </x:cols>
  <x:sheetData>
    <x:row r="1" ht="30" customHeight="1">
      <x:c r="A1" s="4" t="str">
        <x:v>資料品質檢核｜確認更新資料可供儀表板使用</x:v>
      </x:c>
      <x:c r="B1" s="4"/>
      <x:c r="C1" s="4"/>
      <x:c r="D1" s="4"/>
      <x:c r="E1" s="4"/>
      <x:c r="F1" s="4"/>
      <x:c r="G1" s="4"/>
    </x:row>
    <x:row r="3">
      <x:c r="A3" s="15" t="str">
        <x:v>檢核項目</x:v>
      </x:c>
      <x:c r="B3" s="16" t="str">
        <x:v>實際值</x:v>
      </x:c>
      <x:c r="C3" s="16" t="str">
        <x:v>預期值</x:v>
      </x:c>
      <x:c r="D3" s="16" t="str">
        <x:v>差異</x:v>
      </x:c>
      <x:c r="E3" s="16" t="str">
        <x:v>容忍值</x:v>
      </x:c>
      <x:c r="F3" s="16" t="str">
        <x:v>狀態</x:v>
      </x:c>
      <x:c r="G3" s="17" t="str">
        <x:v>說明</x:v>
      </x:c>
    </x:row>
    <x:row r="4">
      <x:c r="A4" s="27" t="str">
        <x:v>新制最新月資產配置合計</x:v>
      </x:c>
      <x:c r="B4" s="39" t="n">
        <x:f>SUMIFS('月度資產配置'!$E$4:$E$263,'月度資產配置'!$A$4:$A$263,'儀表板'!$A$6,'月度資產配置'!$C$4:$C$263,"新制",'月度資產配置'!$D$4:$D$263,"合計")</x:f>
        <x:v>5971891365843</x:v>
      </x:c>
      <x:c r="C4" s="39" t="n">
        <x:f>'儀表板'!$B$6</x:f>
        <x:v>5971891365843</x:v>
      </x:c>
      <x:c r="D4" s="39" t="n">
        <x:f>B4-C4</x:f>
        <x:v>0</x:v>
      </x:c>
      <x:c r="E4" s="39" t="n">
        <x:v>0</x:v>
      </x:c>
      <x:c r="F4" s="28" t="str">
        <x:f>IF(ABS(D4)&lt;=E4,"OK","檢查")</x:f>
        <x:v>OK</x:v>
      </x:c>
      <x:c r="G4" s="29" t="str">
        <x:v>應與儀表板新制總額一致</x:v>
      </x:c>
    </x:row>
    <x:row r="5">
      <x:c r="A5" s="30" t="str">
        <x:v>舊制最新月資產配置合計</x:v>
      </x:c>
      <x:c r="B5" s="40" t="n">
        <x:f>SUMIFS('月度資產配置'!$E$4:$E$263,'月度資產配置'!$A$4:$A$263,'儀表板'!$A$6,'月度資產配置'!$C$4:$C$263,"舊制",'月度資產配置'!$D$4:$D$263,"合計")</x:f>
        <x:v>1201392132968</x:v>
      </x:c>
      <x:c r="C5" s="40" t="n">
        <x:f>'儀表板'!$C$6</x:f>
        <x:v>1201392132968</x:v>
      </x:c>
      <x:c r="D5" s="40" t="n">
        <x:f>B5-C5</x:f>
        <x:v>0</x:v>
      </x:c>
      <x:c r="E5" s="40" t="n">
        <x:v>0</x:v>
      </x:c>
      <x:c r="F5" s="31" t="str">
        <x:f>IF(ABS(D5)&lt;=E5,"OK","檢查")</x:f>
        <x:v>OK</x:v>
      </x:c>
      <x:c r="G5" s="32" t="str">
        <x:v>應與儀表板舊制總額一致</x:v>
      </x:c>
    </x:row>
    <x:row r="6">
      <x:c r="A6" s="30" t="str">
        <x:v>國內委外明細列數</x:v>
      </x:c>
      <x:c r="B6" s="31" t="n">
        <x:v>113</x:v>
      </x:c>
      <x:c r="C6" s="31" t="str">
        <x:v>≥10</x:v>
      </x:c>
      <x:c r="D6" s="31"/>
      <x:c r="E6" s="31" t="n">
        <x:v>0</x:v>
      </x:c>
      <x:c r="F6" s="31" t="str">
        <x:v>OK</x:v>
      </x:c>
      <x:c r="G6" s="32" t="str">
        <x:v>115年6月擷取的受託機構列數</x:v>
      </x:c>
    </x:row>
    <x:row r="7">
      <x:c r="A7" s="33" t="str">
        <x:v>國外委外明細列數</x:v>
      </x:c>
      <x:c r="B7" s="34" t="n">
        <x:v>185</x:v>
      </x:c>
      <x:c r="C7" s="34" t="str">
        <x:v>≥10</x:v>
      </x:c>
      <x:c r="D7" s="34"/>
      <x:c r="E7" s="34" t="n">
        <x:v>0</x:v>
      </x:c>
      <x:c r="F7" s="34" t="str">
        <x:v>OK</x:v>
      </x:c>
      <x:c r="G7" s="35" t="str">
        <x:v>115年6月擷取的受託機構列數</x:v>
      </x:c>
    </x:row>
  </x:sheetData>
  <x:mergeCells>
    <x:mergeCell ref="A1:G1"/>
  </x:mergeCells>
  <x:pageMargins left="0.7" right="0.7" top="0.75" bottom="0.75" header="0.3" footer="0.3"/>
</x:worksheet>
</file>